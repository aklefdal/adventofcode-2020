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\aklefdal\adventofcode-2020\"/>
    </mc:Choice>
  </mc:AlternateContent>
  <xr:revisionPtr revIDLastSave="0" documentId="13_ncr:1_{1317087B-9098-4E20-8206-EEDC8437A968}" xr6:coauthVersionLast="45" xr6:coauthVersionMax="45" xr10:uidLastSave="{00000000-0000-0000-0000-000000000000}"/>
  <bookViews>
    <workbookView xWindow="-98" yWindow="-98" windowWidth="20715" windowHeight="13276" activeTab="5" xr2:uid="{81516689-48B0-467F-AA81-9B6C944D6F3B}"/>
  </bookViews>
  <sheets>
    <sheet name="Input-01" sheetId="2" r:id="rId1"/>
    <sheet name="AoC-01" sheetId="3" r:id="rId2"/>
    <sheet name="Input-02" sheetId="5" r:id="rId3"/>
    <sheet name="AoC-02" sheetId="6" r:id="rId4"/>
    <sheet name="Input-03" sheetId="9" r:id="rId5"/>
    <sheet name="AoC-03" sheetId="7" r:id="rId6"/>
  </sheets>
  <functionGroups builtInGroupCount="19"/>
  <definedNames>
    <definedName name="ExternalData_1" localSheetId="0" hidden="1">'Input-01'!$A$1:$A$201</definedName>
    <definedName name="ExternalData_1" localSheetId="2" hidden="1">'Input-02'!$A$1:$C$1001</definedName>
    <definedName name="ExternalData_2" localSheetId="4" hidden="1">'Input-03'!$A$1:$A$324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9" l="1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C3" i="7" s="1"/>
  <c r="P2" i="9"/>
  <c r="P3" i="9"/>
  <c r="O5" i="9"/>
  <c r="P5" i="9" s="1"/>
  <c r="O4" i="9"/>
  <c r="O6" i="9" s="1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K3" i="9"/>
  <c r="K4" i="9" s="1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K281" i="9" s="1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K310" i="9" s="1"/>
  <c r="K311" i="9" s="1"/>
  <c r="K312" i="9" s="1"/>
  <c r="K313" i="9" s="1"/>
  <c r="K314" i="9" s="1"/>
  <c r="K315" i="9" s="1"/>
  <c r="K316" i="9" s="1"/>
  <c r="K317" i="9" s="1"/>
  <c r="K318" i="9" s="1"/>
  <c r="K319" i="9" s="1"/>
  <c r="K320" i="9" s="1"/>
  <c r="K321" i="9" s="1"/>
  <c r="K322" i="9" s="1"/>
  <c r="K323" i="9" s="1"/>
  <c r="K324" i="9" s="1"/>
  <c r="L2" i="9"/>
  <c r="M2" i="9" s="1"/>
  <c r="H3" i="9"/>
  <c r="I2" i="9"/>
  <c r="E3" i="9"/>
  <c r="F2" i="9"/>
  <c r="C2" i="9"/>
  <c r="D2" i="9" s="1"/>
  <c r="B3" i="9"/>
  <c r="O8" i="9" l="1"/>
  <c r="P6" i="9"/>
  <c r="O7" i="9"/>
  <c r="P4" i="9"/>
  <c r="L3" i="9"/>
  <c r="M3" i="9" s="1"/>
  <c r="J2" i="9"/>
  <c r="G2" i="9"/>
  <c r="I3" i="9"/>
  <c r="H4" i="9"/>
  <c r="E4" i="9"/>
  <c r="E5" i="9" s="1"/>
  <c r="F3" i="9"/>
  <c r="F4" i="9"/>
  <c r="C3" i="9"/>
  <c r="B4" i="9"/>
  <c r="C3" i="6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K433" i="5"/>
  <c r="K683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F336" i="5" s="1"/>
  <c r="L336" i="5" s="1"/>
  <c r="M336" i="5" s="1"/>
  <c r="D337" i="5"/>
  <c r="D338" i="5"/>
  <c r="D339" i="5"/>
  <c r="D340" i="5"/>
  <c r="D341" i="5"/>
  <c r="D342" i="5"/>
  <c r="D343" i="5"/>
  <c r="D344" i="5"/>
  <c r="D345" i="5"/>
  <c r="E345" i="5" s="1"/>
  <c r="J345" i="5" s="1"/>
  <c r="K345" i="5" s="1"/>
  <c r="D346" i="5"/>
  <c r="D347" i="5"/>
  <c r="D348" i="5"/>
  <c r="D349" i="5"/>
  <c r="E349" i="5" s="1"/>
  <c r="J349" i="5" s="1"/>
  <c r="K349" i="5" s="1"/>
  <c r="D350" i="5"/>
  <c r="D351" i="5"/>
  <c r="D352" i="5"/>
  <c r="D353" i="5"/>
  <c r="E353" i="5" s="1"/>
  <c r="J353" i="5" s="1"/>
  <c r="K353" i="5" s="1"/>
  <c r="D354" i="5"/>
  <c r="D355" i="5"/>
  <c r="D356" i="5"/>
  <c r="D357" i="5"/>
  <c r="E357" i="5" s="1"/>
  <c r="J357" i="5" s="1"/>
  <c r="K357" i="5" s="1"/>
  <c r="D358" i="5"/>
  <c r="D359" i="5"/>
  <c r="D360" i="5"/>
  <c r="D361" i="5"/>
  <c r="E361" i="5" s="1"/>
  <c r="J361" i="5" s="1"/>
  <c r="K361" i="5" s="1"/>
  <c r="D362" i="5"/>
  <c r="D363" i="5"/>
  <c r="D364" i="5"/>
  <c r="D365" i="5"/>
  <c r="E365" i="5" s="1"/>
  <c r="J365" i="5" s="1"/>
  <c r="K365" i="5" s="1"/>
  <c r="D366" i="5"/>
  <c r="D367" i="5"/>
  <c r="D368" i="5"/>
  <c r="D369" i="5"/>
  <c r="E369" i="5" s="1"/>
  <c r="J369" i="5" s="1"/>
  <c r="K369" i="5" s="1"/>
  <c r="D370" i="5"/>
  <c r="D371" i="5"/>
  <c r="D372" i="5"/>
  <c r="D373" i="5"/>
  <c r="E373" i="5" s="1"/>
  <c r="J373" i="5" s="1"/>
  <c r="K373" i="5" s="1"/>
  <c r="D374" i="5"/>
  <c r="D375" i="5"/>
  <c r="D376" i="5"/>
  <c r="D377" i="5"/>
  <c r="E377" i="5" s="1"/>
  <c r="J377" i="5" s="1"/>
  <c r="K377" i="5" s="1"/>
  <c r="D378" i="5"/>
  <c r="D379" i="5"/>
  <c r="D380" i="5"/>
  <c r="D381" i="5"/>
  <c r="E381" i="5" s="1"/>
  <c r="J381" i="5" s="1"/>
  <c r="K381" i="5" s="1"/>
  <c r="D382" i="5"/>
  <c r="D383" i="5"/>
  <c r="D384" i="5"/>
  <c r="D385" i="5"/>
  <c r="E385" i="5" s="1"/>
  <c r="J385" i="5" s="1"/>
  <c r="K385" i="5" s="1"/>
  <c r="D386" i="5"/>
  <c r="D387" i="5"/>
  <c r="D388" i="5"/>
  <c r="D389" i="5"/>
  <c r="E389" i="5" s="1"/>
  <c r="J389" i="5" s="1"/>
  <c r="K389" i="5" s="1"/>
  <c r="D390" i="5"/>
  <c r="D391" i="5"/>
  <c r="D392" i="5"/>
  <c r="D393" i="5"/>
  <c r="E393" i="5" s="1"/>
  <c r="J393" i="5" s="1"/>
  <c r="K393" i="5" s="1"/>
  <c r="D394" i="5"/>
  <c r="D395" i="5"/>
  <c r="D396" i="5"/>
  <c r="D397" i="5"/>
  <c r="E397" i="5" s="1"/>
  <c r="J397" i="5" s="1"/>
  <c r="K397" i="5" s="1"/>
  <c r="D398" i="5"/>
  <c r="D399" i="5"/>
  <c r="D400" i="5"/>
  <c r="D401" i="5"/>
  <c r="E401" i="5" s="1"/>
  <c r="J401" i="5" s="1"/>
  <c r="K401" i="5" s="1"/>
  <c r="D402" i="5"/>
  <c r="D403" i="5"/>
  <c r="F403" i="5" s="1"/>
  <c r="L403" i="5" s="1"/>
  <c r="M403" i="5" s="1"/>
  <c r="D404" i="5"/>
  <c r="D405" i="5"/>
  <c r="E405" i="5" s="1"/>
  <c r="J405" i="5" s="1"/>
  <c r="K405" i="5" s="1"/>
  <c r="D406" i="5"/>
  <c r="D407" i="5"/>
  <c r="D408" i="5"/>
  <c r="D409" i="5"/>
  <c r="E409" i="5" s="1"/>
  <c r="J409" i="5" s="1"/>
  <c r="K409" i="5" s="1"/>
  <c r="D410" i="5"/>
  <c r="D411" i="5"/>
  <c r="D412" i="5"/>
  <c r="D413" i="5"/>
  <c r="E413" i="5" s="1"/>
  <c r="J413" i="5" s="1"/>
  <c r="K413" i="5" s="1"/>
  <c r="D414" i="5"/>
  <c r="D415" i="5"/>
  <c r="D416" i="5"/>
  <c r="D417" i="5"/>
  <c r="E417" i="5" s="1"/>
  <c r="J417" i="5" s="1"/>
  <c r="K417" i="5" s="1"/>
  <c r="D418" i="5"/>
  <c r="D419" i="5"/>
  <c r="D420" i="5"/>
  <c r="D421" i="5"/>
  <c r="E421" i="5" s="1"/>
  <c r="J421" i="5" s="1"/>
  <c r="K421" i="5" s="1"/>
  <c r="D422" i="5"/>
  <c r="D423" i="5"/>
  <c r="D424" i="5"/>
  <c r="D425" i="5"/>
  <c r="E425" i="5" s="1"/>
  <c r="J425" i="5" s="1"/>
  <c r="K425" i="5" s="1"/>
  <c r="D426" i="5"/>
  <c r="D427" i="5"/>
  <c r="D428" i="5"/>
  <c r="D429" i="5"/>
  <c r="E429" i="5" s="1"/>
  <c r="J429" i="5" s="1"/>
  <c r="K429" i="5" s="1"/>
  <c r="D430" i="5"/>
  <c r="D431" i="5"/>
  <c r="D432" i="5"/>
  <c r="D433" i="5"/>
  <c r="E433" i="5" s="1"/>
  <c r="J433" i="5" s="1"/>
  <c r="D434" i="5"/>
  <c r="D435" i="5"/>
  <c r="D436" i="5"/>
  <c r="D437" i="5"/>
  <c r="E437" i="5" s="1"/>
  <c r="J437" i="5" s="1"/>
  <c r="K437" i="5" s="1"/>
  <c r="D438" i="5"/>
  <c r="D439" i="5"/>
  <c r="D440" i="5"/>
  <c r="D441" i="5"/>
  <c r="E441" i="5" s="1"/>
  <c r="J441" i="5" s="1"/>
  <c r="K441" i="5" s="1"/>
  <c r="D442" i="5"/>
  <c r="D443" i="5"/>
  <c r="D444" i="5"/>
  <c r="D445" i="5"/>
  <c r="E445" i="5" s="1"/>
  <c r="J445" i="5" s="1"/>
  <c r="K445" i="5" s="1"/>
  <c r="D446" i="5"/>
  <c r="D447" i="5"/>
  <c r="D448" i="5"/>
  <c r="D449" i="5"/>
  <c r="E449" i="5" s="1"/>
  <c r="J449" i="5" s="1"/>
  <c r="K449" i="5" s="1"/>
  <c r="D450" i="5"/>
  <c r="D451" i="5"/>
  <c r="D452" i="5"/>
  <c r="D453" i="5"/>
  <c r="E453" i="5" s="1"/>
  <c r="J453" i="5" s="1"/>
  <c r="K453" i="5" s="1"/>
  <c r="D454" i="5"/>
  <c r="D455" i="5"/>
  <c r="D456" i="5"/>
  <c r="D457" i="5"/>
  <c r="E457" i="5" s="1"/>
  <c r="J457" i="5" s="1"/>
  <c r="K457" i="5" s="1"/>
  <c r="D458" i="5"/>
  <c r="D459" i="5"/>
  <c r="D460" i="5"/>
  <c r="D461" i="5"/>
  <c r="E461" i="5" s="1"/>
  <c r="J461" i="5" s="1"/>
  <c r="K461" i="5" s="1"/>
  <c r="D462" i="5"/>
  <c r="D463" i="5"/>
  <c r="D464" i="5"/>
  <c r="D465" i="5"/>
  <c r="E465" i="5" s="1"/>
  <c r="J465" i="5" s="1"/>
  <c r="K465" i="5" s="1"/>
  <c r="D466" i="5"/>
  <c r="D467" i="5"/>
  <c r="F467" i="5" s="1"/>
  <c r="L467" i="5" s="1"/>
  <c r="M467" i="5" s="1"/>
  <c r="D468" i="5"/>
  <c r="D469" i="5"/>
  <c r="E469" i="5" s="1"/>
  <c r="J469" i="5" s="1"/>
  <c r="K469" i="5" s="1"/>
  <c r="D470" i="5"/>
  <c r="D471" i="5"/>
  <c r="D472" i="5"/>
  <c r="D473" i="5"/>
  <c r="E473" i="5" s="1"/>
  <c r="J473" i="5" s="1"/>
  <c r="K473" i="5" s="1"/>
  <c r="D474" i="5"/>
  <c r="D475" i="5"/>
  <c r="D476" i="5"/>
  <c r="D477" i="5"/>
  <c r="E477" i="5" s="1"/>
  <c r="J477" i="5" s="1"/>
  <c r="K477" i="5" s="1"/>
  <c r="D478" i="5"/>
  <c r="D479" i="5"/>
  <c r="D480" i="5"/>
  <c r="D481" i="5"/>
  <c r="E481" i="5" s="1"/>
  <c r="J481" i="5" s="1"/>
  <c r="K481" i="5" s="1"/>
  <c r="D482" i="5"/>
  <c r="D483" i="5"/>
  <c r="D484" i="5"/>
  <c r="D485" i="5"/>
  <c r="E485" i="5" s="1"/>
  <c r="J485" i="5" s="1"/>
  <c r="K485" i="5" s="1"/>
  <c r="D486" i="5"/>
  <c r="D487" i="5"/>
  <c r="D488" i="5"/>
  <c r="D489" i="5"/>
  <c r="E489" i="5" s="1"/>
  <c r="J489" i="5" s="1"/>
  <c r="K489" i="5" s="1"/>
  <c r="D490" i="5"/>
  <c r="D491" i="5"/>
  <c r="D492" i="5"/>
  <c r="D493" i="5"/>
  <c r="E493" i="5" s="1"/>
  <c r="J493" i="5" s="1"/>
  <c r="K493" i="5" s="1"/>
  <c r="D494" i="5"/>
  <c r="D495" i="5"/>
  <c r="D496" i="5"/>
  <c r="D497" i="5"/>
  <c r="E497" i="5" s="1"/>
  <c r="J497" i="5" s="1"/>
  <c r="K497" i="5" s="1"/>
  <c r="D498" i="5"/>
  <c r="D499" i="5"/>
  <c r="D500" i="5"/>
  <c r="D501" i="5"/>
  <c r="E501" i="5" s="1"/>
  <c r="J501" i="5" s="1"/>
  <c r="K501" i="5" s="1"/>
  <c r="D502" i="5"/>
  <c r="D503" i="5"/>
  <c r="D504" i="5"/>
  <c r="D505" i="5"/>
  <c r="E505" i="5" s="1"/>
  <c r="J505" i="5" s="1"/>
  <c r="K505" i="5" s="1"/>
  <c r="D506" i="5"/>
  <c r="D507" i="5"/>
  <c r="D508" i="5"/>
  <c r="D509" i="5"/>
  <c r="E509" i="5" s="1"/>
  <c r="J509" i="5" s="1"/>
  <c r="K509" i="5" s="1"/>
  <c r="D510" i="5"/>
  <c r="D511" i="5"/>
  <c r="D512" i="5"/>
  <c r="D513" i="5"/>
  <c r="E513" i="5" s="1"/>
  <c r="J513" i="5" s="1"/>
  <c r="K513" i="5" s="1"/>
  <c r="D514" i="5"/>
  <c r="D515" i="5"/>
  <c r="D516" i="5"/>
  <c r="D517" i="5"/>
  <c r="E517" i="5" s="1"/>
  <c r="J517" i="5" s="1"/>
  <c r="K517" i="5" s="1"/>
  <c r="D518" i="5"/>
  <c r="D519" i="5"/>
  <c r="D520" i="5"/>
  <c r="D521" i="5"/>
  <c r="E521" i="5" s="1"/>
  <c r="J521" i="5" s="1"/>
  <c r="K521" i="5" s="1"/>
  <c r="D522" i="5"/>
  <c r="D523" i="5"/>
  <c r="D524" i="5"/>
  <c r="D525" i="5"/>
  <c r="E525" i="5" s="1"/>
  <c r="J525" i="5" s="1"/>
  <c r="K525" i="5" s="1"/>
  <c r="D526" i="5"/>
  <c r="D527" i="5"/>
  <c r="D528" i="5"/>
  <c r="D529" i="5"/>
  <c r="E529" i="5" s="1"/>
  <c r="J529" i="5" s="1"/>
  <c r="K529" i="5" s="1"/>
  <c r="D530" i="5"/>
  <c r="D531" i="5"/>
  <c r="F531" i="5" s="1"/>
  <c r="L531" i="5" s="1"/>
  <c r="M531" i="5" s="1"/>
  <c r="D532" i="5"/>
  <c r="D533" i="5"/>
  <c r="E533" i="5" s="1"/>
  <c r="J533" i="5" s="1"/>
  <c r="K533" i="5" s="1"/>
  <c r="D534" i="5"/>
  <c r="D535" i="5"/>
  <c r="D536" i="5"/>
  <c r="D537" i="5"/>
  <c r="E537" i="5" s="1"/>
  <c r="J537" i="5" s="1"/>
  <c r="K537" i="5" s="1"/>
  <c r="D538" i="5"/>
  <c r="D539" i="5"/>
  <c r="D540" i="5"/>
  <c r="D541" i="5"/>
  <c r="E541" i="5" s="1"/>
  <c r="J541" i="5" s="1"/>
  <c r="K541" i="5" s="1"/>
  <c r="D542" i="5"/>
  <c r="D543" i="5"/>
  <c r="D544" i="5"/>
  <c r="D545" i="5"/>
  <c r="E545" i="5" s="1"/>
  <c r="J545" i="5" s="1"/>
  <c r="K545" i="5" s="1"/>
  <c r="D546" i="5"/>
  <c r="D547" i="5"/>
  <c r="D548" i="5"/>
  <c r="D549" i="5"/>
  <c r="E549" i="5" s="1"/>
  <c r="J549" i="5" s="1"/>
  <c r="K549" i="5" s="1"/>
  <c r="D550" i="5"/>
  <c r="D551" i="5"/>
  <c r="D552" i="5"/>
  <c r="D553" i="5"/>
  <c r="E553" i="5" s="1"/>
  <c r="J553" i="5" s="1"/>
  <c r="K553" i="5" s="1"/>
  <c r="D554" i="5"/>
  <c r="D555" i="5"/>
  <c r="D556" i="5"/>
  <c r="D557" i="5"/>
  <c r="E557" i="5" s="1"/>
  <c r="J557" i="5" s="1"/>
  <c r="K557" i="5" s="1"/>
  <c r="D558" i="5"/>
  <c r="D559" i="5"/>
  <c r="D560" i="5"/>
  <c r="D561" i="5"/>
  <c r="E561" i="5" s="1"/>
  <c r="J561" i="5" s="1"/>
  <c r="K561" i="5" s="1"/>
  <c r="D562" i="5"/>
  <c r="D563" i="5"/>
  <c r="D564" i="5"/>
  <c r="D565" i="5"/>
  <c r="E565" i="5" s="1"/>
  <c r="J565" i="5" s="1"/>
  <c r="K565" i="5" s="1"/>
  <c r="D566" i="5"/>
  <c r="D567" i="5"/>
  <c r="D568" i="5"/>
  <c r="D569" i="5"/>
  <c r="E569" i="5" s="1"/>
  <c r="J569" i="5" s="1"/>
  <c r="K569" i="5" s="1"/>
  <c r="D570" i="5"/>
  <c r="D571" i="5"/>
  <c r="D572" i="5"/>
  <c r="D573" i="5"/>
  <c r="E573" i="5" s="1"/>
  <c r="J573" i="5" s="1"/>
  <c r="K573" i="5" s="1"/>
  <c r="D574" i="5"/>
  <c r="D575" i="5"/>
  <c r="D576" i="5"/>
  <c r="D577" i="5"/>
  <c r="E577" i="5" s="1"/>
  <c r="J577" i="5" s="1"/>
  <c r="K577" i="5" s="1"/>
  <c r="D578" i="5"/>
  <c r="D579" i="5"/>
  <c r="D580" i="5"/>
  <c r="D581" i="5"/>
  <c r="E581" i="5" s="1"/>
  <c r="J581" i="5" s="1"/>
  <c r="K581" i="5" s="1"/>
  <c r="D582" i="5"/>
  <c r="D583" i="5"/>
  <c r="D584" i="5"/>
  <c r="D585" i="5"/>
  <c r="E585" i="5" s="1"/>
  <c r="J585" i="5" s="1"/>
  <c r="K585" i="5" s="1"/>
  <c r="D586" i="5"/>
  <c r="D587" i="5"/>
  <c r="D588" i="5"/>
  <c r="D589" i="5"/>
  <c r="E589" i="5" s="1"/>
  <c r="J589" i="5" s="1"/>
  <c r="K589" i="5" s="1"/>
  <c r="D590" i="5"/>
  <c r="D591" i="5"/>
  <c r="D592" i="5"/>
  <c r="D593" i="5"/>
  <c r="E593" i="5" s="1"/>
  <c r="J593" i="5" s="1"/>
  <c r="K593" i="5" s="1"/>
  <c r="D594" i="5"/>
  <c r="D595" i="5"/>
  <c r="F595" i="5" s="1"/>
  <c r="L595" i="5" s="1"/>
  <c r="M595" i="5" s="1"/>
  <c r="D596" i="5"/>
  <c r="D597" i="5"/>
  <c r="E597" i="5" s="1"/>
  <c r="J597" i="5" s="1"/>
  <c r="K597" i="5" s="1"/>
  <c r="D598" i="5"/>
  <c r="D599" i="5"/>
  <c r="D600" i="5"/>
  <c r="D601" i="5"/>
  <c r="E601" i="5" s="1"/>
  <c r="J601" i="5" s="1"/>
  <c r="K601" i="5" s="1"/>
  <c r="D602" i="5"/>
  <c r="D603" i="5"/>
  <c r="D604" i="5"/>
  <c r="D605" i="5"/>
  <c r="E605" i="5" s="1"/>
  <c r="J605" i="5" s="1"/>
  <c r="K605" i="5" s="1"/>
  <c r="D606" i="5"/>
  <c r="D607" i="5"/>
  <c r="D608" i="5"/>
  <c r="D609" i="5"/>
  <c r="E609" i="5" s="1"/>
  <c r="J609" i="5" s="1"/>
  <c r="K609" i="5" s="1"/>
  <c r="D610" i="5"/>
  <c r="D611" i="5"/>
  <c r="D612" i="5"/>
  <c r="D613" i="5"/>
  <c r="E613" i="5" s="1"/>
  <c r="J613" i="5" s="1"/>
  <c r="K613" i="5" s="1"/>
  <c r="D614" i="5"/>
  <c r="D615" i="5"/>
  <c r="D616" i="5"/>
  <c r="D617" i="5"/>
  <c r="E617" i="5" s="1"/>
  <c r="J617" i="5" s="1"/>
  <c r="K617" i="5" s="1"/>
  <c r="D618" i="5"/>
  <c r="D619" i="5"/>
  <c r="D620" i="5"/>
  <c r="D621" i="5"/>
  <c r="E621" i="5" s="1"/>
  <c r="J621" i="5" s="1"/>
  <c r="K621" i="5" s="1"/>
  <c r="D622" i="5"/>
  <c r="D623" i="5"/>
  <c r="D624" i="5"/>
  <c r="D625" i="5"/>
  <c r="E625" i="5" s="1"/>
  <c r="J625" i="5" s="1"/>
  <c r="K625" i="5" s="1"/>
  <c r="D626" i="5"/>
  <c r="D627" i="5"/>
  <c r="D628" i="5"/>
  <c r="D629" i="5"/>
  <c r="E629" i="5" s="1"/>
  <c r="J629" i="5" s="1"/>
  <c r="K629" i="5" s="1"/>
  <c r="D630" i="5"/>
  <c r="D631" i="5"/>
  <c r="D632" i="5"/>
  <c r="D633" i="5"/>
  <c r="E633" i="5" s="1"/>
  <c r="J633" i="5" s="1"/>
  <c r="K633" i="5" s="1"/>
  <c r="D634" i="5"/>
  <c r="D635" i="5"/>
  <c r="D636" i="5"/>
  <c r="D637" i="5"/>
  <c r="E637" i="5" s="1"/>
  <c r="J637" i="5" s="1"/>
  <c r="K637" i="5" s="1"/>
  <c r="D638" i="5"/>
  <c r="D639" i="5"/>
  <c r="D640" i="5"/>
  <c r="D641" i="5"/>
  <c r="E641" i="5" s="1"/>
  <c r="J641" i="5" s="1"/>
  <c r="K641" i="5" s="1"/>
  <c r="D642" i="5"/>
  <c r="D643" i="5"/>
  <c r="D644" i="5"/>
  <c r="D645" i="5"/>
  <c r="E645" i="5" s="1"/>
  <c r="J645" i="5" s="1"/>
  <c r="K645" i="5" s="1"/>
  <c r="D646" i="5"/>
  <c r="D647" i="5"/>
  <c r="D648" i="5"/>
  <c r="D649" i="5"/>
  <c r="E649" i="5" s="1"/>
  <c r="J649" i="5" s="1"/>
  <c r="K649" i="5" s="1"/>
  <c r="D650" i="5"/>
  <c r="D651" i="5"/>
  <c r="D652" i="5"/>
  <c r="D653" i="5"/>
  <c r="E653" i="5" s="1"/>
  <c r="J653" i="5" s="1"/>
  <c r="K653" i="5" s="1"/>
  <c r="D654" i="5"/>
  <c r="D655" i="5"/>
  <c r="D656" i="5"/>
  <c r="D657" i="5"/>
  <c r="E657" i="5" s="1"/>
  <c r="J657" i="5" s="1"/>
  <c r="K657" i="5" s="1"/>
  <c r="D658" i="5"/>
  <c r="D659" i="5"/>
  <c r="E659" i="5" s="1"/>
  <c r="J659" i="5" s="1"/>
  <c r="K659" i="5" s="1"/>
  <c r="D660" i="5"/>
  <c r="D661" i="5"/>
  <c r="E661" i="5" s="1"/>
  <c r="J661" i="5" s="1"/>
  <c r="K661" i="5" s="1"/>
  <c r="D662" i="5"/>
  <c r="D663" i="5"/>
  <c r="E663" i="5" s="1"/>
  <c r="J663" i="5" s="1"/>
  <c r="K663" i="5" s="1"/>
  <c r="D664" i="5"/>
  <c r="D665" i="5"/>
  <c r="E665" i="5" s="1"/>
  <c r="J665" i="5" s="1"/>
  <c r="K665" i="5" s="1"/>
  <c r="D666" i="5"/>
  <c r="D667" i="5"/>
  <c r="E667" i="5" s="1"/>
  <c r="J667" i="5" s="1"/>
  <c r="K667" i="5" s="1"/>
  <c r="D668" i="5"/>
  <c r="D669" i="5"/>
  <c r="E669" i="5" s="1"/>
  <c r="J669" i="5" s="1"/>
  <c r="K669" i="5" s="1"/>
  <c r="D670" i="5"/>
  <c r="D671" i="5"/>
  <c r="E671" i="5" s="1"/>
  <c r="J671" i="5" s="1"/>
  <c r="K671" i="5" s="1"/>
  <c r="D672" i="5"/>
  <c r="D673" i="5"/>
  <c r="E673" i="5" s="1"/>
  <c r="J673" i="5" s="1"/>
  <c r="K673" i="5" s="1"/>
  <c r="D674" i="5"/>
  <c r="D675" i="5"/>
  <c r="E675" i="5" s="1"/>
  <c r="J675" i="5" s="1"/>
  <c r="K675" i="5" s="1"/>
  <c r="D676" i="5"/>
  <c r="D677" i="5"/>
  <c r="E677" i="5" s="1"/>
  <c r="J677" i="5" s="1"/>
  <c r="K677" i="5" s="1"/>
  <c r="D678" i="5"/>
  <c r="D679" i="5"/>
  <c r="E679" i="5" s="1"/>
  <c r="J679" i="5" s="1"/>
  <c r="K679" i="5" s="1"/>
  <c r="D680" i="5"/>
  <c r="D681" i="5"/>
  <c r="E681" i="5" s="1"/>
  <c r="J681" i="5" s="1"/>
  <c r="K681" i="5" s="1"/>
  <c r="D682" i="5"/>
  <c r="D683" i="5"/>
  <c r="E683" i="5" s="1"/>
  <c r="J683" i="5" s="1"/>
  <c r="D684" i="5"/>
  <c r="E684" i="5" s="1"/>
  <c r="J684" i="5" s="1"/>
  <c r="K684" i="5" s="1"/>
  <c r="D685" i="5"/>
  <c r="E685" i="5" s="1"/>
  <c r="J685" i="5" s="1"/>
  <c r="K685" i="5" s="1"/>
  <c r="D686" i="5"/>
  <c r="D687" i="5"/>
  <c r="E687" i="5" s="1"/>
  <c r="J687" i="5" s="1"/>
  <c r="K687" i="5" s="1"/>
  <c r="D688" i="5"/>
  <c r="E688" i="5" s="1"/>
  <c r="J688" i="5" s="1"/>
  <c r="K688" i="5" s="1"/>
  <c r="D689" i="5"/>
  <c r="E689" i="5" s="1"/>
  <c r="J689" i="5" s="1"/>
  <c r="K689" i="5" s="1"/>
  <c r="D690" i="5"/>
  <c r="D691" i="5"/>
  <c r="E691" i="5" s="1"/>
  <c r="J691" i="5" s="1"/>
  <c r="K691" i="5" s="1"/>
  <c r="D692" i="5"/>
  <c r="E692" i="5" s="1"/>
  <c r="J692" i="5" s="1"/>
  <c r="K692" i="5" s="1"/>
  <c r="D693" i="5"/>
  <c r="E693" i="5" s="1"/>
  <c r="J693" i="5" s="1"/>
  <c r="K693" i="5" s="1"/>
  <c r="D694" i="5"/>
  <c r="D695" i="5"/>
  <c r="E695" i="5" s="1"/>
  <c r="J695" i="5" s="1"/>
  <c r="K695" i="5" s="1"/>
  <c r="D696" i="5"/>
  <c r="E696" i="5" s="1"/>
  <c r="J696" i="5" s="1"/>
  <c r="K696" i="5" s="1"/>
  <c r="D697" i="5"/>
  <c r="E697" i="5" s="1"/>
  <c r="J697" i="5" s="1"/>
  <c r="K697" i="5" s="1"/>
  <c r="D698" i="5"/>
  <c r="D699" i="5"/>
  <c r="E699" i="5" s="1"/>
  <c r="J699" i="5" s="1"/>
  <c r="K699" i="5" s="1"/>
  <c r="D700" i="5"/>
  <c r="E700" i="5" s="1"/>
  <c r="J700" i="5" s="1"/>
  <c r="K700" i="5" s="1"/>
  <c r="D701" i="5"/>
  <c r="E701" i="5" s="1"/>
  <c r="J701" i="5" s="1"/>
  <c r="K701" i="5" s="1"/>
  <c r="D702" i="5"/>
  <c r="D703" i="5"/>
  <c r="E703" i="5" s="1"/>
  <c r="J703" i="5" s="1"/>
  <c r="K703" i="5" s="1"/>
  <c r="D704" i="5"/>
  <c r="E704" i="5" s="1"/>
  <c r="J704" i="5" s="1"/>
  <c r="K704" i="5" s="1"/>
  <c r="D705" i="5"/>
  <c r="E705" i="5" s="1"/>
  <c r="J705" i="5" s="1"/>
  <c r="K705" i="5" s="1"/>
  <c r="D706" i="5"/>
  <c r="D707" i="5"/>
  <c r="E707" i="5" s="1"/>
  <c r="J707" i="5" s="1"/>
  <c r="K707" i="5" s="1"/>
  <c r="D708" i="5"/>
  <c r="E708" i="5" s="1"/>
  <c r="J708" i="5" s="1"/>
  <c r="K708" i="5" s="1"/>
  <c r="D709" i="5"/>
  <c r="E709" i="5" s="1"/>
  <c r="J709" i="5" s="1"/>
  <c r="K709" i="5" s="1"/>
  <c r="D710" i="5"/>
  <c r="D711" i="5"/>
  <c r="E711" i="5" s="1"/>
  <c r="J711" i="5" s="1"/>
  <c r="K711" i="5" s="1"/>
  <c r="D712" i="5"/>
  <c r="E712" i="5" s="1"/>
  <c r="J712" i="5" s="1"/>
  <c r="K712" i="5" s="1"/>
  <c r="D713" i="5"/>
  <c r="E713" i="5" s="1"/>
  <c r="J713" i="5" s="1"/>
  <c r="K713" i="5" s="1"/>
  <c r="D714" i="5"/>
  <c r="D715" i="5"/>
  <c r="E715" i="5" s="1"/>
  <c r="J715" i="5" s="1"/>
  <c r="K715" i="5" s="1"/>
  <c r="D716" i="5"/>
  <c r="E716" i="5" s="1"/>
  <c r="J716" i="5" s="1"/>
  <c r="K716" i="5" s="1"/>
  <c r="D717" i="5"/>
  <c r="E717" i="5" s="1"/>
  <c r="J717" i="5" s="1"/>
  <c r="K717" i="5" s="1"/>
  <c r="D718" i="5"/>
  <c r="D719" i="5"/>
  <c r="E719" i="5" s="1"/>
  <c r="J719" i="5" s="1"/>
  <c r="K719" i="5" s="1"/>
  <c r="D720" i="5"/>
  <c r="E720" i="5" s="1"/>
  <c r="J720" i="5" s="1"/>
  <c r="K720" i="5" s="1"/>
  <c r="D721" i="5"/>
  <c r="E721" i="5" s="1"/>
  <c r="J721" i="5" s="1"/>
  <c r="K721" i="5" s="1"/>
  <c r="D722" i="5"/>
  <c r="D723" i="5"/>
  <c r="E723" i="5" s="1"/>
  <c r="J723" i="5" s="1"/>
  <c r="K723" i="5" s="1"/>
  <c r="D724" i="5"/>
  <c r="E724" i="5" s="1"/>
  <c r="J724" i="5" s="1"/>
  <c r="K724" i="5" s="1"/>
  <c r="D725" i="5"/>
  <c r="E725" i="5" s="1"/>
  <c r="J725" i="5" s="1"/>
  <c r="K725" i="5" s="1"/>
  <c r="D726" i="5"/>
  <c r="D727" i="5"/>
  <c r="E727" i="5" s="1"/>
  <c r="J727" i="5" s="1"/>
  <c r="K727" i="5" s="1"/>
  <c r="D728" i="5"/>
  <c r="E728" i="5" s="1"/>
  <c r="J728" i="5" s="1"/>
  <c r="K728" i="5" s="1"/>
  <c r="D729" i="5"/>
  <c r="E729" i="5" s="1"/>
  <c r="J729" i="5" s="1"/>
  <c r="K729" i="5" s="1"/>
  <c r="D730" i="5"/>
  <c r="D731" i="5"/>
  <c r="E731" i="5" s="1"/>
  <c r="J731" i="5" s="1"/>
  <c r="K731" i="5" s="1"/>
  <c r="D732" i="5"/>
  <c r="E732" i="5" s="1"/>
  <c r="J732" i="5" s="1"/>
  <c r="K732" i="5" s="1"/>
  <c r="D733" i="5"/>
  <c r="E733" i="5" s="1"/>
  <c r="J733" i="5" s="1"/>
  <c r="K733" i="5" s="1"/>
  <c r="D734" i="5"/>
  <c r="D735" i="5"/>
  <c r="E735" i="5" s="1"/>
  <c r="J735" i="5" s="1"/>
  <c r="K735" i="5" s="1"/>
  <c r="D736" i="5"/>
  <c r="E736" i="5" s="1"/>
  <c r="J736" i="5" s="1"/>
  <c r="K736" i="5" s="1"/>
  <c r="D737" i="5"/>
  <c r="E737" i="5" s="1"/>
  <c r="J737" i="5" s="1"/>
  <c r="K737" i="5" s="1"/>
  <c r="D738" i="5"/>
  <c r="D739" i="5"/>
  <c r="E739" i="5" s="1"/>
  <c r="J739" i="5" s="1"/>
  <c r="K739" i="5" s="1"/>
  <c r="D740" i="5"/>
  <c r="E740" i="5" s="1"/>
  <c r="J740" i="5" s="1"/>
  <c r="K740" i="5" s="1"/>
  <c r="D741" i="5"/>
  <c r="E741" i="5" s="1"/>
  <c r="J741" i="5" s="1"/>
  <c r="K741" i="5" s="1"/>
  <c r="D742" i="5"/>
  <c r="D743" i="5"/>
  <c r="E743" i="5" s="1"/>
  <c r="J743" i="5" s="1"/>
  <c r="K743" i="5" s="1"/>
  <c r="D744" i="5"/>
  <c r="E744" i="5" s="1"/>
  <c r="J744" i="5" s="1"/>
  <c r="K744" i="5" s="1"/>
  <c r="D745" i="5"/>
  <c r="E745" i="5" s="1"/>
  <c r="J745" i="5" s="1"/>
  <c r="K745" i="5" s="1"/>
  <c r="D746" i="5"/>
  <c r="D747" i="5"/>
  <c r="E747" i="5" s="1"/>
  <c r="J747" i="5" s="1"/>
  <c r="K747" i="5" s="1"/>
  <c r="D748" i="5"/>
  <c r="E748" i="5" s="1"/>
  <c r="J748" i="5" s="1"/>
  <c r="K748" i="5" s="1"/>
  <c r="D749" i="5"/>
  <c r="E749" i="5" s="1"/>
  <c r="J749" i="5" s="1"/>
  <c r="K749" i="5" s="1"/>
  <c r="D750" i="5"/>
  <c r="D751" i="5"/>
  <c r="E751" i="5" s="1"/>
  <c r="J751" i="5" s="1"/>
  <c r="K751" i="5" s="1"/>
  <c r="D752" i="5"/>
  <c r="E752" i="5" s="1"/>
  <c r="J752" i="5" s="1"/>
  <c r="K752" i="5" s="1"/>
  <c r="D753" i="5"/>
  <c r="E753" i="5" s="1"/>
  <c r="J753" i="5" s="1"/>
  <c r="K753" i="5" s="1"/>
  <c r="D754" i="5"/>
  <c r="D755" i="5"/>
  <c r="E755" i="5" s="1"/>
  <c r="J755" i="5" s="1"/>
  <c r="K755" i="5" s="1"/>
  <c r="D756" i="5"/>
  <c r="E756" i="5" s="1"/>
  <c r="J756" i="5" s="1"/>
  <c r="K756" i="5" s="1"/>
  <c r="D757" i="5"/>
  <c r="E757" i="5" s="1"/>
  <c r="J757" i="5" s="1"/>
  <c r="K757" i="5" s="1"/>
  <c r="D758" i="5"/>
  <c r="D759" i="5"/>
  <c r="E759" i="5" s="1"/>
  <c r="J759" i="5" s="1"/>
  <c r="K759" i="5" s="1"/>
  <c r="D760" i="5"/>
  <c r="E760" i="5" s="1"/>
  <c r="J760" i="5" s="1"/>
  <c r="K760" i="5" s="1"/>
  <c r="D761" i="5"/>
  <c r="E761" i="5" s="1"/>
  <c r="J761" i="5" s="1"/>
  <c r="K761" i="5" s="1"/>
  <c r="D762" i="5"/>
  <c r="D763" i="5"/>
  <c r="E763" i="5" s="1"/>
  <c r="J763" i="5" s="1"/>
  <c r="K763" i="5" s="1"/>
  <c r="D764" i="5"/>
  <c r="E764" i="5" s="1"/>
  <c r="J764" i="5" s="1"/>
  <c r="K764" i="5" s="1"/>
  <c r="D765" i="5"/>
  <c r="E765" i="5" s="1"/>
  <c r="J765" i="5" s="1"/>
  <c r="K765" i="5" s="1"/>
  <c r="D766" i="5"/>
  <c r="D767" i="5"/>
  <c r="E767" i="5" s="1"/>
  <c r="J767" i="5" s="1"/>
  <c r="K767" i="5" s="1"/>
  <c r="D768" i="5"/>
  <c r="E768" i="5" s="1"/>
  <c r="J768" i="5" s="1"/>
  <c r="K768" i="5" s="1"/>
  <c r="D769" i="5"/>
  <c r="E769" i="5" s="1"/>
  <c r="J769" i="5" s="1"/>
  <c r="K769" i="5" s="1"/>
  <c r="D770" i="5"/>
  <c r="D771" i="5"/>
  <c r="E771" i="5" s="1"/>
  <c r="J771" i="5" s="1"/>
  <c r="K771" i="5" s="1"/>
  <c r="D772" i="5"/>
  <c r="E772" i="5" s="1"/>
  <c r="J772" i="5" s="1"/>
  <c r="K772" i="5" s="1"/>
  <c r="D773" i="5"/>
  <c r="E773" i="5" s="1"/>
  <c r="J773" i="5" s="1"/>
  <c r="K773" i="5" s="1"/>
  <c r="D774" i="5"/>
  <c r="D775" i="5"/>
  <c r="E775" i="5" s="1"/>
  <c r="J775" i="5" s="1"/>
  <c r="K775" i="5" s="1"/>
  <c r="D776" i="5"/>
  <c r="E776" i="5" s="1"/>
  <c r="J776" i="5" s="1"/>
  <c r="K776" i="5" s="1"/>
  <c r="D777" i="5"/>
  <c r="E777" i="5" s="1"/>
  <c r="J777" i="5" s="1"/>
  <c r="K777" i="5" s="1"/>
  <c r="D778" i="5"/>
  <c r="D779" i="5"/>
  <c r="E779" i="5" s="1"/>
  <c r="J779" i="5" s="1"/>
  <c r="K779" i="5" s="1"/>
  <c r="D780" i="5"/>
  <c r="E780" i="5" s="1"/>
  <c r="J780" i="5" s="1"/>
  <c r="K780" i="5" s="1"/>
  <c r="D781" i="5"/>
  <c r="E781" i="5" s="1"/>
  <c r="J781" i="5" s="1"/>
  <c r="K781" i="5" s="1"/>
  <c r="D782" i="5"/>
  <c r="D783" i="5"/>
  <c r="E783" i="5" s="1"/>
  <c r="J783" i="5" s="1"/>
  <c r="K783" i="5" s="1"/>
  <c r="D784" i="5"/>
  <c r="E784" i="5" s="1"/>
  <c r="J784" i="5" s="1"/>
  <c r="K784" i="5" s="1"/>
  <c r="D785" i="5"/>
  <c r="E785" i="5" s="1"/>
  <c r="J785" i="5" s="1"/>
  <c r="K785" i="5" s="1"/>
  <c r="D786" i="5"/>
  <c r="D787" i="5"/>
  <c r="E787" i="5" s="1"/>
  <c r="J787" i="5" s="1"/>
  <c r="K787" i="5" s="1"/>
  <c r="D788" i="5"/>
  <c r="E788" i="5" s="1"/>
  <c r="J788" i="5" s="1"/>
  <c r="K788" i="5" s="1"/>
  <c r="D789" i="5"/>
  <c r="E789" i="5" s="1"/>
  <c r="J789" i="5" s="1"/>
  <c r="K789" i="5" s="1"/>
  <c r="D790" i="5"/>
  <c r="D791" i="5"/>
  <c r="E791" i="5" s="1"/>
  <c r="J791" i="5" s="1"/>
  <c r="K791" i="5" s="1"/>
  <c r="D792" i="5"/>
  <c r="E792" i="5" s="1"/>
  <c r="J792" i="5" s="1"/>
  <c r="K792" i="5" s="1"/>
  <c r="D793" i="5"/>
  <c r="E793" i="5" s="1"/>
  <c r="J793" i="5" s="1"/>
  <c r="K793" i="5" s="1"/>
  <c r="D794" i="5"/>
  <c r="D795" i="5"/>
  <c r="E795" i="5" s="1"/>
  <c r="J795" i="5" s="1"/>
  <c r="K795" i="5" s="1"/>
  <c r="D796" i="5"/>
  <c r="E796" i="5" s="1"/>
  <c r="J796" i="5" s="1"/>
  <c r="K796" i="5" s="1"/>
  <c r="D797" i="5"/>
  <c r="E797" i="5" s="1"/>
  <c r="J797" i="5" s="1"/>
  <c r="K797" i="5" s="1"/>
  <c r="D798" i="5"/>
  <c r="D799" i="5"/>
  <c r="E799" i="5" s="1"/>
  <c r="J799" i="5" s="1"/>
  <c r="K799" i="5" s="1"/>
  <c r="D800" i="5"/>
  <c r="E800" i="5" s="1"/>
  <c r="J800" i="5" s="1"/>
  <c r="K800" i="5" s="1"/>
  <c r="D801" i="5"/>
  <c r="E801" i="5" s="1"/>
  <c r="J801" i="5" s="1"/>
  <c r="K801" i="5" s="1"/>
  <c r="D802" i="5"/>
  <c r="D803" i="5"/>
  <c r="E803" i="5" s="1"/>
  <c r="J803" i="5" s="1"/>
  <c r="K803" i="5" s="1"/>
  <c r="D804" i="5"/>
  <c r="E804" i="5" s="1"/>
  <c r="J804" i="5" s="1"/>
  <c r="K804" i="5" s="1"/>
  <c r="D805" i="5"/>
  <c r="E805" i="5" s="1"/>
  <c r="J805" i="5" s="1"/>
  <c r="K805" i="5" s="1"/>
  <c r="D806" i="5"/>
  <c r="D807" i="5"/>
  <c r="E807" i="5" s="1"/>
  <c r="J807" i="5" s="1"/>
  <c r="K807" i="5" s="1"/>
  <c r="D808" i="5"/>
  <c r="E808" i="5" s="1"/>
  <c r="J808" i="5" s="1"/>
  <c r="K808" i="5" s="1"/>
  <c r="D809" i="5"/>
  <c r="E809" i="5" s="1"/>
  <c r="J809" i="5" s="1"/>
  <c r="K809" i="5" s="1"/>
  <c r="D810" i="5"/>
  <c r="D811" i="5"/>
  <c r="E811" i="5" s="1"/>
  <c r="J811" i="5" s="1"/>
  <c r="K811" i="5" s="1"/>
  <c r="D812" i="5"/>
  <c r="E812" i="5" s="1"/>
  <c r="J812" i="5" s="1"/>
  <c r="K812" i="5" s="1"/>
  <c r="D813" i="5"/>
  <c r="E813" i="5" s="1"/>
  <c r="J813" i="5" s="1"/>
  <c r="K813" i="5" s="1"/>
  <c r="D814" i="5"/>
  <c r="D815" i="5"/>
  <c r="E815" i="5" s="1"/>
  <c r="J815" i="5" s="1"/>
  <c r="K815" i="5" s="1"/>
  <c r="D816" i="5"/>
  <c r="E816" i="5" s="1"/>
  <c r="J816" i="5" s="1"/>
  <c r="K816" i="5" s="1"/>
  <c r="D817" i="5"/>
  <c r="E817" i="5" s="1"/>
  <c r="J817" i="5" s="1"/>
  <c r="K817" i="5" s="1"/>
  <c r="D818" i="5"/>
  <c r="D819" i="5"/>
  <c r="E819" i="5" s="1"/>
  <c r="J819" i="5" s="1"/>
  <c r="K819" i="5" s="1"/>
  <c r="D820" i="5"/>
  <c r="E820" i="5" s="1"/>
  <c r="J820" i="5" s="1"/>
  <c r="K820" i="5" s="1"/>
  <c r="D821" i="5"/>
  <c r="E821" i="5" s="1"/>
  <c r="J821" i="5" s="1"/>
  <c r="K821" i="5" s="1"/>
  <c r="D822" i="5"/>
  <c r="D823" i="5"/>
  <c r="E823" i="5" s="1"/>
  <c r="J823" i="5" s="1"/>
  <c r="K823" i="5" s="1"/>
  <c r="D824" i="5"/>
  <c r="E824" i="5" s="1"/>
  <c r="J824" i="5" s="1"/>
  <c r="K824" i="5" s="1"/>
  <c r="D825" i="5"/>
  <c r="E825" i="5" s="1"/>
  <c r="J825" i="5" s="1"/>
  <c r="K825" i="5" s="1"/>
  <c r="D826" i="5"/>
  <c r="D827" i="5"/>
  <c r="E827" i="5" s="1"/>
  <c r="J827" i="5" s="1"/>
  <c r="K827" i="5" s="1"/>
  <c r="D828" i="5"/>
  <c r="E828" i="5" s="1"/>
  <c r="J828" i="5" s="1"/>
  <c r="K828" i="5" s="1"/>
  <c r="D829" i="5"/>
  <c r="E829" i="5" s="1"/>
  <c r="J829" i="5" s="1"/>
  <c r="K829" i="5" s="1"/>
  <c r="D830" i="5"/>
  <c r="D831" i="5"/>
  <c r="E831" i="5" s="1"/>
  <c r="J831" i="5" s="1"/>
  <c r="K831" i="5" s="1"/>
  <c r="D832" i="5"/>
  <c r="E832" i="5" s="1"/>
  <c r="J832" i="5" s="1"/>
  <c r="K832" i="5" s="1"/>
  <c r="D833" i="5"/>
  <c r="E833" i="5" s="1"/>
  <c r="J833" i="5" s="1"/>
  <c r="K833" i="5" s="1"/>
  <c r="D834" i="5"/>
  <c r="D835" i="5"/>
  <c r="E835" i="5" s="1"/>
  <c r="J835" i="5" s="1"/>
  <c r="K835" i="5" s="1"/>
  <c r="D836" i="5"/>
  <c r="E836" i="5" s="1"/>
  <c r="J836" i="5" s="1"/>
  <c r="K836" i="5" s="1"/>
  <c r="D837" i="5"/>
  <c r="E837" i="5" s="1"/>
  <c r="J837" i="5" s="1"/>
  <c r="K837" i="5" s="1"/>
  <c r="D838" i="5"/>
  <c r="D839" i="5"/>
  <c r="E839" i="5" s="1"/>
  <c r="J839" i="5" s="1"/>
  <c r="K839" i="5" s="1"/>
  <c r="D840" i="5"/>
  <c r="E840" i="5" s="1"/>
  <c r="J840" i="5" s="1"/>
  <c r="K840" i="5" s="1"/>
  <c r="D841" i="5"/>
  <c r="E841" i="5" s="1"/>
  <c r="J841" i="5" s="1"/>
  <c r="K841" i="5" s="1"/>
  <c r="D842" i="5"/>
  <c r="D843" i="5"/>
  <c r="E843" i="5" s="1"/>
  <c r="J843" i="5" s="1"/>
  <c r="K843" i="5" s="1"/>
  <c r="D844" i="5"/>
  <c r="E844" i="5" s="1"/>
  <c r="J844" i="5" s="1"/>
  <c r="K844" i="5" s="1"/>
  <c r="D845" i="5"/>
  <c r="E845" i="5" s="1"/>
  <c r="J845" i="5" s="1"/>
  <c r="K845" i="5" s="1"/>
  <c r="D846" i="5"/>
  <c r="D847" i="5"/>
  <c r="E847" i="5" s="1"/>
  <c r="J847" i="5" s="1"/>
  <c r="K847" i="5" s="1"/>
  <c r="D848" i="5"/>
  <c r="E848" i="5" s="1"/>
  <c r="J848" i="5" s="1"/>
  <c r="K848" i="5" s="1"/>
  <c r="D849" i="5"/>
  <c r="E849" i="5" s="1"/>
  <c r="J849" i="5" s="1"/>
  <c r="K849" i="5" s="1"/>
  <c r="D850" i="5"/>
  <c r="D851" i="5"/>
  <c r="E851" i="5" s="1"/>
  <c r="J851" i="5" s="1"/>
  <c r="K851" i="5" s="1"/>
  <c r="D852" i="5"/>
  <c r="E852" i="5" s="1"/>
  <c r="J852" i="5" s="1"/>
  <c r="K852" i="5" s="1"/>
  <c r="D853" i="5"/>
  <c r="E853" i="5" s="1"/>
  <c r="J853" i="5" s="1"/>
  <c r="K853" i="5" s="1"/>
  <c r="D854" i="5"/>
  <c r="D855" i="5"/>
  <c r="E855" i="5" s="1"/>
  <c r="J855" i="5" s="1"/>
  <c r="K855" i="5" s="1"/>
  <c r="D856" i="5"/>
  <c r="E856" i="5" s="1"/>
  <c r="J856" i="5" s="1"/>
  <c r="K856" i="5" s="1"/>
  <c r="D857" i="5"/>
  <c r="E857" i="5" s="1"/>
  <c r="J857" i="5" s="1"/>
  <c r="K857" i="5" s="1"/>
  <c r="D858" i="5"/>
  <c r="D859" i="5"/>
  <c r="E859" i="5" s="1"/>
  <c r="J859" i="5" s="1"/>
  <c r="K859" i="5" s="1"/>
  <c r="D860" i="5"/>
  <c r="E860" i="5" s="1"/>
  <c r="J860" i="5" s="1"/>
  <c r="K860" i="5" s="1"/>
  <c r="D861" i="5"/>
  <c r="E861" i="5" s="1"/>
  <c r="J861" i="5" s="1"/>
  <c r="K861" i="5" s="1"/>
  <c r="D862" i="5"/>
  <c r="D863" i="5"/>
  <c r="E863" i="5" s="1"/>
  <c r="J863" i="5" s="1"/>
  <c r="K863" i="5" s="1"/>
  <c r="D864" i="5"/>
  <c r="E864" i="5" s="1"/>
  <c r="J864" i="5" s="1"/>
  <c r="K864" i="5" s="1"/>
  <c r="D865" i="5"/>
  <c r="E865" i="5" s="1"/>
  <c r="J865" i="5" s="1"/>
  <c r="K865" i="5" s="1"/>
  <c r="D866" i="5"/>
  <c r="D867" i="5"/>
  <c r="E867" i="5" s="1"/>
  <c r="J867" i="5" s="1"/>
  <c r="K867" i="5" s="1"/>
  <c r="D868" i="5"/>
  <c r="E868" i="5" s="1"/>
  <c r="J868" i="5" s="1"/>
  <c r="K868" i="5" s="1"/>
  <c r="D869" i="5"/>
  <c r="E869" i="5" s="1"/>
  <c r="J869" i="5" s="1"/>
  <c r="K869" i="5" s="1"/>
  <c r="D870" i="5"/>
  <c r="D871" i="5"/>
  <c r="F871" i="5" s="1"/>
  <c r="L871" i="5" s="1"/>
  <c r="M871" i="5" s="1"/>
  <c r="D872" i="5"/>
  <c r="E872" i="5" s="1"/>
  <c r="J872" i="5" s="1"/>
  <c r="K872" i="5" s="1"/>
  <c r="D873" i="5"/>
  <c r="E873" i="5" s="1"/>
  <c r="J873" i="5" s="1"/>
  <c r="K873" i="5" s="1"/>
  <c r="D874" i="5"/>
  <c r="D875" i="5"/>
  <c r="E875" i="5" s="1"/>
  <c r="J875" i="5" s="1"/>
  <c r="K875" i="5" s="1"/>
  <c r="D876" i="5"/>
  <c r="E876" i="5" s="1"/>
  <c r="J876" i="5" s="1"/>
  <c r="K876" i="5" s="1"/>
  <c r="D877" i="5"/>
  <c r="E877" i="5" s="1"/>
  <c r="J877" i="5" s="1"/>
  <c r="K877" i="5" s="1"/>
  <c r="D878" i="5"/>
  <c r="D879" i="5"/>
  <c r="F879" i="5" s="1"/>
  <c r="L879" i="5" s="1"/>
  <c r="M879" i="5" s="1"/>
  <c r="D880" i="5"/>
  <c r="E880" i="5" s="1"/>
  <c r="J880" i="5" s="1"/>
  <c r="K880" i="5" s="1"/>
  <c r="D881" i="5"/>
  <c r="E881" i="5" s="1"/>
  <c r="J881" i="5" s="1"/>
  <c r="K881" i="5" s="1"/>
  <c r="D882" i="5"/>
  <c r="D883" i="5"/>
  <c r="E883" i="5" s="1"/>
  <c r="J883" i="5" s="1"/>
  <c r="K883" i="5" s="1"/>
  <c r="D884" i="5"/>
  <c r="E884" i="5" s="1"/>
  <c r="J884" i="5" s="1"/>
  <c r="K884" i="5" s="1"/>
  <c r="D885" i="5"/>
  <c r="E885" i="5" s="1"/>
  <c r="J885" i="5" s="1"/>
  <c r="K885" i="5" s="1"/>
  <c r="D886" i="5"/>
  <c r="D887" i="5"/>
  <c r="E887" i="5" s="1"/>
  <c r="J887" i="5" s="1"/>
  <c r="K887" i="5" s="1"/>
  <c r="D888" i="5"/>
  <c r="E888" i="5" s="1"/>
  <c r="J888" i="5" s="1"/>
  <c r="K888" i="5" s="1"/>
  <c r="D889" i="5"/>
  <c r="E889" i="5" s="1"/>
  <c r="J889" i="5" s="1"/>
  <c r="K889" i="5" s="1"/>
  <c r="D890" i="5"/>
  <c r="D891" i="5"/>
  <c r="E891" i="5" s="1"/>
  <c r="J891" i="5" s="1"/>
  <c r="K891" i="5" s="1"/>
  <c r="D892" i="5"/>
  <c r="E892" i="5" s="1"/>
  <c r="J892" i="5" s="1"/>
  <c r="K892" i="5" s="1"/>
  <c r="D893" i="5"/>
  <c r="E893" i="5" s="1"/>
  <c r="J893" i="5" s="1"/>
  <c r="K893" i="5" s="1"/>
  <c r="D894" i="5"/>
  <c r="D895" i="5"/>
  <c r="E895" i="5" s="1"/>
  <c r="J895" i="5" s="1"/>
  <c r="K895" i="5" s="1"/>
  <c r="D896" i="5"/>
  <c r="E896" i="5" s="1"/>
  <c r="J896" i="5" s="1"/>
  <c r="K896" i="5" s="1"/>
  <c r="D897" i="5"/>
  <c r="E897" i="5" s="1"/>
  <c r="J897" i="5" s="1"/>
  <c r="K897" i="5" s="1"/>
  <c r="D898" i="5"/>
  <c r="D899" i="5"/>
  <c r="E899" i="5" s="1"/>
  <c r="J899" i="5" s="1"/>
  <c r="K899" i="5" s="1"/>
  <c r="D900" i="5"/>
  <c r="E900" i="5" s="1"/>
  <c r="J900" i="5" s="1"/>
  <c r="K900" i="5" s="1"/>
  <c r="D901" i="5"/>
  <c r="E901" i="5" s="1"/>
  <c r="J901" i="5" s="1"/>
  <c r="K901" i="5" s="1"/>
  <c r="D902" i="5"/>
  <c r="D903" i="5"/>
  <c r="F903" i="5" s="1"/>
  <c r="L903" i="5" s="1"/>
  <c r="M903" i="5" s="1"/>
  <c r="D904" i="5"/>
  <c r="E904" i="5" s="1"/>
  <c r="J904" i="5" s="1"/>
  <c r="K904" i="5" s="1"/>
  <c r="D905" i="5"/>
  <c r="E905" i="5" s="1"/>
  <c r="J905" i="5" s="1"/>
  <c r="K905" i="5" s="1"/>
  <c r="D906" i="5"/>
  <c r="D907" i="5"/>
  <c r="E907" i="5" s="1"/>
  <c r="J907" i="5" s="1"/>
  <c r="K907" i="5" s="1"/>
  <c r="D908" i="5"/>
  <c r="E908" i="5" s="1"/>
  <c r="J908" i="5" s="1"/>
  <c r="K908" i="5" s="1"/>
  <c r="D909" i="5"/>
  <c r="E909" i="5" s="1"/>
  <c r="J909" i="5" s="1"/>
  <c r="K909" i="5" s="1"/>
  <c r="D910" i="5"/>
  <c r="D911" i="5"/>
  <c r="E911" i="5" s="1"/>
  <c r="J911" i="5" s="1"/>
  <c r="K911" i="5" s="1"/>
  <c r="D912" i="5"/>
  <c r="E912" i="5" s="1"/>
  <c r="J912" i="5" s="1"/>
  <c r="K912" i="5" s="1"/>
  <c r="D913" i="5"/>
  <c r="E913" i="5" s="1"/>
  <c r="J913" i="5" s="1"/>
  <c r="K913" i="5" s="1"/>
  <c r="D914" i="5"/>
  <c r="D915" i="5"/>
  <c r="E915" i="5" s="1"/>
  <c r="J915" i="5" s="1"/>
  <c r="K915" i="5" s="1"/>
  <c r="D916" i="5"/>
  <c r="E916" i="5" s="1"/>
  <c r="J916" i="5" s="1"/>
  <c r="K916" i="5" s="1"/>
  <c r="D917" i="5"/>
  <c r="E917" i="5" s="1"/>
  <c r="J917" i="5" s="1"/>
  <c r="K917" i="5" s="1"/>
  <c r="D918" i="5"/>
  <c r="D919" i="5"/>
  <c r="E919" i="5" s="1"/>
  <c r="J919" i="5" s="1"/>
  <c r="K919" i="5" s="1"/>
  <c r="D920" i="5"/>
  <c r="E920" i="5" s="1"/>
  <c r="J920" i="5" s="1"/>
  <c r="K920" i="5" s="1"/>
  <c r="D921" i="5"/>
  <c r="E921" i="5" s="1"/>
  <c r="J921" i="5" s="1"/>
  <c r="K921" i="5" s="1"/>
  <c r="D922" i="5"/>
  <c r="D923" i="5"/>
  <c r="E923" i="5" s="1"/>
  <c r="J923" i="5" s="1"/>
  <c r="K923" i="5" s="1"/>
  <c r="D924" i="5"/>
  <c r="E924" i="5" s="1"/>
  <c r="J924" i="5" s="1"/>
  <c r="K924" i="5" s="1"/>
  <c r="D925" i="5"/>
  <c r="E925" i="5" s="1"/>
  <c r="J925" i="5" s="1"/>
  <c r="K925" i="5" s="1"/>
  <c r="D926" i="5"/>
  <c r="D927" i="5"/>
  <c r="E927" i="5" s="1"/>
  <c r="J927" i="5" s="1"/>
  <c r="K927" i="5" s="1"/>
  <c r="D928" i="5"/>
  <c r="E928" i="5" s="1"/>
  <c r="J928" i="5" s="1"/>
  <c r="K928" i="5" s="1"/>
  <c r="D929" i="5"/>
  <c r="E929" i="5" s="1"/>
  <c r="J929" i="5" s="1"/>
  <c r="K929" i="5" s="1"/>
  <c r="D930" i="5"/>
  <c r="D931" i="5"/>
  <c r="E931" i="5" s="1"/>
  <c r="J931" i="5" s="1"/>
  <c r="K931" i="5" s="1"/>
  <c r="D932" i="5"/>
  <c r="E932" i="5" s="1"/>
  <c r="J932" i="5" s="1"/>
  <c r="K932" i="5" s="1"/>
  <c r="D933" i="5"/>
  <c r="E933" i="5" s="1"/>
  <c r="J933" i="5" s="1"/>
  <c r="K933" i="5" s="1"/>
  <c r="D934" i="5"/>
  <c r="D935" i="5"/>
  <c r="E935" i="5" s="1"/>
  <c r="J935" i="5" s="1"/>
  <c r="K935" i="5" s="1"/>
  <c r="D936" i="5"/>
  <c r="E936" i="5" s="1"/>
  <c r="J936" i="5" s="1"/>
  <c r="K936" i="5" s="1"/>
  <c r="D937" i="5"/>
  <c r="E937" i="5" s="1"/>
  <c r="J937" i="5" s="1"/>
  <c r="K937" i="5" s="1"/>
  <c r="D938" i="5"/>
  <c r="D939" i="5"/>
  <c r="E939" i="5" s="1"/>
  <c r="J939" i="5" s="1"/>
  <c r="K939" i="5" s="1"/>
  <c r="D940" i="5"/>
  <c r="E940" i="5" s="1"/>
  <c r="J940" i="5" s="1"/>
  <c r="K940" i="5" s="1"/>
  <c r="D941" i="5"/>
  <c r="E941" i="5" s="1"/>
  <c r="J941" i="5" s="1"/>
  <c r="K941" i="5" s="1"/>
  <c r="D942" i="5"/>
  <c r="D943" i="5"/>
  <c r="E943" i="5" s="1"/>
  <c r="J943" i="5" s="1"/>
  <c r="K943" i="5" s="1"/>
  <c r="D944" i="5"/>
  <c r="E944" i="5" s="1"/>
  <c r="J944" i="5" s="1"/>
  <c r="K944" i="5" s="1"/>
  <c r="D945" i="5"/>
  <c r="E945" i="5" s="1"/>
  <c r="J945" i="5" s="1"/>
  <c r="K945" i="5" s="1"/>
  <c r="D946" i="5"/>
  <c r="D947" i="5"/>
  <c r="E947" i="5" s="1"/>
  <c r="J947" i="5" s="1"/>
  <c r="K947" i="5" s="1"/>
  <c r="D948" i="5"/>
  <c r="E948" i="5" s="1"/>
  <c r="J948" i="5" s="1"/>
  <c r="K948" i="5" s="1"/>
  <c r="D949" i="5"/>
  <c r="E949" i="5" s="1"/>
  <c r="J949" i="5" s="1"/>
  <c r="K949" i="5" s="1"/>
  <c r="D950" i="5"/>
  <c r="D951" i="5"/>
  <c r="E951" i="5" s="1"/>
  <c r="J951" i="5" s="1"/>
  <c r="K951" i="5" s="1"/>
  <c r="D952" i="5"/>
  <c r="E952" i="5" s="1"/>
  <c r="J952" i="5" s="1"/>
  <c r="K952" i="5" s="1"/>
  <c r="D953" i="5"/>
  <c r="E953" i="5" s="1"/>
  <c r="J953" i="5" s="1"/>
  <c r="K953" i="5" s="1"/>
  <c r="D954" i="5"/>
  <c r="D955" i="5"/>
  <c r="E955" i="5" s="1"/>
  <c r="J955" i="5" s="1"/>
  <c r="K955" i="5" s="1"/>
  <c r="D956" i="5"/>
  <c r="E956" i="5" s="1"/>
  <c r="J956" i="5" s="1"/>
  <c r="K956" i="5" s="1"/>
  <c r="D957" i="5"/>
  <c r="E957" i="5" s="1"/>
  <c r="J957" i="5" s="1"/>
  <c r="K957" i="5" s="1"/>
  <c r="D958" i="5"/>
  <c r="D959" i="5"/>
  <c r="E959" i="5" s="1"/>
  <c r="J959" i="5" s="1"/>
  <c r="K959" i="5" s="1"/>
  <c r="D960" i="5"/>
  <c r="E960" i="5" s="1"/>
  <c r="J960" i="5" s="1"/>
  <c r="K960" i="5" s="1"/>
  <c r="D961" i="5"/>
  <c r="E961" i="5" s="1"/>
  <c r="J961" i="5" s="1"/>
  <c r="K961" i="5" s="1"/>
  <c r="D962" i="5"/>
  <c r="D963" i="5"/>
  <c r="E963" i="5" s="1"/>
  <c r="J963" i="5" s="1"/>
  <c r="K963" i="5" s="1"/>
  <c r="D964" i="5"/>
  <c r="E964" i="5" s="1"/>
  <c r="J964" i="5" s="1"/>
  <c r="K964" i="5" s="1"/>
  <c r="D965" i="5"/>
  <c r="E965" i="5" s="1"/>
  <c r="J965" i="5" s="1"/>
  <c r="K965" i="5" s="1"/>
  <c r="D966" i="5"/>
  <c r="D967" i="5"/>
  <c r="E967" i="5" s="1"/>
  <c r="J967" i="5" s="1"/>
  <c r="K967" i="5" s="1"/>
  <c r="D968" i="5"/>
  <c r="E968" i="5" s="1"/>
  <c r="J968" i="5" s="1"/>
  <c r="K968" i="5" s="1"/>
  <c r="D969" i="5"/>
  <c r="E969" i="5" s="1"/>
  <c r="J969" i="5" s="1"/>
  <c r="K969" i="5" s="1"/>
  <c r="D970" i="5"/>
  <c r="D971" i="5"/>
  <c r="E971" i="5" s="1"/>
  <c r="J971" i="5" s="1"/>
  <c r="K971" i="5" s="1"/>
  <c r="D972" i="5"/>
  <c r="E972" i="5" s="1"/>
  <c r="J972" i="5" s="1"/>
  <c r="K972" i="5" s="1"/>
  <c r="D973" i="5"/>
  <c r="E973" i="5" s="1"/>
  <c r="J973" i="5" s="1"/>
  <c r="K973" i="5" s="1"/>
  <c r="D974" i="5"/>
  <c r="D975" i="5"/>
  <c r="E975" i="5" s="1"/>
  <c r="J975" i="5" s="1"/>
  <c r="K975" i="5" s="1"/>
  <c r="D976" i="5"/>
  <c r="E976" i="5" s="1"/>
  <c r="J976" i="5" s="1"/>
  <c r="K976" i="5" s="1"/>
  <c r="D977" i="5"/>
  <c r="E977" i="5" s="1"/>
  <c r="J977" i="5" s="1"/>
  <c r="K977" i="5" s="1"/>
  <c r="D978" i="5"/>
  <c r="D979" i="5"/>
  <c r="E979" i="5" s="1"/>
  <c r="J979" i="5" s="1"/>
  <c r="K979" i="5" s="1"/>
  <c r="D980" i="5"/>
  <c r="E980" i="5" s="1"/>
  <c r="J980" i="5" s="1"/>
  <c r="K980" i="5" s="1"/>
  <c r="D981" i="5"/>
  <c r="E981" i="5" s="1"/>
  <c r="J981" i="5" s="1"/>
  <c r="K981" i="5" s="1"/>
  <c r="D982" i="5"/>
  <c r="D983" i="5"/>
  <c r="E983" i="5" s="1"/>
  <c r="J983" i="5" s="1"/>
  <c r="K983" i="5" s="1"/>
  <c r="D984" i="5"/>
  <c r="E984" i="5" s="1"/>
  <c r="J984" i="5" s="1"/>
  <c r="K984" i="5" s="1"/>
  <c r="D985" i="5"/>
  <c r="E985" i="5" s="1"/>
  <c r="J985" i="5" s="1"/>
  <c r="K985" i="5" s="1"/>
  <c r="D986" i="5"/>
  <c r="D987" i="5"/>
  <c r="E987" i="5" s="1"/>
  <c r="J987" i="5" s="1"/>
  <c r="K987" i="5" s="1"/>
  <c r="D988" i="5"/>
  <c r="E988" i="5" s="1"/>
  <c r="J988" i="5" s="1"/>
  <c r="K988" i="5" s="1"/>
  <c r="D989" i="5"/>
  <c r="E989" i="5" s="1"/>
  <c r="J989" i="5" s="1"/>
  <c r="K989" i="5" s="1"/>
  <c r="D990" i="5"/>
  <c r="D991" i="5"/>
  <c r="E991" i="5" s="1"/>
  <c r="J991" i="5" s="1"/>
  <c r="K991" i="5" s="1"/>
  <c r="D992" i="5"/>
  <c r="E992" i="5" s="1"/>
  <c r="J992" i="5" s="1"/>
  <c r="K992" i="5" s="1"/>
  <c r="D993" i="5"/>
  <c r="E993" i="5" s="1"/>
  <c r="J993" i="5" s="1"/>
  <c r="K993" i="5" s="1"/>
  <c r="D994" i="5"/>
  <c r="D995" i="5"/>
  <c r="E995" i="5" s="1"/>
  <c r="J995" i="5" s="1"/>
  <c r="K995" i="5" s="1"/>
  <c r="D996" i="5"/>
  <c r="E996" i="5" s="1"/>
  <c r="J996" i="5" s="1"/>
  <c r="K996" i="5" s="1"/>
  <c r="D997" i="5"/>
  <c r="E997" i="5" s="1"/>
  <c r="J997" i="5" s="1"/>
  <c r="K997" i="5" s="1"/>
  <c r="D998" i="5"/>
  <c r="D999" i="5"/>
  <c r="E999" i="5" s="1"/>
  <c r="J999" i="5" s="1"/>
  <c r="K999" i="5" s="1"/>
  <c r="D1000" i="5"/>
  <c r="E1000" i="5" s="1"/>
  <c r="J1000" i="5" s="1"/>
  <c r="K1000" i="5" s="1"/>
  <c r="D1001" i="5"/>
  <c r="E1001" i="5" s="1"/>
  <c r="J1001" i="5" s="1"/>
  <c r="K1001" i="5" s="1"/>
  <c r="H3" i="5" a="1"/>
  <c r="H2" i="5" a="1"/>
  <c r="H5" i="5" a="1"/>
  <c r="H8" i="5" a="1"/>
  <c r="H13" i="5" a="1"/>
  <c r="H16" i="5" a="1"/>
  <c r="H21" i="5" a="1"/>
  <c r="H24" i="5" a="1"/>
  <c r="H29" i="5" a="1"/>
  <c r="H32" i="5" a="1"/>
  <c r="H37" i="5" a="1"/>
  <c r="H40" i="5" a="1"/>
  <c r="H45" i="5" a="1"/>
  <c r="H48" i="5" a="1"/>
  <c r="H53" i="5" a="1"/>
  <c r="H56" i="5" a="1"/>
  <c r="H61" i="5" a="1"/>
  <c r="H64" i="5" a="1"/>
  <c r="H69" i="5" a="1"/>
  <c r="H72" i="5" a="1"/>
  <c r="H77" i="5" a="1"/>
  <c r="H80" i="5" a="1"/>
  <c r="H85" i="5" a="1"/>
  <c r="H88" i="5" a="1"/>
  <c r="H93" i="5" a="1"/>
  <c r="H96" i="5" a="1"/>
  <c r="H101" i="5" a="1"/>
  <c r="H104" i="5" a="1"/>
  <c r="H109" i="5" a="1"/>
  <c r="H112" i="5" a="1"/>
  <c r="H117" i="5" a="1"/>
  <c r="H120" i="5" a="1"/>
  <c r="H125" i="5" a="1"/>
  <c r="H128" i="5" a="1"/>
  <c r="H133" i="5" a="1"/>
  <c r="H136" i="5" a="1"/>
  <c r="H141" i="5" a="1"/>
  <c r="H144" i="5" a="1"/>
  <c r="H149" i="5" a="1"/>
  <c r="H152" i="5" a="1"/>
  <c r="H157" i="5" a="1"/>
  <c r="H160" i="5" a="1"/>
  <c r="H165" i="5" a="1"/>
  <c r="H6" i="5" a="1"/>
  <c r="H11" i="5" a="1"/>
  <c r="H14" i="5" a="1"/>
  <c r="H19" i="5" a="1"/>
  <c r="H22" i="5" a="1"/>
  <c r="H27" i="5" a="1"/>
  <c r="H30" i="5" a="1"/>
  <c r="H35" i="5" a="1"/>
  <c r="H38" i="5" a="1"/>
  <c r="H43" i="5" a="1"/>
  <c r="H46" i="5" a="1"/>
  <c r="H51" i="5" a="1"/>
  <c r="H54" i="5" a="1"/>
  <c r="H59" i="5" a="1"/>
  <c r="H62" i="5" a="1"/>
  <c r="H67" i="5" a="1"/>
  <c r="H70" i="5" a="1"/>
  <c r="H75" i="5" a="1"/>
  <c r="H78" i="5" a="1"/>
  <c r="H83" i="5" a="1"/>
  <c r="H86" i="5" a="1"/>
  <c r="H91" i="5" a="1"/>
  <c r="H94" i="5" a="1"/>
  <c r="H99" i="5" a="1"/>
  <c r="H102" i="5" a="1"/>
  <c r="H107" i="5" a="1"/>
  <c r="H110" i="5" a="1"/>
  <c r="H115" i="5" a="1"/>
  <c r="H118" i="5" a="1"/>
  <c r="H123" i="5" a="1"/>
  <c r="H126" i="5" a="1"/>
  <c r="H131" i="5" a="1"/>
  <c r="H134" i="5" a="1"/>
  <c r="H139" i="5" a="1"/>
  <c r="H142" i="5" a="1"/>
  <c r="H147" i="5" a="1"/>
  <c r="H150" i="5" a="1"/>
  <c r="H155" i="5" a="1"/>
  <c r="H158" i="5" a="1"/>
  <c r="H163" i="5" a="1"/>
  <c r="H166" i="5" a="1"/>
  <c r="H171" i="5" a="1"/>
  <c r="H4" i="5" a="1"/>
  <c r="H9" i="5" a="1"/>
  <c r="H12" i="5" a="1"/>
  <c r="H17" i="5" a="1"/>
  <c r="H20" i="5" a="1"/>
  <c r="H25" i="5" a="1"/>
  <c r="H28" i="5" a="1"/>
  <c r="H33" i="5" a="1"/>
  <c r="H36" i="5" a="1"/>
  <c r="H41" i="5" a="1"/>
  <c r="H44" i="5" a="1"/>
  <c r="H49" i="5" a="1"/>
  <c r="H52" i="5" a="1"/>
  <c r="H57" i="5" a="1"/>
  <c r="H60" i="5" a="1"/>
  <c r="H65" i="5" a="1"/>
  <c r="H68" i="5" a="1"/>
  <c r="H73" i="5" a="1"/>
  <c r="H76" i="5" a="1"/>
  <c r="H81" i="5" a="1"/>
  <c r="H84" i="5" a="1"/>
  <c r="H89" i="5" a="1"/>
  <c r="H92" i="5" a="1"/>
  <c r="H97" i="5" a="1"/>
  <c r="H100" i="5" a="1"/>
  <c r="H105" i="5" a="1"/>
  <c r="H108" i="5" a="1"/>
  <c r="H113" i="5" a="1"/>
  <c r="H116" i="5" a="1"/>
  <c r="H121" i="5" a="1"/>
  <c r="H124" i="5" a="1"/>
  <c r="H129" i="5" a="1"/>
  <c r="H132" i="5" a="1"/>
  <c r="H137" i="5" a="1"/>
  <c r="H140" i="5" a="1"/>
  <c r="H145" i="5" a="1"/>
  <c r="H148" i="5" a="1"/>
  <c r="H153" i="5" a="1"/>
  <c r="H156" i="5" a="1"/>
  <c r="H161" i="5" a="1"/>
  <c r="H164" i="5" a="1"/>
  <c r="H169" i="5" a="1"/>
  <c r="H15" i="5" a="1"/>
  <c r="H26" i="5" a="1"/>
  <c r="H47" i="5" a="1"/>
  <c r="H58" i="5" a="1"/>
  <c r="H79" i="5" a="1"/>
  <c r="H90" i="5" a="1"/>
  <c r="H111" i="5" a="1"/>
  <c r="H122" i="5" a="1"/>
  <c r="H143" i="5" a="1"/>
  <c r="H154" i="5" a="1"/>
  <c r="H174" i="5" a="1"/>
  <c r="H179" i="5" a="1"/>
  <c r="H182" i="5" a="1"/>
  <c r="H187" i="5" a="1"/>
  <c r="H190" i="5" a="1"/>
  <c r="H195" i="5" a="1"/>
  <c r="H198" i="5" a="1"/>
  <c r="H203" i="5" a="1"/>
  <c r="H206" i="5" a="1"/>
  <c r="H211" i="5" a="1"/>
  <c r="H214" i="5" a="1"/>
  <c r="H219" i="5" a="1"/>
  <c r="H222" i="5" a="1"/>
  <c r="H227" i="5" a="1"/>
  <c r="H230" i="5" a="1"/>
  <c r="H235" i="5" a="1"/>
  <c r="H238" i="5" a="1"/>
  <c r="H243" i="5" a="1"/>
  <c r="H245" i="5" a="1"/>
  <c r="H247" i="5" a="1"/>
  <c r="H249" i="5" a="1"/>
  <c r="H251" i="5" a="1"/>
  <c r="H253" i="5" a="1"/>
  <c r="H255" i="5" a="1"/>
  <c r="H257" i="5" a="1"/>
  <c r="H259" i="5" a="1"/>
  <c r="H261" i="5" a="1"/>
  <c r="H263" i="5" a="1"/>
  <c r="H265" i="5" a="1"/>
  <c r="H267" i="5" a="1"/>
  <c r="H269" i="5" a="1"/>
  <c r="H271" i="5" a="1"/>
  <c r="H273" i="5" a="1"/>
  <c r="H275" i="5" a="1"/>
  <c r="H277" i="5" a="1"/>
  <c r="H279" i="5" a="1"/>
  <c r="H281" i="5" a="1"/>
  <c r="H283" i="5" a="1"/>
  <c r="H285" i="5" a="1"/>
  <c r="H287" i="5" a="1"/>
  <c r="H289" i="5" a="1"/>
  <c r="H291" i="5" a="1"/>
  <c r="H293" i="5" a="1"/>
  <c r="H295" i="5" a="1"/>
  <c r="H297" i="5" a="1"/>
  <c r="H299" i="5" a="1"/>
  <c r="H301" i="5" a="1"/>
  <c r="H7" i="5" a="1"/>
  <c r="H18" i="5" a="1"/>
  <c r="H39" i="5" a="1"/>
  <c r="H50" i="5" a="1"/>
  <c r="H71" i="5" a="1"/>
  <c r="H82" i="5" a="1"/>
  <c r="H103" i="5" a="1"/>
  <c r="H114" i="5" a="1"/>
  <c r="H135" i="5" a="1"/>
  <c r="H146" i="5" a="1"/>
  <c r="H167" i="5" a="1"/>
  <c r="H172" i="5" a="1"/>
  <c r="H177" i="5" a="1"/>
  <c r="H180" i="5" a="1"/>
  <c r="H185" i="5" a="1"/>
  <c r="H188" i="5" a="1"/>
  <c r="H193" i="5" a="1"/>
  <c r="H196" i="5" a="1"/>
  <c r="H201" i="5" a="1"/>
  <c r="H204" i="5" a="1"/>
  <c r="H209" i="5" a="1"/>
  <c r="H212" i="5" a="1"/>
  <c r="H217" i="5" a="1"/>
  <c r="H220" i="5" a="1"/>
  <c r="H225" i="5" a="1"/>
  <c r="H228" i="5" a="1"/>
  <c r="H233" i="5" a="1"/>
  <c r="H236" i="5" a="1"/>
  <c r="H241" i="5" a="1"/>
  <c r="H10" i="5" a="1"/>
  <c r="H31" i="5" a="1"/>
  <c r="H42" i="5" a="1"/>
  <c r="H63" i="5" a="1"/>
  <c r="H74" i="5" a="1"/>
  <c r="H95" i="5" a="1"/>
  <c r="H106" i="5" a="1"/>
  <c r="H127" i="5" a="1"/>
  <c r="H138" i="5" a="1"/>
  <c r="H159" i="5" a="1"/>
  <c r="H168" i="5" a="1"/>
  <c r="H175" i="5" a="1"/>
  <c r="H178" i="5" a="1"/>
  <c r="H183" i="5" a="1"/>
  <c r="H186" i="5" a="1"/>
  <c r="H191" i="5" a="1"/>
  <c r="H194" i="5" a="1"/>
  <c r="H199" i="5" a="1"/>
  <c r="H202" i="5" a="1"/>
  <c r="H207" i="5" a="1"/>
  <c r="H210" i="5" a="1"/>
  <c r="H215" i="5" a="1"/>
  <c r="H218" i="5" a="1"/>
  <c r="H223" i="5" a="1"/>
  <c r="H226" i="5" a="1"/>
  <c r="H231" i="5" a="1"/>
  <c r="H234" i="5" a="1"/>
  <c r="H239" i="5" a="1"/>
  <c r="H242" i="5" a="1"/>
  <c r="H244" i="5" a="1"/>
  <c r="H246" i="5" a="1"/>
  <c r="H248" i="5" a="1"/>
  <c r="H250" i="5" a="1"/>
  <c r="H252" i="5" a="1"/>
  <c r="H254" i="5" a="1"/>
  <c r="H256" i="5" a="1"/>
  <c r="H258" i="5" a="1"/>
  <c r="H260" i="5" a="1"/>
  <c r="H262" i="5" a="1"/>
  <c r="H264" i="5" a="1"/>
  <c r="H266" i="5" a="1"/>
  <c r="H268" i="5" a="1"/>
  <c r="H270" i="5" a="1"/>
  <c r="H272" i="5" a="1"/>
  <c r="H274" i="5" a="1"/>
  <c r="H276" i="5" a="1"/>
  <c r="H278" i="5" a="1"/>
  <c r="H280" i="5" a="1"/>
  <c r="H282" i="5" a="1"/>
  <c r="H284" i="5" a="1"/>
  <c r="H286" i="5" a="1"/>
  <c r="H288" i="5" a="1"/>
  <c r="H290" i="5" a="1"/>
  <c r="H292" i="5" a="1"/>
  <c r="H294" i="5" a="1"/>
  <c r="H296" i="5" a="1"/>
  <c r="H298" i="5" a="1"/>
  <c r="H55" i="5" a="1"/>
  <c r="H98" i="5" a="1"/>
  <c r="H173" i="5" a="1"/>
  <c r="H184" i="5" a="1"/>
  <c r="H205" i="5" a="1"/>
  <c r="H216" i="5" a="1"/>
  <c r="H237" i="5" a="1"/>
  <c r="H304" i="5" a="1"/>
  <c r="H309" i="5" a="1"/>
  <c r="H312" i="5" a="1"/>
  <c r="H317" i="5" a="1"/>
  <c r="H320" i="5" a="1"/>
  <c r="H325" i="5" a="1"/>
  <c r="H328" i="5" a="1"/>
  <c r="H333" i="5" a="1"/>
  <c r="H336" i="5" a="1"/>
  <c r="H341" i="5" a="1"/>
  <c r="H344" i="5" a="1"/>
  <c r="H349" i="5" a="1"/>
  <c r="H352" i="5" a="1"/>
  <c r="H357" i="5" a="1"/>
  <c r="H360" i="5" a="1"/>
  <c r="H365" i="5" a="1"/>
  <c r="H368" i="5" a="1"/>
  <c r="H373" i="5" a="1"/>
  <c r="H376" i="5" a="1"/>
  <c r="H381" i="5" a="1"/>
  <c r="H384" i="5" a="1"/>
  <c r="H389" i="5" a="1"/>
  <c r="H392" i="5" a="1"/>
  <c r="H397" i="5" a="1"/>
  <c r="H400" i="5" a="1"/>
  <c r="H405" i="5" a="1"/>
  <c r="H408" i="5" a="1"/>
  <c r="H413" i="5" a="1"/>
  <c r="H416" i="5" a="1"/>
  <c r="H421" i="5" a="1"/>
  <c r="H424" i="5" a="1"/>
  <c r="H429" i="5" a="1"/>
  <c r="H432" i="5" a="1"/>
  <c r="H437" i="5" a="1"/>
  <c r="H440" i="5" a="1"/>
  <c r="H445" i="5" a="1"/>
  <c r="H448" i="5" a="1"/>
  <c r="H453" i="5" a="1"/>
  <c r="H456" i="5" a="1"/>
  <c r="H461" i="5" a="1"/>
  <c r="H464" i="5" a="1"/>
  <c r="H469" i="5" a="1"/>
  <c r="H472" i="5" a="1"/>
  <c r="H477" i="5" a="1"/>
  <c r="H480" i="5" a="1"/>
  <c r="H485" i="5" a="1"/>
  <c r="H488" i="5" a="1"/>
  <c r="H493" i="5" a="1"/>
  <c r="H496" i="5" a="1"/>
  <c r="H501" i="5" a="1"/>
  <c r="H504" i="5" a="1"/>
  <c r="H509" i="5" a="1"/>
  <c r="H512" i="5" a="1"/>
  <c r="H517" i="5" a="1"/>
  <c r="H519" i="5" a="1"/>
  <c r="H521" i="5" a="1"/>
  <c r="H523" i="5" a="1"/>
  <c r="H525" i="5" a="1"/>
  <c r="H527" i="5" a="1"/>
  <c r="H529" i="5" a="1"/>
  <c r="H531" i="5" a="1"/>
  <c r="H533" i="5" a="1"/>
  <c r="H23" i="5" a="1"/>
  <c r="H66" i="5" a="1"/>
  <c r="H151" i="5" a="1"/>
  <c r="H176" i="5" a="1"/>
  <c r="H197" i="5" a="1"/>
  <c r="H208" i="5" a="1"/>
  <c r="H229" i="5" a="1"/>
  <c r="H240" i="5" a="1"/>
  <c r="H302" i="5" a="1"/>
  <c r="H307" i="5" a="1"/>
  <c r="H310" i="5" a="1"/>
  <c r="H315" i="5" a="1"/>
  <c r="H318" i="5" a="1"/>
  <c r="H323" i="5" a="1"/>
  <c r="H326" i="5" a="1"/>
  <c r="H331" i="5" a="1"/>
  <c r="H334" i="5" a="1"/>
  <c r="H339" i="5" a="1"/>
  <c r="H342" i="5" a="1"/>
  <c r="H347" i="5" a="1"/>
  <c r="H350" i="5" a="1"/>
  <c r="H355" i="5" a="1"/>
  <c r="H358" i="5" a="1"/>
  <c r="H363" i="5" a="1"/>
  <c r="H366" i="5" a="1"/>
  <c r="H371" i="5" a="1"/>
  <c r="H374" i="5" a="1"/>
  <c r="H379" i="5" a="1"/>
  <c r="H382" i="5" a="1"/>
  <c r="H387" i="5" a="1"/>
  <c r="H390" i="5" a="1"/>
  <c r="H395" i="5" a="1"/>
  <c r="H398" i="5" a="1"/>
  <c r="H403" i="5" a="1"/>
  <c r="H406" i="5" a="1"/>
  <c r="H411" i="5" a="1"/>
  <c r="H414" i="5" a="1"/>
  <c r="H419" i="5" a="1"/>
  <c r="H422" i="5" a="1"/>
  <c r="H427" i="5" a="1"/>
  <c r="H430" i="5" a="1"/>
  <c r="H435" i="5" a="1"/>
  <c r="H438" i="5" a="1"/>
  <c r="H443" i="5" a="1"/>
  <c r="H446" i="5" a="1"/>
  <c r="H451" i="5" a="1"/>
  <c r="H454" i="5" a="1"/>
  <c r="H459" i="5" a="1"/>
  <c r="H462" i="5" a="1"/>
  <c r="H467" i="5" a="1"/>
  <c r="H470" i="5" a="1"/>
  <c r="H475" i="5" a="1"/>
  <c r="H478" i="5" a="1"/>
  <c r="H483" i="5" a="1"/>
  <c r="H486" i="5" a="1"/>
  <c r="H491" i="5" a="1"/>
  <c r="H494" i="5" a="1"/>
  <c r="H499" i="5" a="1"/>
  <c r="H502" i="5" a="1"/>
  <c r="H507" i="5" a="1"/>
  <c r="H510" i="5" a="1"/>
  <c r="H515" i="5" a="1"/>
  <c r="H34" i="5" a="1"/>
  <c r="H119" i="5" a="1"/>
  <c r="H162" i="5" a="1"/>
  <c r="H189" i="5" a="1"/>
  <c r="H200" i="5" a="1"/>
  <c r="H221" i="5" a="1"/>
  <c r="H232" i="5" a="1"/>
  <c r="H305" i="5" a="1"/>
  <c r="H308" i="5" a="1"/>
  <c r="H313" i="5" a="1"/>
  <c r="H316" i="5" a="1"/>
  <c r="H321" i="5" a="1"/>
  <c r="H324" i="5" a="1"/>
  <c r="H329" i="5" a="1"/>
  <c r="H332" i="5" a="1"/>
  <c r="H337" i="5" a="1"/>
  <c r="H340" i="5" a="1"/>
  <c r="H345" i="5" a="1"/>
  <c r="H348" i="5" a="1"/>
  <c r="H353" i="5" a="1"/>
  <c r="H356" i="5" a="1"/>
  <c r="H361" i="5" a="1"/>
  <c r="H364" i="5" a="1"/>
  <c r="H369" i="5" a="1"/>
  <c r="H372" i="5" a="1"/>
  <c r="H377" i="5" a="1"/>
  <c r="H380" i="5" a="1"/>
  <c r="H385" i="5" a="1"/>
  <c r="H388" i="5" a="1"/>
  <c r="H393" i="5" a="1"/>
  <c r="H396" i="5" a="1"/>
  <c r="H401" i="5" a="1"/>
  <c r="H404" i="5" a="1"/>
  <c r="H409" i="5" a="1"/>
  <c r="H412" i="5" a="1"/>
  <c r="H417" i="5" a="1"/>
  <c r="H420" i="5" a="1"/>
  <c r="H425" i="5" a="1"/>
  <c r="H428" i="5" a="1"/>
  <c r="H433" i="5" a="1"/>
  <c r="H436" i="5" a="1"/>
  <c r="H441" i="5" a="1"/>
  <c r="H444" i="5" a="1"/>
  <c r="H449" i="5" a="1"/>
  <c r="H452" i="5" a="1"/>
  <c r="H457" i="5" a="1"/>
  <c r="H460" i="5" a="1"/>
  <c r="H465" i="5" a="1"/>
  <c r="H468" i="5" a="1"/>
  <c r="H473" i="5" a="1"/>
  <c r="H476" i="5" a="1"/>
  <c r="H481" i="5" a="1"/>
  <c r="H484" i="5" a="1"/>
  <c r="H489" i="5" a="1"/>
  <c r="H492" i="5" a="1"/>
  <c r="H497" i="5" a="1"/>
  <c r="H500" i="5" a="1"/>
  <c r="H505" i="5" a="1"/>
  <c r="H508" i="5" a="1"/>
  <c r="H181" i="5" a="1"/>
  <c r="H224" i="5" a="1"/>
  <c r="H319" i="5" a="1"/>
  <c r="H330" i="5" a="1"/>
  <c r="H351" i="5" a="1"/>
  <c r="H362" i="5" a="1"/>
  <c r="H383" i="5" a="1"/>
  <c r="H394" i="5" a="1"/>
  <c r="H415" i="5" a="1"/>
  <c r="H426" i="5" a="1"/>
  <c r="H447" i="5" a="1"/>
  <c r="H458" i="5" a="1"/>
  <c r="H479" i="5" a="1"/>
  <c r="H490" i="5" a="1"/>
  <c r="H516" i="5" a="1"/>
  <c r="H520" i="5" a="1"/>
  <c r="H524" i="5" a="1"/>
  <c r="H528" i="5" a="1"/>
  <c r="H532" i="5" a="1"/>
  <c r="H535" i="5" a="1"/>
  <c r="H538" i="5" a="1"/>
  <c r="H543" i="5" a="1"/>
  <c r="H546" i="5" a="1"/>
  <c r="H551" i="5" a="1"/>
  <c r="H554" i="5" a="1"/>
  <c r="H559" i="5" a="1"/>
  <c r="H562" i="5" a="1"/>
  <c r="H567" i="5" a="1"/>
  <c r="H570" i="5" a="1"/>
  <c r="H575" i="5" a="1"/>
  <c r="H578" i="5" a="1"/>
  <c r="H583" i="5" a="1"/>
  <c r="H586" i="5" a="1"/>
  <c r="H591" i="5" a="1"/>
  <c r="H594" i="5" a="1"/>
  <c r="H599" i="5" a="1"/>
  <c r="H602" i="5" a="1"/>
  <c r="H607" i="5" a="1"/>
  <c r="H610" i="5" a="1"/>
  <c r="H615" i="5" a="1"/>
  <c r="H618" i="5" a="1"/>
  <c r="H623" i="5" a="1"/>
  <c r="H626" i="5" a="1"/>
  <c r="H631" i="5" a="1"/>
  <c r="H633" i="5" a="1"/>
  <c r="H635" i="5" a="1"/>
  <c r="H637" i="5" a="1"/>
  <c r="H639" i="5" a="1"/>
  <c r="H641" i="5" a="1"/>
  <c r="H643" i="5" a="1"/>
  <c r="H645" i="5" a="1"/>
  <c r="H647" i="5" a="1"/>
  <c r="H649" i="5" a="1"/>
  <c r="H651" i="5" a="1"/>
  <c r="H653" i="5" a="1"/>
  <c r="H655" i="5" a="1"/>
  <c r="H657" i="5" a="1"/>
  <c r="H659" i="5" a="1"/>
  <c r="H661" i="5" a="1"/>
  <c r="H663" i="5" a="1"/>
  <c r="H665" i="5" a="1"/>
  <c r="H667" i="5" a="1"/>
  <c r="H669" i="5" a="1"/>
  <c r="H671" i="5" a="1"/>
  <c r="H673" i="5" a="1"/>
  <c r="H675" i="5" a="1"/>
  <c r="H677" i="5" a="1"/>
  <c r="H679" i="5" a="1"/>
  <c r="H681" i="5" a="1"/>
  <c r="H683" i="5" a="1"/>
  <c r="H685" i="5" a="1"/>
  <c r="H687" i="5" a="1"/>
  <c r="H689" i="5" a="1"/>
  <c r="H691" i="5" a="1"/>
  <c r="H693" i="5" a="1"/>
  <c r="H695" i="5" a="1"/>
  <c r="H697" i="5" a="1"/>
  <c r="H699" i="5" a="1"/>
  <c r="H701" i="5" a="1"/>
  <c r="H703" i="5" a="1"/>
  <c r="H705" i="5" a="1"/>
  <c r="H707" i="5" a="1"/>
  <c r="H709" i="5" a="1"/>
  <c r="H711" i="5" a="1"/>
  <c r="H713" i="5" a="1"/>
  <c r="H715" i="5" a="1"/>
  <c r="H717" i="5" a="1"/>
  <c r="H719" i="5" a="1"/>
  <c r="H721" i="5" a="1"/>
  <c r="H723" i="5" a="1"/>
  <c r="H725" i="5" a="1"/>
  <c r="H727" i="5" a="1"/>
  <c r="H729" i="5" a="1"/>
  <c r="H731" i="5" a="1"/>
  <c r="H733" i="5" a="1"/>
  <c r="H735" i="5" a="1"/>
  <c r="H737" i="5" a="1"/>
  <c r="H739" i="5" a="1"/>
  <c r="H741" i="5" a="1"/>
  <c r="H743" i="5" a="1"/>
  <c r="H745" i="5" a="1"/>
  <c r="H747" i="5" a="1"/>
  <c r="H749" i="5" a="1"/>
  <c r="H751" i="5" a="1"/>
  <c r="H753" i="5" a="1"/>
  <c r="H755" i="5" a="1"/>
  <c r="H87" i="5" a="1"/>
  <c r="H192" i="5" a="1"/>
  <c r="H300" i="5" a="1"/>
  <c r="H311" i="5" a="1"/>
  <c r="H322" i="5" a="1"/>
  <c r="H343" i="5" a="1"/>
  <c r="H354" i="5" a="1"/>
  <c r="H375" i="5" a="1"/>
  <c r="H386" i="5" a="1"/>
  <c r="H407" i="5" a="1"/>
  <c r="H418" i="5" a="1"/>
  <c r="H439" i="5" a="1"/>
  <c r="H450" i="5" a="1"/>
  <c r="H471" i="5" a="1"/>
  <c r="H482" i="5" a="1"/>
  <c r="H503" i="5" a="1"/>
  <c r="H511" i="5" a="1"/>
  <c r="H536" i="5" a="1"/>
  <c r="H541" i="5" a="1"/>
  <c r="H544" i="5" a="1"/>
  <c r="H549" i="5" a="1"/>
  <c r="H552" i="5" a="1"/>
  <c r="H557" i="5" a="1"/>
  <c r="H560" i="5" a="1"/>
  <c r="H565" i="5" a="1"/>
  <c r="H568" i="5" a="1"/>
  <c r="H573" i="5" a="1"/>
  <c r="H576" i="5" a="1"/>
  <c r="H581" i="5" a="1"/>
  <c r="H584" i="5" a="1"/>
  <c r="H589" i="5" a="1"/>
  <c r="H592" i="5" a="1"/>
  <c r="H597" i="5" a="1"/>
  <c r="H600" i="5" a="1"/>
  <c r="H605" i="5" a="1"/>
  <c r="H608" i="5" a="1"/>
  <c r="H613" i="5" a="1"/>
  <c r="H616" i="5" a="1"/>
  <c r="H621" i="5" a="1"/>
  <c r="H624" i="5" a="1"/>
  <c r="H629" i="5" a="1"/>
  <c r="H130" i="5" a="1"/>
  <c r="H303" i="5" a="1"/>
  <c r="H314" i="5" a="1"/>
  <c r="H335" i="5" a="1"/>
  <c r="H346" i="5" a="1"/>
  <c r="H367" i="5" a="1"/>
  <c r="H378" i="5" a="1"/>
  <c r="H399" i="5" a="1"/>
  <c r="H410" i="5" a="1"/>
  <c r="H431" i="5" a="1"/>
  <c r="H442" i="5" a="1"/>
  <c r="H463" i="5" a="1"/>
  <c r="H474" i="5" a="1"/>
  <c r="H495" i="5" a="1"/>
  <c r="H506" i="5" a="1"/>
  <c r="H513" i="5" a="1"/>
  <c r="H518" i="5" a="1"/>
  <c r="H522" i="5" a="1"/>
  <c r="H526" i="5" a="1"/>
  <c r="H530" i="5" a="1"/>
  <c r="H534" i="5" a="1"/>
  <c r="H539" i="5" a="1"/>
  <c r="H542" i="5" a="1"/>
  <c r="H547" i="5" a="1"/>
  <c r="H550" i="5" a="1"/>
  <c r="H555" i="5" a="1"/>
  <c r="H558" i="5" a="1"/>
  <c r="H563" i="5" a="1"/>
  <c r="H566" i="5" a="1"/>
  <c r="H571" i="5" a="1"/>
  <c r="H574" i="5" a="1"/>
  <c r="H579" i="5" a="1"/>
  <c r="H582" i="5" a="1"/>
  <c r="H587" i="5" a="1"/>
  <c r="H590" i="5" a="1"/>
  <c r="H595" i="5" a="1"/>
  <c r="H598" i="5" a="1"/>
  <c r="H603" i="5" a="1"/>
  <c r="H606" i="5" a="1"/>
  <c r="H611" i="5" a="1"/>
  <c r="H614" i="5" a="1"/>
  <c r="H619" i="5" a="1"/>
  <c r="H622" i="5" a="1"/>
  <c r="H627" i="5" a="1"/>
  <c r="H630" i="5" a="1"/>
  <c r="H632" i="5" a="1"/>
  <c r="H634" i="5" a="1"/>
  <c r="H636" i="5" a="1"/>
  <c r="H638" i="5" a="1"/>
  <c r="H640" i="5" a="1"/>
  <c r="H642" i="5" a="1"/>
  <c r="H644" i="5" a="1"/>
  <c r="H646" i="5" a="1"/>
  <c r="H648" i="5" a="1"/>
  <c r="H650" i="5" a="1"/>
  <c r="H652" i="5" a="1"/>
  <c r="H654" i="5" a="1"/>
  <c r="H656" i="5" a="1"/>
  <c r="H658" i="5" a="1"/>
  <c r="H660" i="5" a="1"/>
  <c r="H662" i="5" a="1"/>
  <c r="H664" i="5" a="1"/>
  <c r="H666" i="5" a="1"/>
  <c r="H668" i="5" a="1"/>
  <c r="H670" i="5" a="1"/>
  <c r="H672" i="5" a="1"/>
  <c r="H674" i="5" a="1"/>
  <c r="H676" i="5" a="1"/>
  <c r="H678" i="5" a="1"/>
  <c r="H680" i="5" a="1"/>
  <c r="H682" i="5" a="1"/>
  <c r="H684" i="5" a="1"/>
  <c r="H686" i="5" a="1"/>
  <c r="H688" i="5" a="1"/>
  <c r="H690" i="5" a="1"/>
  <c r="H692" i="5" a="1"/>
  <c r="H694" i="5" a="1"/>
  <c r="H696" i="5" a="1"/>
  <c r="H698" i="5" a="1"/>
  <c r="H700" i="5" a="1"/>
  <c r="H702" i="5" a="1"/>
  <c r="H704" i="5" a="1"/>
  <c r="H706" i="5" a="1"/>
  <c r="H708" i="5" a="1"/>
  <c r="H710" i="5" a="1"/>
  <c r="H712" i="5" a="1"/>
  <c r="H714" i="5" a="1"/>
  <c r="H716" i="5" a="1"/>
  <c r="H718" i="5" a="1"/>
  <c r="H720" i="5" a="1"/>
  <c r="H722" i="5" a="1"/>
  <c r="H724" i="5" a="1"/>
  <c r="H726" i="5" a="1"/>
  <c r="H728" i="5" a="1"/>
  <c r="H730" i="5" a="1"/>
  <c r="H732" i="5" a="1"/>
  <c r="H170" i="5" a="1"/>
  <c r="H306" i="5" a="1"/>
  <c r="H391" i="5" a="1"/>
  <c r="H434" i="5" a="1"/>
  <c r="H514" i="5" a="1"/>
  <c r="H553" i="5" a="1"/>
  <c r="H564" i="5" a="1"/>
  <c r="H585" i="5" a="1"/>
  <c r="H596" i="5" a="1"/>
  <c r="H617" i="5" a="1"/>
  <c r="H628" i="5" a="1"/>
  <c r="H759" i="5" a="1"/>
  <c r="H762" i="5" a="1"/>
  <c r="H767" i="5" a="1"/>
  <c r="H770" i="5" a="1"/>
  <c r="H775" i="5" a="1"/>
  <c r="H778" i="5" a="1"/>
  <c r="H783" i="5" a="1"/>
  <c r="H786" i="5" a="1"/>
  <c r="H791" i="5" a="1"/>
  <c r="H794" i="5" a="1"/>
  <c r="H799" i="5" a="1"/>
  <c r="H802" i="5" a="1"/>
  <c r="H807" i="5" a="1"/>
  <c r="H810" i="5" a="1"/>
  <c r="H815" i="5" a="1"/>
  <c r="H818" i="5" a="1"/>
  <c r="H823" i="5" a="1"/>
  <c r="H826" i="5" a="1"/>
  <c r="H831" i="5" a="1"/>
  <c r="H834" i="5" a="1"/>
  <c r="H839" i="5" a="1"/>
  <c r="H842" i="5" a="1"/>
  <c r="H847" i="5" a="1"/>
  <c r="H850" i="5" a="1"/>
  <c r="H855" i="5" a="1"/>
  <c r="H858" i="5" a="1"/>
  <c r="H863" i="5" a="1"/>
  <c r="H866" i="5" a="1"/>
  <c r="H871" i="5" a="1"/>
  <c r="H874" i="5" a="1"/>
  <c r="H879" i="5" a="1"/>
  <c r="H882" i="5" a="1"/>
  <c r="H887" i="5" a="1"/>
  <c r="H890" i="5" a="1"/>
  <c r="H895" i="5" a="1"/>
  <c r="H898" i="5" a="1"/>
  <c r="H903" i="5" a="1"/>
  <c r="H906" i="5" a="1"/>
  <c r="H911" i="5" a="1"/>
  <c r="H914" i="5" a="1"/>
  <c r="H919" i="5" a="1"/>
  <c r="H922" i="5" a="1"/>
  <c r="H927" i="5" a="1"/>
  <c r="H930" i="5" a="1"/>
  <c r="H935" i="5" a="1"/>
  <c r="H938" i="5" a="1"/>
  <c r="H943" i="5" a="1"/>
  <c r="H946" i="5" a="1"/>
  <c r="H951" i="5" a="1"/>
  <c r="H954" i="5" a="1"/>
  <c r="H959" i="5" a="1"/>
  <c r="H962" i="5" a="1"/>
  <c r="H967" i="5" a="1"/>
  <c r="H970" i="5" a="1"/>
  <c r="H975" i="5" a="1"/>
  <c r="H978" i="5" a="1"/>
  <c r="H983" i="5" a="1"/>
  <c r="H986" i="5" a="1"/>
  <c r="H991" i="5" a="1"/>
  <c r="H994" i="5" a="1"/>
  <c r="H999" i="5" a="1"/>
  <c r="H768" i="5" a="1"/>
  <c r="H773" i="5" a="1"/>
  <c r="H776" i="5" a="1"/>
  <c r="H781" i="5" a="1"/>
  <c r="H784" i="5" a="1"/>
  <c r="H789" i="5" a="1"/>
  <c r="H792" i="5" a="1"/>
  <c r="H797" i="5" a="1"/>
  <c r="H800" i="5" a="1"/>
  <c r="H805" i="5" a="1"/>
  <c r="H808" i="5" a="1"/>
  <c r="H813" i="5" a="1"/>
  <c r="H816" i="5" a="1"/>
  <c r="H821" i="5" a="1"/>
  <c r="H824" i="5" a="1"/>
  <c r="H829" i="5" a="1"/>
  <c r="H832" i="5" a="1"/>
  <c r="H837" i="5" a="1"/>
  <c r="H840" i="5" a="1"/>
  <c r="H845" i="5" a="1"/>
  <c r="H848" i="5" a="1"/>
  <c r="H853" i="5" a="1"/>
  <c r="H856" i="5" a="1"/>
  <c r="H861" i="5" a="1"/>
  <c r="H864" i="5" a="1"/>
  <c r="H869" i="5" a="1"/>
  <c r="H872" i="5" a="1"/>
  <c r="H877" i="5" a="1"/>
  <c r="H880" i="5" a="1"/>
  <c r="H885" i="5" a="1"/>
  <c r="H888" i="5" a="1"/>
  <c r="H893" i="5" a="1"/>
  <c r="H896" i="5" a="1"/>
  <c r="H901" i="5" a="1"/>
  <c r="H904" i="5" a="1"/>
  <c r="H909" i="5" a="1"/>
  <c r="H912" i="5" a="1"/>
  <c r="H917" i="5" a="1"/>
  <c r="H920" i="5" a="1"/>
  <c r="H925" i="5" a="1"/>
  <c r="H928" i="5" a="1"/>
  <c r="H933" i="5" a="1"/>
  <c r="H936" i="5" a="1"/>
  <c r="H941" i="5" a="1"/>
  <c r="H944" i="5" a="1"/>
  <c r="H949" i="5" a="1"/>
  <c r="H952" i="5" a="1"/>
  <c r="H957" i="5" a="1"/>
  <c r="H960" i="5" a="1"/>
  <c r="H965" i="5" a="1"/>
  <c r="H968" i="5" a="1"/>
  <c r="H973" i="5" a="1"/>
  <c r="H976" i="5" a="1"/>
  <c r="H981" i="5" a="1"/>
  <c r="H984" i="5" a="1"/>
  <c r="H989" i="5" a="1"/>
  <c r="H992" i="5" a="1"/>
  <c r="H213" i="5" a="1"/>
  <c r="H359" i="5" a="1"/>
  <c r="H402" i="5" a="1"/>
  <c r="H487" i="5" a="1"/>
  <c r="H545" i="5" a="1"/>
  <c r="H556" i="5" a="1"/>
  <c r="H577" i="5" a="1"/>
  <c r="H588" i="5" a="1"/>
  <c r="H609" i="5" a="1"/>
  <c r="H620" i="5" a="1"/>
  <c r="H734" i="5" a="1"/>
  <c r="H738" i="5" a="1"/>
  <c r="H742" i="5" a="1"/>
  <c r="H746" i="5" a="1"/>
  <c r="H750" i="5" a="1"/>
  <c r="H754" i="5" a="1"/>
  <c r="H757" i="5" a="1"/>
  <c r="H760" i="5" a="1"/>
  <c r="H765" i="5" a="1"/>
  <c r="H327" i="5" a="1"/>
  <c r="H370" i="5" a="1"/>
  <c r="H455" i="5" a="1"/>
  <c r="H498" i="5" a="1"/>
  <c r="H537" i="5" a="1"/>
  <c r="H548" i="5" a="1"/>
  <c r="H569" i="5" a="1"/>
  <c r="H580" i="5" a="1"/>
  <c r="H601" i="5" a="1"/>
  <c r="H612" i="5" a="1"/>
  <c r="H758" i="5" a="1"/>
  <c r="H763" i="5" a="1"/>
  <c r="H766" i="5" a="1"/>
  <c r="H771" i="5" a="1"/>
  <c r="H774" i="5" a="1"/>
  <c r="H779" i="5" a="1"/>
  <c r="H782" i="5" a="1"/>
  <c r="H787" i="5" a="1"/>
  <c r="H790" i="5" a="1"/>
  <c r="H795" i="5" a="1"/>
  <c r="H798" i="5" a="1"/>
  <c r="H803" i="5" a="1"/>
  <c r="H806" i="5" a="1"/>
  <c r="H811" i="5" a="1"/>
  <c r="H814" i="5" a="1"/>
  <c r="H819" i="5" a="1"/>
  <c r="H822" i="5" a="1"/>
  <c r="H827" i="5" a="1"/>
  <c r="H830" i="5" a="1"/>
  <c r="H835" i="5" a="1"/>
  <c r="H838" i="5" a="1"/>
  <c r="H843" i="5" a="1"/>
  <c r="H846" i="5" a="1"/>
  <c r="H851" i="5" a="1"/>
  <c r="H854" i="5" a="1"/>
  <c r="H859" i="5" a="1"/>
  <c r="H862" i="5" a="1"/>
  <c r="H867" i="5" a="1"/>
  <c r="H870" i="5" a="1"/>
  <c r="H875" i="5" a="1"/>
  <c r="H878" i="5" a="1"/>
  <c r="H883" i="5" a="1"/>
  <c r="H886" i="5" a="1"/>
  <c r="H891" i="5" a="1"/>
  <c r="H894" i="5" a="1"/>
  <c r="H899" i="5" a="1"/>
  <c r="H902" i="5" a="1"/>
  <c r="H907" i="5" a="1"/>
  <c r="H910" i="5" a="1"/>
  <c r="H915" i="5" a="1"/>
  <c r="H918" i="5" a="1"/>
  <c r="H923" i="5" a="1"/>
  <c r="H926" i="5" a="1"/>
  <c r="H931" i="5" a="1"/>
  <c r="H934" i="5" a="1"/>
  <c r="H939" i="5" a="1"/>
  <c r="H942" i="5" a="1"/>
  <c r="H947" i="5" a="1"/>
  <c r="H950" i="5" a="1"/>
  <c r="H955" i="5" a="1"/>
  <c r="H958" i="5" a="1"/>
  <c r="H963" i="5" a="1"/>
  <c r="H966" i="5" a="1"/>
  <c r="H971" i="5" a="1"/>
  <c r="H974" i="5" a="1"/>
  <c r="H979" i="5" a="1"/>
  <c r="H982" i="5" a="1"/>
  <c r="H987" i="5" a="1"/>
  <c r="H990" i="5" a="1"/>
  <c r="H995" i="5" a="1"/>
  <c r="H998" i="5" a="1"/>
  <c r="H817" i="5" a="1"/>
  <c r="H820" i="5" a="1"/>
  <c r="H825" i="5" a="1"/>
  <c r="H828" i="5" a="1"/>
  <c r="H833" i="5" a="1"/>
  <c r="H836" i="5" a="1"/>
  <c r="H841" i="5" a="1"/>
  <c r="H844" i="5" a="1"/>
  <c r="H849" i="5" a="1"/>
  <c r="H852" i="5" a="1"/>
  <c r="H857" i="5" a="1"/>
  <c r="H860" i="5" a="1"/>
  <c r="H865" i="5" a="1"/>
  <c r="H868" i="5" a="1"/>
  <c r="H873" i="5" a="1"/>
  <c r="H876" i="5" a="1"/>
  <c r="H881" i="5" a="1"/>
  <c r="H884" i="5" a="1"/>
  <c r="H889" i="5" a="1"/>
  <c r="H892" i="5" a="1"/>
  <c r="H897" i="5" a="1"/>
  <c r="H900" i="5" a="1"/>
  <c r="H905" i="5" a="1"/>
  <c r="H908" i="5" a="1"/>
  <c r="H913" i="5" a="1"/>
  <c r="H916" i="5" a="1"/>
  <c r="H921" i="5" a="1"/>
  <c r="H924" i="5" a="1"/>
  <c r="H929" i="5" a="1"/>
  <c r="H932" i="5" a="1"/>
  <c r="H937" i="5" a="1"/>
  <c r="H940" i="5" a="1"/>
  <c r="H945" i="5" a="1"/>
  <c r="H948" i="5" a="1"/>
  <c r="H953" i="5" a="1"/>
  <c r="H956" i="5" a="1"/>
  <c r="H961" i="5" a="1"/>
  <c r="H964" i="5" a="1"/>
  <c r="H969" i="5" a="1"/>
  <c r="H972" i="5" a="1"/>
  <c r="H977" i="5" a="1"/>
  <c r="H980" i="5" a="1"/>
  <c r="H985" i="5" a="1"/>
  <c r="H988" i="5" a="1"/>
  <c r="H993" i="5" a="1"/>
  <c r="H996" i="5" a="1"/>
  <c r="H1001" i="5" a="1"/>
  <c r="H338" i="5" a="1"/>
  <c r="H423" i="5" a="1"/>
  <c r="H466" i="5" a="1"/>
  <c r="H540" i="5" a="1"/>
  <c r="H561" i="5" a="1"/>
  <c r="H572" i="5" a="1"/>
  <c r="H593" i="5" a="1"/>
  <c r="H604" i="5" a="1"/>
  <c r="H625" i="5" a="1"/>
  <c r="H736" i="5" a="1"/>
  <c r="H740" i="5" a="1"/>
  <c r="H744" i="5" a="1"/>
  <c r="H748" i="5" a="1"/>
  <c r="H752" i="5" a="1"/>
  <c r="H756" i="5" a="1"/>
  <c r="H761" i="5" a="1"/>
  <c r="H764" i="5" a="1"/>
  <c r="H769" i="5" a="1"/>
  <c r="H772" i="5" a="1"/>
  <c r="H777" i="5" a="1"/>
  <c r="H780" i="5" a="1"/>
  <c r="H785" i="5" a="1"/>
  <c r="H788" i="5" a="1"/>
  <c r="H793" i="5" a="1"/>
  <c r="H796" i="5" a="1"/>
  <c r="H801" i="5" a="1"/>
  <c r="H804" i="5" a="1"/>
  <c r="H809" i="5" a="1"/>
  <c r="H812" i="5" a="1"/>
  <c r="H997" i="5" a="1"/>
  <c r="H1000" i="5" a="1"/>
  <c r="O9" i="9" l="1"/>
  <c r="P7" i="9"/>
  <c r="O10" i="9"/>
  <c r="P8" i="9"/>
  <c r="J3" i="9"/>
  <c r="L4" i="9"/>
  <c r="M4" i="9" s="1"/>
  <c r="G4" i="9"/>
  <c r="H5" i="9"/>
  <c r="I4" i="9"/>
  <c r="G3" i="9"/>
  <c r="E6" i="9"/>
  <c r="F6" i="9" s="1"/>
  <c r="F5" i="9"/>
  <c r="C4" i="9"/>
  <c r="D4" i="9" s="1"/>
  <c r="D3" i="9"/>
  <c r="B5" i="9"/>
  <c r="H1000" i="5"/>
  <c r="H997" i="5"/>
  <c r="H812" i="5"/>
  <c r="H809" i="5"/>
  <c r="H804" i="5"/>
  <c r="H801" i="5"/>
  <c r="H796" i="5"/>
  <c r="H793" i="5"/>
  <c r="H788" i="5"/>
  <c r="H785" i="5"/>
  <c r="H780" i="5"/>
  <c r="H777" i="5"/>
  <c r="H772" i="5"/>
  <c r="H769" i="5"/>
  <c r="H764" i="5"/>
  <c r="H761" i="5"/>
  <c r="H756" i="5"/>
  <c r="H752" i="5"/>
  <c r="H748" i="5"/>
  <c r="H744" i="5"/>
  <c r="H740" i="5"/>
  <c r="H736" i="5"/>
  <c r="H625" i="5"/>
  <c r="H604" i="5"/>
  <c r="H593" i="5"/>
  <c r="H572" i="5"/>
  <c r="H561" i="5"/>
  <c r="H540" i="5"/>
  <c r="H466" i="5"/>
  <c r="H423" i="5"/>
  <c r="H338" i="5"/>
  <c r="H1001" i="5"/>
  <c r="H996" i="5"/>
  <c r="H993" i="5"/>
  <c r="H988" i="5"/>
  <c r="H985" i="5"/>
  <c r="H980" i="5"/>
  <c r="H977" i="5"/>
  <c r="H972" i="5"/>
  <c r="H969" i="5"/>
  <c r="H964" i="5"/>
  <c r="H961" i="5"/>
  <c r="H956" i="5"/>
  <c r="H953" i="5"/>
  <c r="H948" i="5"/>
  <c r="H945" i="5"/>
  <c r="H940" i="5"/>
  <c r="H937" i="5"/>
  <c r="H932" i="5"/>
  <c r="H929" i="5"/>
  <c r="H924" i="5"/>
  <c r="H921" i="5"/>
  <c r="H916" i="5"/>
  <c r="H913" i="5"/>
  <c r="H908" i="5"/>
  <c r="H905" i="5"/>
  <c r="H900" i="5"/>
  <c r="H897" i="5"/>
  <c r="H892" i="5"/>
  <c r="H889" i="5"/>
  <c r="H884" i="5"/>
  <c r="H881" i="5"/>
  <c r="H876" i="5"/>
  <c r="H873" i="5"/>
  <c r="H868" i="5"/>
  <c r="H865" i="5"/>
  <c r="H860" i="5"/>
  <c r="H857" i="5"/>
  <c r="H852" i="5"/>
  <c r="H849" i="5"/>
  <c r="H844" i="5"/>
  <c r="H841" i="5"/>
  <c r="H836" i="5"/>
  <c r="H833" i="5"/>
  <c r="H828" i="5"/>
  <c r="H825" i="5"/>
  <c r="H820" i="5"/>
  <c r="H817" i="5"/>
  <c r="H998" i="5"/>
  <c r="H995" i="5"/>
  <c r="H990" i="5"/>
  <c r="H987" i="5"/>
  <c r="H982" i="5"/>
  <c r="H979" i="5"/>
  <c r="H974" i="5"/>
  <c r="H971" i="5"/>
  <c r="H966" i="5"/>
  <c r="H963" i="5"/>
  <c r="H958" i="5"/>
  <c r="H955" i="5"/>
  <c r="H950" i="5"/>
  <c r="H947" i="5"/>
  <c r="H942" i="5"/>
  <c r="H939" i="5"/>
  <c r="H934" i="5"/>
  <c r="H931" i="5"/>
  <c r="H926" i="5"/>
  <c r="H923" i="5"/>
  <c r="H918" i="5"/>
  <c r="H915" i="5"/>
  <c r="H910" i="5"/>
  <c r="H907" i="5"/>
  <c r="H902" i="5"/>
  <c r="H899" i="5"/>
  <c r="H894" i="5"/>
  <c r="H891" i="5"/>
  <c r="H886" i="5"/>
  <c r="H883" i="5"/>
  <c r="H878" i="5"/>
  <c r="H875" i="5"/>
  <c r="H870" i="5"/>
  <c r="H867" i="5"/>
  <c r="H862" i="5"/>
  <c r="H859" i="5"/>
  <c r="H854" i="5"/>
  <c r="H851" i="5"/>
  <c r="H846" i="5"/>
  <c r="H843" i="5"/>
  <c r="H838" i="5"/>
  <c r="H835" i="5"/>
  <c r="H830" i="5"/>
  <c r="H827" i="5"/>
  <c r="H822" i="5"/>
  <c r="H819" i="5"/>
  <c r="H814" i="5"/>
  <c r="H811" i="5"/>
  <c r="H806" i="5"/>
  <c r="H803" i="5"/>
  <c r="H798" i="5"/>
  <c r="H795" i="5"/>
  <c r="H790" i="5"/>
  <c r="H787" i="5"/>
  <c r="H782" i="5"/>
  <c r="H779" i="5"/>
  <c r="H774" i="5"/>
  <c r="H771" i="5"/>
  <c r="H766" i="5"/>
  <c r="H763" i="5"/>
  <c r="H758" i="5"/>
  <c r="H612" i="5"/>
  <c r="H601" i="5"/>
  <c r="H580" i="5"/>
  <c r="H569" i="5"/>
  <c r="H548" i="5"/>
  <c r="H537" i="5"/>
  <c r="H498" i="5"/>
  <c r="H455" i="5"/>
  <c r="H370" i="5"/>
  <c r="H327" i="5"/>
  <c r="H765" i="5"/>
  <c r="H760" i="5"/>
  <c r="H757" i="5"/>
  <c r="H754" i="5"/>
  <c r="H750" i="5"/>
  <c r="H746" i="5"/>
  <c r="H742" i="5"/>
  <c r="H738" i="5"/>
  <c r="H734" i="5"/>
  <c r="H620" i="5"/>
  <c r="H609" i="5"/>
  <c r="H588" i="5"/>
  <c r="H577" i="5"/>
  <c r="H556" i="5"/>
  <c r="H545" i="5"/>
  <c r="H487" i="5"/>
  <c r="H402" i="5"/>
  <c r="H359" i="5"/>
  <c r="H213" i="5"/>
  <c r="H992" i="5"/>
  <c r="H989" i="5"/>
  <c r="H984" i="5"/>
  <c r="H981" i="5"/>
  <c r="H976" i="5"/>
  <c r="H973" i="5"/>
  <c r="H968" i="5"/>
  <c r="H965" i="5"/>
  <c r="H960" i="5"/>
  <c r="H957" i="5"/>
  <c r="H952" i="5"/>
  <c r="H949" i="5"/>
  <c r="H944" i="5"/>
  <c r="H941" i="5"/>
  <c r="H936" i="5"/>
  <c r="H933" i="5"/>
  <c r="H928" i="5"/>
  <c r="H925" i="5"/>
  <c r="H920" i="5"/>
  <c r="H917" i="5"/>
  <c r="H912" i="5"/>
  <c r="H909" i="5"/>
  <c r="H904" i="5"/>
  <c r="H901" i="5"/>
  <c r="H896" i="5"/>
  <c r="H893" i="5"/>
  <c r="H888" i="5"/>
  <c r="H885" i="5"/>
  <c r="H880" i="5"/>
  <c r="H877" i="5"/>
  <c r="H872" i="5"/>
  <c r="H869" i="5"/>
  <c r="H864" i="5"/>
  <c r="H861" i="5"/>
  <c r="H856" i="5"/>
  <c r="H853" i="5"/>
  <c r="H848" i="5"/>
  <c r="H845" i="5"/>
  <c r="H840" i="5"/>
  <c r="H837" i="5"/>
  <c r="H832" i="5"/>
  <c r="H829" i="5"/>
  <c r="H824" i="5"/>
  <c r="H821" i="5"/>
  <c r="H816" i="5"/>
  <c r="H813" i="5"/>
  <c r="H808" i="5"/>
  <c r="H805" i="5"/>
  <c r="H800" i="5"/>
  <c r="H797" i="5"/>
  <c r="H792" i="5"/>
  <c r="H789" i="5"/>
  <c r="H784" i="5"/>
  <c r="H781" i="5"/>
  <c r="H776" i="5"/>
  <c r="H773" i="5"/>
  <c r="H768" i="5"/>
  <c r="H999" i="5"/>
  <c r="H994" i="5"/>
  <c r="H991" i="5"/>
  <c r="H986" i="5"/>
  <c r="H983" i="5"/>
  <c r="H978" i="5"/>
  <c r="H975" i="5"/>
  <c r="H970" i="5"/>
  <c r="H967" i="5"/>
  <c r="H962" i="5"/>
  <c r="H959" i="5"/>
  <c r="H954" i="5"/>
  <c r="H951" i="5"/>
  <c r="H946" i="5"/>
  <c r="H943" i="5"/>
  <c r="H938" i="5"/>
  <c r="H935" i="5"/>
  <c r="H930" i="5"/>
  <c r="H927" i="5"/>
  <c r="H922" i="5"/>
  <c r="H919" i="5"/>
  <c r="H914" i="5"/>
  <c r="H911" i="5"/>
  <c r="H906" i="5"/>
  <c r="H903" i="5"/>
  <c r="H898" i="5"/>
  <c r="H895" i="5"/>
  <c r="H890" i="5"/>
  <c r="H887" i="5"/>
  <c r="H882" i="5"/>
  <c r="H879" i="5"/>
  <c r="H874" i="5"/>
  <c r="H871" i="5"/>
  <c r="H866" i="5"/>
  <c r="H863" i="5"/>
  <c r="H858" i="5"/>
  <c r="H855" i="5"/>
  <c r="H850" i="5"/>
  <c r="H847" i="5"/>
  <c r="H842" i="5"/>
  <c r="H839" i="5"/>
  <c r="H834" i="5"/>
  <c r="H831" i="5"/>
  <c r="H826" i="5"/>
  <c r="H823" i="5"/>
  <c r="H818" i="5"/>
  <c r="H815" i="5"/>
  <c r="H810" i="5"/>
  <c r="H807" i="5"/>
  <c r="H802" i="5"/>
  <c r="H799" i="5"/>
  <c r="H794" i="5"/>
  <c r="H791" i="5"/>
  <c r="H786" i="5"/>
  <c r="H783" i="5"/>
  <c r="H778" i="5"/>
  <c r="H775" i="5"/>
  <c r="H770" i="5"/>
  <c r="H767" i="5"/>
  <c r="H762" i="5"/>
  <c r="H759" i="5"/>
  <c r="H628" i="5"/>
  <c r="H617" i="5"/>
  <c r="H596" i="5"/>
  <c r="H585" i="5"/>
  <c r="H564" i="5"/>
  <c r="H553" i="5"/>
  <c r="H514" i="5"/>
  <c r="H434" i="5"/>
  <c r="H391" i="5"/>
  <c r="H306" i="5"/>
  <c r="H170" i="5"/>
  <c r="H732" i="5"/>
  <c r="H730" i="5"/>
  <c r="H728" i="5"/>
  <c r="H726" i="5"/>
  <c r="H724" i="5"/>
  <c r="H722" i="5"/>
  <c r="H720" i="5"/>
  <c r="H718" i="5"/>
  <c r="H716" i="5"/>
  <c r="H714" i="5"/>
  <c r="H712" i="5"/>
  <c r="H710" i="5"/>
  <c r="H708" i="5"/>
  <c r="H706" i="5"/>
  <c r="H704" i="5"/>
  <c r="H702" i="5"/>
  <c r="H700" i="5"/>
  <c r="H698" i="5"/>
  <c r="H696" i="5"/>
  <c r="H694" i="5"/>
  <c r="H692" i="5"/>
  <c r="H690" i="5"/>
  <c r="H688" i="5"/>
  <c r="H686" i="5"/>
  <c r="H684" i="5"/>
  <c r="H682" i="5"/>
  <c r="H680" i="5"/>
  <c r="H678" i="5"/>
  <c r="H676" i="5"/>
  <c r="H674" i="5"/>
  <c r="H672" i="5"/>
  <c r="H670" i="5"/>
  <c r="H668" i="5"/>
  <c r="H666" i="5"/>
  <c r="H664" i="5"/>
  <c r="H662" i="5"/>
  <c r="H660" i="5"/>
  <c r="H658" i="5"/>
  <c r="H656" i="5"/>
  <c r="H654" i="5"/>
  <c r="H652" i="5"/>
  <c r="H650" i="5"/>
  <c r="H648" i="5"/>
  <c r="H646" i="5"/>
  <c r="H644" i="5"/>
  <c r="H642" i="5"/>
  <c r="H640" i="5"/>
  <c r="H638" i="5"/>
  <c r="H636" i="5"/>
  <c r="H634" i="5"/>
  <c r="H632" i="5"/>
  <c r="H630" i="5"/>
  <c r="H627" i="5"/>
  <c r="H622" i="5"/>
  <c r="H619" i="5"/>
  <c r="H614" i="5"/>
  <c r="H611" i="5"/>
  <c r="H606" i="5"/>
  <c r="H603" i="5"/>
  <c r="H598" i="5"/>
  <c r="H595" i="5"/>
  <c r="H590" i="5"/>
  <c r="H587" i="5"/>
  <c r="H582" i="5"/>
  <c r="H579" i="5"/>
  <c r="H574" i="5"/>
  <c r="H571" i="5"/>
  <c r="H566" i="5"/>
  <c r="H563" i="5"/>
  <c r="H558" i="5"/>
  <c r="H555" i="5"/>
  <c r="H550" i="5"/>
  <c r="H547" i="5"/>
  <c r="H542" i="5"/>
  <c r="H539" i="5"/>
  <c r="H534" i="5"/>
  <c r="H530" i="5"/>
  <c r="H526" i="5"/>
  <c r="H522" i="5"/>
  <c r="H518" i="5"/>
  <c r="H513" i="5"/>
  <c r="H506" i="5"/>
  <c r="H495" i="5"/>
  <c r="H474" i="5"/>
  <c r="H463" i="5"/>
  <c r="H442" i="5"/>
  <c r="H431" i="5"/>
  <c r="H410" i="5"/>
  <c r="H399" i="5"/>
  <c r="H378" i="5"/>
  <c r="H367" i="5"/>
  <c r="H346" i="5"/>
  <c r="H335" i="5"/>
  <c r="H314" i="5"/>
  <c r="H303" i="5"/>
  <c r="H130" i="5"/>
  <c r="H629" i="5"/>
  <c r="H624" i="5"/>
  <c r="H621" i="5"/>
  <c r="H616" i="5"/>
  <c r="H613" i="5"/>
  <c r="H608" i="5"/>
  <c r="H605" i="5"/>
  <c r="H600" i="5"/>
  <c r="H597" i="5"/>
  <c r="H592" i="5"/>
  <c r="H589" i="5"/>
  <c r="H584" i="5"/>
  <c r="H581" i="5"/>
  <c r="H576" i="5"/>
  <c r="H573" i="5"/>
  <c r="H568" i="5"/>
  <c r="H565" i="5"/>
  <c r="H560" i="5"/>
  <c r="H557" i="5"/>
  <c r="H552" i="5"/>
  <c r="H549" i="5"/>
  <c r="H544" i="5"/>
  <c r="H541" i="5"/>
  <c r="H536" i="5"/>
  <c r="H511" i="5"/>
  <c r="H503" i="5"/>
  <c r="H482" i="5"/>
  <c r="H471" i="5"/>
  <c r="H450" i="5"/>
  <c r="H439" i="5"/>
  <c r="H418" i="5"/>
  <c r="H407" i="5"/>
  <c r="H386" i="5"/>
  <c r="H375" i="5"/>
  <c r="H354" i="5"/>
  <c r="H343" i="5"/>
  <c r="H322" i="5"/>
  <c r="H311" i="5"/>
  <c r="H300" i="5"/>
  <c r="H192" i="5"/>
  <c r="H87" i="5"/>
  <c r="H755" i="5"/>
  <c r="H753" i="5"/>
  <c r="H751" i="5"/>
  <c r="H749" i="5"/>
  <c r="H747" i="5"/>
  <c r="H745" i="5"/>
  <c r="H743" i="5"/>
  <c r="H741" i="5"/>
  <c r="H739" i="5"/>
  <c r="H737" i="5"/>
  <c r="H735" i="5"/>
  <c r="H733" i="5"/>
  <c r="H731" i="5"/>
  <c r="H729" i="5"/>
  <c r="H727" i="5"/>
  <c r="H725" i="5"/>
  <c r="H723" i="5"/>
  <c r="H721" i="5"/>
  <c r="H719" i="5"/>
  <c r="H717" i="5"/>
  <c r="H715" i="5"/>
  <c r="H713" i="5"/>
  <c r="H711" i="5"/>
  <c r="H709" i="5"/>
  <c r="H707" i="5"/>
  <c r="H705" i="5"/>
  <c r="H703" i="5"/>
  <c r="H701" i="5"/>
  <c r="H699" i="5"/>
  <c r="H697" i="5"/>
  <c r="H695" i="5"/>
  <c r="H693" i="5"/>
  <c r="H691" i="5"/>
  <c r="H689" i="5"/>
  <c r="H687" i="5"/>
  <c r="H685" i="5"/>
  <c r="H683" i="5"/>
  <c r="H681" i="5"/>
  <c r="H679" i="5"/>
  <c r="H677" i="5"/>
  <c r="H675" i="5"/>
  <c r="H673" i="5"/>
  <c r="H671" i="5"/>
  <c r="H669" i="5"/>
  <c r="H667" i="5"/>
  <c r="H665" i="5"/>
  <c r="H663" i="5"/>
  <c r="H661" i="5"/>
  <c r="H659" i="5"/>
  <c r="H657" i="5"/>
  <c r="H655" i="5"/>
  <c r="H653" i="5"/>
  <c r="H651" i="5"/>
  <c r="H649" i="5"/>
  <c r="H647" i="5"/>
  <c r="H645" i="5"/>
  <c r="H643" i="5"/>
  <c r="H641" i="5"/>
  <c r="H639" i="5"/>
  <c r="H637" i="5"/>
  <c r="H635" i="5"/>
  <c r="H633" i="5"/>
  <c r="H631" i="5"/>
  <c r="H626" i="5"/>
  <c r="H623" i="5"/>
  <c r="H618" i="5"/>
  <c r="H615" i="5"/>
  <c r="H610" i="5"/>
  <c r="H607" i="5"/>
  <c r="H602" i="5"/>
  <c r="H599" i="5"/>
  <c r="H594" i="5"/>
  <c r="H591" i="5"/>
  <c r="H586" i="5"/>
  <c r="H583" i="5"/>
  <c r="H578" i="5"/>
  <c r="H575" i="5"/>
  <c r="H570" i="5"/>
  <c r="H567" i="5"/>
  <c r="H562" i="5"/>
  <c r="H559" i="5"/>
  <c r="H554" i="5"/>
  <c r="H551" i="5"/>
  <c r="H546" i="5"/>
  <c r="H543" i="5"/>
  <c r="H538" i="5"/>
  <c r="H535" i="5"/>
  <c r="H532" i="5"/>
  <c r="H528" i="5"/>
  <c r="H524" i="5"/>
  <c r="H520" i="5"/>
  <c r="H516" i="5"/>
  <c r="H490" i="5"/>
  <c r="H479" i="5"/>
  <c r="H458" i="5"/>
  <c r="H447" i="5"/>
  <c r="H426" i="5"/>
  <c r="H415" i="5"/>
  <c r="H394" i="5"/>
  <c r="H383" i="5"/>
  <c r="H362" i="5"/>
  <c r="H351" i="5"/>
  <c r="H330" i="5"/>
  <c r="H319" i="5"/>
  <c r="H224" i="5"/>
  <c r="H181" i="5"/>
  <c r="H508" i="5"/>
  <c r="H505" i="5"/>
  <c r="H500" i="5"/>
  <c r="H497" i="5"/>
  <c r="H492" i="5"/>
  <c r="H489" i="5"/>
  <c r="H484" i="5"/>
  <c r="H481" i="5"/>
  <c r="H476" i="5"/>
  <c r="H473" i="5"/>
  <c r="H468" i="5"/>
  <c r="H465" i="5"/>
  <c r="H460" i="5"/>
  <c r="H457" i="5"/>
  <c r="H452" i="5"/>
  <c r="H449" i="5"/>
  <c r="H444" i="5"/>
  <c r="H441" i="5"/>
  <c r="H436" i="5"/>
  <c r="H433" i="5"/>
  <c r="H428" i="5"/>
  <c r="H425" i="5"/>
  <c r="H420" i="5"/>
  <c r="H417" i="5"/>
  <c r="H412" i="5"/>
  <c r="H409" i="5"/>
  <c r="H404" i="5"/>
  <c r="H401" i="5"/>
  <c r="H396" i="5"/>
  <c r="H393" i="5"/>
  <c r="H388" i="5"/>
  <c r="H385" i="5"/>
  <c r="H380" i="5"/>
  <c r="H377" i="5"/>
  <c r="H372" i="5"/>
  <c r="H369" i="5"/>
  <c r="H364" i="5"/>
  <c r="H361" i="5"/>
  <c r="H356" i="5"/>
  <c r="H353" i="5"/>
  <c r="H348" i="5"/>
  <c r="H345" i="5"/>
  <c r="H340" i="5"/>
  <c r="H337" i="5"/>
  <c r="H332" i="5"/>
  <c r="H329" i="5"/>
  <c r="H324" i="5"/>
  <c r="H321" i="5"/>
  <c r="H316" i="5"/>
  <c r="H313" i="5"/>
  <c r="H308" i="5"/>
  <c r="H305" i="5"/>
  <c r="H232" i="5"/>
  <c r="H221" i="5"/>
  <c r="H200" i="5"/>
  <c r="H189" i="5"/>
  <c r="H162" i="5"/>
  <c r="H119" i="5"/>
  <c r="H34" i="5"/>
  <c r="H515" i="5"/>
  <c r="H510" i="5"/>
  <c r="H507" i="5"/>
  <c r="H502" i="5"/>
  <c r="H499" i="5"/>
  <c r="H494" i="5"/>
  <c r="H491" i="5"/>
  <c r="H486" i="5"/>
  <c r="H483" i="5"/>
  <c r="H478" i="5"/>
  <c r="H475" i="5"/>
  <c r="H470" i="5"/>
  <c r="H467" i="5"/>
  <c r="H462" i="5"/>
  <c r="H459" i="5"/>
  <c r="H454" i="5"/>
  <c r="H451" i="5"/>
  <c r="H446" i="5"/>
  <c r="H443" i="5"/>
  <c r="H438" i="5"/>
  <c r="H435" i="5"/>
  <c r="H430" i="5"/>
  <c r="H427" i="5"/>
  <c r="H422" i="5"/>
  <c r="H419" i="5"/>
  <c r="H414" i="5"/>
  <c r="H411" i="5"/>
  <c r="H406" i="5"/>
  <c r="H403" i="5"/>
  <c r="H398" i="5"/>
  <c r="H395" i="5"/>
  <c r="H390" i="5"/>
  <c r="H387" i="5"/>
  <c r="H382" i="5"/>
  <c r="H379" i="5"/>
  <c r="H374" i="5"/>
  <c r="H371" i="5"/>
  <c r="H366" i="5"/>
  <c r="H363" i="5"/>
  <c r="H358" i="5"/>
  <c r="H355" i="5"/>
  <c r="H350" i="5"/>
  <c r="H347" i="5"/>
  <c r="H342" i="5"/>
  <c r="H339" i="5"/>
  <c r="H334" i="5"/>
  <c r="H331" i="5"/>
  <c r="H326" i="5"/>
  <c r="H323" i="5"/>
  <c r="H318" i="5"/>
  <c r="H315" i="5"/>
  <c r="H310" i="5"/>
  <c r="H307" i="5"/>
  <c r="H302" i="5"/>
  <c r="H240" i="5"/>
  <c r="H229" i="5"/>
  <c r="H208" i="5"/>
  <c r="H197" i="5"/>
  <c r="H176" i="5"/>
  <c r="H151" i="5"/>
  <c r="H66" i="5"/>
  <c r="H23" i="5"/>
  <c r="H533" i="5"/>
  <c r="H531" i="5"/>
  <c r="H529" i="5"/>
  <c r="H527" i="5"/>
  <c r="H525" i="5"/>
  <c r="H523" i="5"/>
  <c r="H521" i="5"/>
  <c r="H519" i="5"/>
  <c r="H517" i="5"/>
  <c r="H512" i="5"/>
  <c r="H509" i="5"/>
  <c r="H504" i="5"/>
  <c r="H501" i="5"/>
  <c r="H496" i="5"/>
  <c r="H493" i="5"/>
  <c r="H488" i="5"/>
  <c r="H485" i="5"/>
  <c r="H480" i="5"/>
  <c r="H477" i="5"/>
  <c r="H472" i="5"/>
  <c r="H469" i="5"/>
  <c r="H464" i="5"/>
  <c r="H461" i="5"/>
  <c r="H456" i="5"/>
  <c r="H453" i="5"/>
  <c r="H448" i="5"/>
  <c r="H445" i="5"/>
  <c r="H440" i="5"/>
  <c r="H437" i="5"/>
  <c r="H432" i="5"/>
  <c r="H429" i="5"/>
  <c r="H424" i="5"/>
  <c r="H421" i="5"/>
  <c r="H416" i="5"/>
  <c r="H413" i="5"/>
  <c r="H408" i="5"/>
  <c r="H405" i="5"/>
  <c r="H400" i="5"/>
  <c r="H397" i="5"/>
  <c r="H392" i="5"/>
  <c r="H389" i="5"/>
  <c r="H384" i="5"/>
  <c r="H381" i="5"/>
  <c r="H376" i="5"/>
  <c r="H373" i="5"/>
  <c r="H368" i="5"/>
  <c r="H365" i="5"/>
  <c r="H360" i="5"/>
  <c r="H357" i="5"/>
  <c r="H352" i="5"/>
  <c r="H349" i="5"/>
  <c r="H344" i="5"/>
  <c r="H341" i="5"/>
  <c r="H336" i="5"/>
  <c r="H333" i="5"/>
  <c r="H328" i="5"/>
  <c r="H325" i="5"/>
  <c r="H320" i="5"/>
  <c r="H317" i="5"/>
  <c r="H312" i="5"/>
  <c r="H309" i="5"/>
  <c r="H304" i="5"/>
  <c r="H237" i="5"/>
  <c r="H216" i="5"/>
  <c r="H205" i="5"/>
  <c r="H184" i="5"/>
  <c r="H173" i="5"/>
  <c r="H98" i="5"/>
  <c r="H55" i="5"/>
  <c r="H298" i="5"/>
  <c r="H296" i="5"/>
  <c r="H294" i="5"/>
  <c r="H292" i="5"/>
  <c r="H290" i="5"/>
  <c r="H288" i="5"/>
  <c r="H286" i="5"/>
  <c r="H284" i="5"/>
  <c r="H282" i="5"/>
  <c r="H280" i="5"/>
  <c r="H278" i="5"/>
  <c r="H276" i="5"/>
  <c r="H274" i="5"/>
  <c r="H272" i="5"/>
  <c r="H270" i="5"/>
  <c r="H268" i="5"/>
  <c r="H266" i="5"/>
  <c r="H264" i="5"/>
  <c r="H262" i="5"/>
  <c r="H260" i="5"/>
  <c r="H258" i="5"/>
  <c r="H256" i="5"/>
  <c r="H254" i="5"/>
  <c r="H252" i="5"/>
  <c r="H250" i="5"/>
  <c r="H248" i="5"/>
  <c r="H246" i="5"/>
  <c r="H244" i="5"/>
  <c r="H242" i="5"/>
  <c r="H239" i="5"/>
  <c r="H234" i="5"/>
  <c r="H231" i="5"/>
  <c r="H226" i="5"/>
  <c r="H223" i="5"/>
  <c r="H218" i="5"/>
  <c r="H215" i="5"/>
  <c r="H210" i="5"/>
  <c r="H207" i="5"/>
  <c r="H202" i="5"/>
  <c r="H199" i="5"/>
  <c r="H194" i="5"/>
  <c r="H191" i="5"/>
  <c r="H186" i="5"/>
  <c r="H183" i="5"/>
  <c r="H178" i="5"/>
  <c r="H175" i="5"/>
  <c r="H168" i="5"/>
  <c r="H159" i="5"/>
  <c r="H138" i="5"/>
  <c r="H127" i="5"/>
  <c r="H106" i="5"/>
  <c r="H95" i="5"/>
  <c r="H74" i="5"/>
  <c r="H63" i="5"/>
  <c r="H42" i="5"/>
  <c r="H31" i="5"/>
  <c r="H10" i="5"/>
  <c r="H241" i="5"/>
  <c r="H236" i="5"/>
  <c r="H233" i="5"/>
  <c r="H228" i="5"/>
  <c r="H225" i="5"/>
  <c r="H220" i="5"/>
  <c r="H217" i="5"/>
  <c r="H212" i="5"/>
  <c r="H209" i="5"/>
  <c r="H204" i="5"/>
  <c r="H201" i="5"/>
  <c r="H196" i="5"/>
  <c r="H193" i="5"/>
  <c r="H188" i="5"/>
  <c r="H185" i="5"/>
  <c r="H180" i="5"/>
  <c r="H177" i="5"/>
  <c r="H172" i="5"/>
  <c r="H167" i="5"/>
  <c r="H146" i="5"/>
  <c r="H135" i="5"/>
  <c r="H114" i="5"/>
  <c r="H103" i="5"/>
  <c r="H82" i="5"/>
  <c r="H71" i="5"/>
  <c r="H50" i="5"/>
  <c r="H39" i="5"/>
  <c r="H18" i="5"/>
  <c r="H7" i="5"/>
  <c r="H301" i="5"/>
  <c r="H299" i="5"/>
  <c r="H297" i="5"/>
  <c r="H295" i="5"/>
  <c r="H293" i="5"/>
  <c r="H291" i="5"/>
  <c r="H289" i="5"/>
  <c r="H287" i="5"/>
  <c r="H285" i="5"/>
  <c r="H283" i="5"/>
  <c r="H281" i="5"/>
  <c r="H279" i="5"/>
  <c r="H277" i="5"/>
  <c r="H275" i="5"/>
  <c r="H273" i="5"/>
  <c r="H271" i="5"/>
  <c r="H269" i="5"/>
  <c r="H267" i="5"/>
  <c r="H265" i="5"/>
  <c r="H263" i="5"/>
  <c r="H261" i="5"/>
  <c r="H259" i="5"/>
  <c r="H257" i="5"/>
  <c r="H255" i="5"/>
  <c r="H253" i="5"/>
  <c r="H251" i="5"/>
  <c r="H249" i="5"/>
  <c r="H247" i="5"/>
  <c r="H245" i="5"/>
  <c r="H243" i="5"/>
  <c r="H238" i="5"/>
  <c r="H235" i="5"/>
  <c r="H230" i="5"/>
  <c r="H227" i="5"/>
  <c r="H222" i="5"/>
  <c r="H219" i="5"/>
  <c r="H214" i="5"/>
  <c r="H211" i="5"/>
  <c r="H206" i="5"/>
  <c r="H203" i="5"/>
  <c r="H198" i="5"/>
  <c r="H195" i="5"/>
  <c r="H190" i="5"/>
  <c r="H187" i="5"/>
  <c r="H182" i="5"/>
  <c r="H179" i="5"/>
  <c r="H174" i="5"/>
  <c r="H154" i="5"/>
  <c r="H143" i="5"/>
  <c r="H122" i="5"/>
  <c r="H111" i="5"/>
  <c r="H90" i="5"/>
  <c r="H79" i="5"/>
  <c r="H58" i="5"/>
  <c r="H47" i="5"/>
  <c r="H26" i="5"/>
  <c r="H15" i="5"/>
  <c r="H169" i="5"/>
  <c r="H164" i="5"/>
  <c r="H161" i="5"/>
  <c r="H156" i="5"/>
  <c r="H153" i="5"/>
  <c r="H148" i="5"/>
  <c r="H145" i="5"/>
  <c r="H140" i="5"/>
  <c r="H137" i="5"/>
  <c r="H132" i="5"/>
  <c r="H129" i="5"/>
  <c r="H124" i="5"/>
  <c r="H121" i="5"/>
  <c r="H116" i="5"/>
  <c r="H113" i="5"/>
  <c r="H108" i="5"/>
  <c r="H105" i="5"/>
  <c r="H100" i="5"/>
  <c r="H97" i="5"/>
  <c r="H92" i="5"/>
  <c r="H89" i="5"/>
  <c r="H84" i="5"/>
  <c r="H81" i="5"/>
  <c r="H76" i="5"/>
  <c r="H73" i="5"/>
  <c r="H68" i="5"/>
  <c r="H65" i="5"/>
  <c r="H60" i="5"/>
  <c r="H57" i="5"/>
  <c r="H52" i="5"/>
  <c r="H49" i="5"/>
  <c r="H44" i="5"/>
  <c r="H41" i="5"/>
  <c r="H36" i="5"/>
  <c r="H33" i="5"/>
  <c r="H28" i="5"/>
  <c r="H25" i="5"/>
  <c r="H20" i="5"/>
  <c r="H17" i="5"/>
  <c r="H12" i="5"/>
  <c r="H9" i="5"/>
  <c r="H4" i="5"/>
  <c r="H171" i="5"/>
  <c r="H166" i="5"/>
  <c r="H163" i="5"/>
  <c r="H158" i="5"/>
  <c r="H155" i="5"/>
  <c r="H150" i="5"/>
  <c r="H147" i="5"/>
  <c r="H142" i="5"/>
  <c r="H139" i="5"/>
  <c r="H134" i="5"/>
  <c r="H131" i="5"/>
  <c r="H126" i="5"/>
  <c r="H123" i="5"/>
  <c r="H118" i="5"/>
  <c r="H115" i="5"/>
  <c r="H110" i="5"/>
  <c r="H107" i="5"/>
  <c r="H102" i="5"/>
  <c r="H99" i="5"/>
  <c r="H94" i="5"/>
  <c r="H91" i="5"/>
  <c r="H86" i="5"/>
  <c r="H83" i="5"/>
  <c r="H78" i="5"/>
  <c r="H75" i="5"/>
  <c r="H70" i="5"/>
  <c r="H67" i="5"/>
  <c r="H62" i="5"/>
  <c r="H59" i="5"/>
  <c r="H54" i="5"/>
  <c r="H51" i="5"/>
  <c r="H46" i="5"/>
  <c r="H43" i="5"/>
  <c r="H38" i="5"/>
  <c r="H35" i="5"/>
  <c r="H30" i="5"/>
  <c r="H27" i="5"/>
  <c r="H22" i="5"/>
  <c r="H19" i="5"/>
  <c r="H14" i="5"/>
  <c r="H11" i="5"/>
  <c r="H6" i="5"/>
  <c r="H165" i="5"/>
  <c r="H160" i="5"/>
  <c r="H157" i="5"/>
  <c r="H152" i="5"/>
  <c r="H149" i="5"/>
  <c r="H144" i="5"/>
  <c r="H141" i="5"/>
  <c r="H136" i="5"/>
  <c r="H133" i="5"/>
  <c r="H128" i="5"/>
  <c r="H125" i="5"/>
  <c r="H120" i="5"/>
  <c r="H117" i="5"/>
  <c r="H112" i="5"/>
  <c r="H109" i="5"/>
  <c r="H104" i="5"/>
  <c r="H101" i="5"/>
  <c r="H96" i="5"/>
  <c r="H93" i="5"/>
  <c r="H88" i="5"/>
  <c r="H85" i="5"/>
  <c r="H80" i="5"/>
  <c r="H77" i="5"/>
  <c r="H72" i="5"/>
  <c r="H69" i="5"/>
  <c r="H64" i="5"/>
  <c r="H61" i="5"/>
  <c r="H56" i="5"/>
  <c r="H53" i="5"/>
  <c r="H48" i="5"/>
  <c r="H45" i="5"/>
  <c r="H40" i="5"/>
  <c r="H37" i="5"/>
  <c r="H32" i="5"/>
  <c r="H29" i="5"/>
  <c r="H24" i="5"/>
  <c r="H21" i="5"/>
  <c r="H16" i="5"/>
  <c r="H13" i="5"/>
  <c r="H8" i="5"/>
  <c r="H5" i="5"/>
  <c r="H2" i="5"/>
  <c r="H3" i="5"/>
  <c r="E879" i="5"/>
  <c r="J879" i="5" s="1"/>
  <c r="K879" i="5" s="1"/>
  <c r="F992" i="5"/>
  <c r="L992" i="5" s="1"/>
  <c r="M992" i="5" s="1"/>
  <c r="F976" i="5"/>
  <c r="L976" i="5" s="1"/>
  <c r="M976" i="5" s="1"/>
  <c r="F960" i="5"/>
  <c r="L960" i="5" s="1"/>
  <c r="M960" i="5" s="1"/>
  <c r="F944" i="5"/>
  <c r="L944" i="5" s="1"/>
  <c r="M944" i="5" s="1"/>
  <c r="F928" i="5"/>
  <c r="L928" i="5" s="1"/>
  <c r="M928" i="5" s="1"/>
  <c r="F912" i="5"/>
  <c r="L912" i="5" s="1"/>
  <c r="M912" i="5" s="1"/>
  <c r="F896" i="5"/>
  <c r="L896" i="5" s="1"/>
  <c r="M896" i="5" s="1"/>
  <c r="F880" i="5"/>
  <c r="L880" i="5" s="1"/>
  <c r="M880" i="5" s="1"/>
  <c r="F864" i="5"/>
  <c r="L864" i="5" s="1"/>
  <c r="M864" i="5" s="1"/>
  <c r="F848" i="5"/>
  <c r="L848" i="5" s="1"/>
  <c r="M848" i="5" s="1"/>
  <c r="F832" i="5"/>
  <c r="L832" i="5" s="1"/>
  <c r="M832" i="5" s="1"/>
  <c r="F816" i="5"/>
  <c r="L816" i="5" s="1"/>
  <c r="M816" i="5" s="1"/>
  <c r="F800" i="5"/>
  <c r="F784" i="5"/>
  <c r="L784" i="5" s="1"/>
  <c r="M784" i="5" s="1"/>
  <c r="F768" i="5"/>
  <c r="F752" i="5"/>
  <c r="L752" i="5" s="1"/>
  <c r="M752" i="5" s="1"/>
  <c r="F736" i="5"/>
  <c r="L736" i="5" s="1"/>
  <c r="M736" i="5" s="1"/>
  <c r="F720" i="5"/>
  <c r="L720" i="5" s="1"/>
  <c r="M720" i="5" s="1"/>
  <c r="F704" i="5"/>
  <c r="L704" i="5" s="1"/>
  <c r="M704" i="5" s="1"/>
  <c r="F688" i="5"/>
  <c r="L688" i="5" s="1"/>
  <c r="M688" i="5" s="1"/>
  <c r="F659" i="5"/>
  <c r="L659" i="5" s="1"/>
  <c r="M659" i="5" s="1"/>
  <c r="F597" i="5"/>
  <c r="L597" i="5" s="1"/>
  <c r="M597" i="5" s="1"/>
  <c r="F533" i="5"/>
  <c r="L533" i="5" s="1"/>
  <c r="M533" i="5" s="1"/>
  <c r="F469" i="5"/>
  <c r="L469" i="5" s="1"/>
  <c r="M469" i="5" s="1"/>
  <c r="F405" i="5"/>
  <c r="L405" i="5" s="1"/>
  <c r="M405" i="5" s="1"/>
  <c r="E467" i="5"/>
  <c r="J467" i="5" s="1"/>
  <c r="K467" i="5" s="1"/>
  <c r="F988" i="5"/>
  <c r="L988" i="5" s="1"/>
  <c r="M988" i="5" s="1"/>
  <c r="F972" i="5"/>
  <c r="L972" i="5" s="1"/>
  <c r="M972" i="5" s="1"/>
  <c r="F956" i="5"/>
  <c r="L956" i="5" s="1"/>
  <c r="M956" i="5" s="1"/>
  <c r="F940" i="5"/>
  <c r="L940" i="5" s="1"/>
  <c r="M940" i="5" s="1"/>
  <c r="F924" i="5"/>
  <c r="L924" i="5" s="1"/>
  <c r="M924" i="5" s="1"/>
  <c r="F908" i="5"/>
  <c r="L908" i="5" s="1"/>
  <c r="M908" i="5" s="1"/>
  <c r="F892" i="5"/>
  <c r="L892" i="5" s="1"/>
  <c r="M892" i="5" s="1"/>
  <c r="F876" i="5"/>
  <c r="L876" i="5" s="1"/>
  <c r="M876" i="5" s="1"/>
  <c r="F860" i="5"/>
  <c r="L860" i="5" s="1"/>
  <c r="M860" i="5" s="1"/>
  <c r="F844" i="5"/>
  <c r="L844" i="5" s="1"/>
  <c r="M844" i="5" s="1"/>
  <c r="F828" i="5"/>
  <c r="L828" i="5" s="1"/>
  <c r="M828" i="5" s="1"/>
  <c r="F812" i="5"/>
  <c r="L812" i="5" s="1"/>
  <c r="M812" i="5" s="1"/>
  <c r="F796" i="5"/>
  <c r="L796" i="5" s="1"/>
  <c r="M796" i="5" s="1"/>
  <c r="F780" i="5"/>
  <c r="L780" i="5" s="1"/>
  <c r="M780" i="5" s="1"/>
  <c r="F764" i="5"/>
  <c r="L764" i="5" s="1"/>
  <c r="M764" i="5" s="1"/>
  <c r="F748" i="5"/>
  <c r="F732" i="5"/>
  <c r="L732" i="5" s="1"/>
  <c r="M732" i="5" s="1"/>
  <c r="F716" i="5"/>
  <c r="L716" i="5" s="1"/>
  <c r="M716" i="5" s="1"/>
  <c r="F700" i="5"/>
  <c r="L700" i="5" s="1"/>
  <c r="M700" i="5" s="1"/>
  <c r="F683" i="5"/>
  <c r="F645" i="5"/>
  <c r="L645" i="5" s="1"/>
  <c r="M645" i="5" s="1"/>
  <c r="F581" i="5"/>
  <c r="L581" i="5" s="1"/>
  <c r="M581" i="5" s="1"/>
  <c r="F517" i="5"/>
  <c r="L517" i="5" s="1"/>
  <c r="M517" i="5" s="1"/>
  <c r="F453" i="5"/>
  <c r="L453" i="5" s="1"/>
  <c r="M453" i="5" s="1"/>
  <c r="F389" i="5"/>
  <c r="L389" i="5" s="1"/>
  <c r="M389" i="5" s="1"/>
  <c r="F1000" i="5"/>
  <c r="L1000" i="5" s="1"/>
  <c r="M1000" i="5" s="1"/>
  <c r="F984" i="5"/>
  <c r="L984" i="5" s="1"/>
  <c r="M984" i="5" s="1"/>
  <c r="F968" i="5"/>
  <c r="L968" i="5" s="1"/>
  <c r="M968" i="5" s="1"/>
  <c r="F952" i="5"/>
  <c r="L952" i="5" s="1"/>
  <c r="M952" i="5" s="1"/>
  <c r="F936" i="5"/>
  <c r="L936" i="5" s="1"/>
  <c r="M936" i="5" s="1"/>
  <c r="F920" i="5"/>
  <c r="L920" i="5" s="1"/>
  <c r="M920" i="5" s="1"/>
  <c r="F904" i="5"/>
  <c r="L904" i="5" s="1"/>
  <c r="M904" i="5" s="1"/>
  <c r="F888" i="5"/>
  <c r="L888" i="5" s="1"/>
  <c r="M888" i="5" s="1"/>
  <c r="F872" i="5"/>
  <c r="L872" i="5" s="1"/>
  <c r="M872" i="5" s="1"/>
  <c r="F856" i="5"/>
  <c r="L856" i="5" s="1"/>
  <c r="M856" i="5" s="1"/>
  <c r="F840" i="5"/>
  <c r="L840" i="5" s="1"/>
  <c r="M840" i="5" s="1"/>
  <c r="F824" i="5"/>
  <c r="L824" i="5" s="1"/>
  <c r="M824" i="5" s="1"/>
  <c r="F808" i="5"/>
  <c r="L808" i="5" s="1"/>
  <c r="M808" i="5" s="1"/>
  <c r="F792" i="5"/>
  <c r="L792" i="5" s="1"/>
  <c r="M792" i="5" s="1"/>
  <c r="F776" i="5"/>
  <c r="L776" i="5" s="1"/>
  <c r="M776" i="5" s="1"/>
  <c r="F760" i="5"/>
  <c r="L760" i="5" s="1"/>
  <c r="M760" i="5" s="1"/>
  <c r="F744" i="5"/>
  <c r="L744" i="5" s="1"/>
  <c r="M744" i="5" s="1"/>
  <c r="F728" i="5"/>
  <c r="L728" i="5" s="1"/>
  <c r="M728" i="5" s="1"/>
  <c r="F712" i="5"/>
  <c r="L712" i="5" s="1"/>
  <c r="M712" i="5" s="1"/>
  <c r="F696" i="5"/>
  <c r="L696" i="5" s="1"/>
  <c r="M696" i="5" s="1"/>
  <c r="F675" i="5"/>
  <c r="L675" i="5" s="1"/>
  <c r="M675" i="5" s="1"/>
  <c r="F629" i="5"/>
  <c r="L629" i="5" s="1"/>
  <c r="M629" i="5" s="1"/>
  <c r="F565" i="5"/>
  <c r="L565" i="5" s="1"/>
  <c r="M565" i="5" s="1"/>
  <c r="F501" i="5"/>
  <c r="L501" i="5" s="1"/>
  <c r="M501" i="5" s="1"/>
  <c r="F437" i="5"/>
  <c r="L437" i="5" s="1"/>
  <c r="M437" i="5" s="1"/>
  <c r="F373" i="5"/>
  <c r="L373" i="5" s="1"/>
  <c r="M373" i="5" s="1"/>
  <c r="F996" i="5"/>
  <c r="F980" i="5"/>
  <c r="F964" i="5"/>
  <c r="L964" i="5" s="1"/>
  <c r="M964" i="5" s="1"/>
  <c r="F948" i="5"/>
  <c r="L948" i="5" s="1"/>
  <c r="M948" i="5" s="1"/>
  <c r="F932" i="5"/>
  <c r="F916" i="5"/>
  <c r="F900" i="5"/>
  <c r="L900" i="5" s="1"/>
  <c r="M900" i="5" s="1"/>
  <c r="F884" i="5"/>
  <c r="L884" i="5" s="1"/>
  <c r="M884" i="5" s="1"/>
  <c r="F868" i="5"/>
  <c r="F852" i="5"/>
  <c r="F836" i="5"/>
  <c r="L836" i="5" s="1"/>
  <c r="M836" i="5" s="1"/>
  <c r="F820" i="5"/>
  <c r="L820" i="5" s="1"/>
  <c r="M820" i="5" s="1"/>
  <c r="F804" i="5"/>
  <c r="L804" i="5" s="1"/>
  <c r="M804" i="5" s="1"/>
  <c r="F788" i="5"/>
  <c r="L788" i="5" s="1"/>
  <c r="M788" i="5" s="1"/>
  <c r="F772" i="5"/>
  <c r="L772" i="5" s="1"/>
  <c r="M772" i="5" s="1"/>
  <c r="F756" i="5"/>
  <c r="F740" i="5"/>
  <c r="F724" i="5"/>
  <c r="L724" i="5" s="1"/>
  <c r="M724" i="5" s="1"/>
  <c r="F708" i="5"/>
  <c r="L708" i="5" s="1"/>
  <c r="M708" i="5" s="1"/>
  <c r="F692" i="5"/>
  <c r="L692" i="5" s="1"/>
  <c r="M692" i="5" s="1"/>
  <c r="F667" i="5"/>
  <c r="L667" i="5" s="1"/>
  <c r="M667" i="5" s="1"/>
  <c r="F613" i="5"/>
  <c r="L613" i="5" s="1"/>
  <c r="M613" i="5" s="1"/>
  <c r="F549" i="5"/>
  <c r="L549" i="5" s="1"/>
  <c r="M549" i="5" s="1"/>
  <c r="F485" i="5"/>
  <c r="L485" i="5" s="1"/>
  <c r="M485" i="5" s="1"/>
  <c r="F421" i="5"/>
  <c r="L421" i="5" s="1"/>
  <c r="M421" i="5" s="1"/>
  <c r="F357" i="5"/>
  <c r="L357" i="5" s="1"/>
  <c r="M357" i="5" s="1"/>
  <c r="E994" i="5"/>
  <c r="J994" i="5" s="1"/>
  <c r="K994" i="5" s="1"/>
  <c r="F994" i="5"/>
  <c r="L994" i="5" s="1"/>
  <c r="M994" i="5" s="1"/>
  <c r="E986" i="5"/>
  <c r="J986" i="5" s="1"/>
  <c r="K986" i="5" s="1"/>
  <c r="F986" i="5"/>
  <c r="L986" i="5" s="1"/>
  <c r="M986" i="5" s="1"/>
  <c r="E978" i="5"/>
  <c r="J978" i="5" s="1"/>
  <c r="K978" i="5" s="1"/>
  <c r="F978" i="5"/>
  <c r="L978" i="5" s="1"/>
  <c r="M978" i="5" s="1"/>
  <c r="E970" i="5"/>
  <c r="J970" i="5" s="1"/>
  <c r="K970" i="5" s="1"/>
  <c r="F970" i="5"/>
  <c r="L970" i="5" s="1"/>
  <c r="M970" i="5" s="1"/>
  <c r="E962" i="5"/>
  <c r="J962" i="5" s="1"/>
  <c r="K962" i="5" s="1"/>
  <c r="F962" i="5"/>
  <c r="L962" i="5" s="1"/>
  <c r="M962" i="5" s="1"/>
  <c r="E958" i="5"/>
  <c r="J958" i="5" s="1"/>
  <c r="K958" i="5" s="1"/>
  <c r="F958" i="5"/>
  <c r="L958" i="5" s="1"/>
  <c r="M958" i="5" s="1"/>
  <c r="E950" i="5"/>
  <c r="J950" i="5" s="1"/>
  <c r="K950" i="5" s="1"/>
  <c r="F950" i="5"/>
  <c r="L950" i="5" s="1"/>
  <c r="M950" i="5" s="1"/>
  <c r="E942" i="5"/>
  <c r="J942" i="5" s="1"/>
  <c r="K942" i="5" s="1"/>
  <c r="F942" i="5"/>
  <c r="L942" i="5" s="1"/>
  <c r="M942" i="5" s="1"/>
  <c r="E934" i="5"/>
  <c r="J934" i="5" s="1"/>
  <c r="K934" i="5" s="1"/>
  <c r="F934" i="5"/>
  <c r="L934" i="5" s="1"/>
  <c r="M934" i="5" s="1"/>
  <c r="E926" i="5"/>
  <c r="J926" i="5" s="1"/>
  <c r="K926" i="5" s="1"/>
  <c r="F926" i="5"/>
  <c r="L926" i="5" s="1"/>
  <c r="M926" i="5" s="1"/>
  <c r="E918" i="5"/>
  <c r="J918" i="5" s="1"/>
  <c r="K918" i="5" s="1"/>
  <c r="F918" i="5"/>
  <c r="L918" i="5" s="1"/>
  <c r="M918" i="5" s="1"/>
  <c r="E910" i="5"/>
  <c r="J910" i="5" s="1"/>
  <c r="K910" i="5" s="1"/>
  <c r="F910" i="5"/>
  <c r="L910" i="5" s="1"/>
  <c r="M910" i="5" s="1"/>
  <c r="E902" i="5"/>
  <c r="J902" i="5" s="1"/>
  <c r="K902" i="5" s="1"/>
  <c r="F902" i="5"/>
  <c r="L902" i="5" s="1"/>
  <c r="M902" i="5" s="1"/>
  <c r="E894" i="5"/>
  <c r="J894" i="5" s="1"/>
  <c r="K894" i="5" s="1"/>
  <c r="F894" i="5"/>
  <c r="L894" i="5" s="1"/>
  <c r="M894" i="5" s="1"/>
  <c r="E890" i="5"/>
  <c r="J890" i="5" s="1"/>
  <c r="K890" i="5" s="1"/>
  <c r="F890" i="5"/>
  <c r="L890" i="5" s="1"/>
  <c r="M890" i="5" s="1"/>
  <c r="E882" i="5"/>
  <c r="J882" i="5" s="1"/>
  <c r="K882" i="5" s="1"/>
  <c r="F882" i="5"/>
  <c r="L882" i="5" s="1"/>
  <c r="M882" i="5" s="1"/>
  <c r="E878" i="5"/>
  <c r="J878" i="5" s="1"/>
  <c r="K878" i="5" s="1"/>
  <c r="F878" i="5"/>
  <c r="L878" i="5" s="1"/>
  <c r="M878" i="5" s="1"/>
  <c r="E870" i="5"/>
  <c r="J870" i="5" s="1"/>
  <c r="K870" i="5" s="1"/>
  <c r="F870" i="5"/>
  <c r="L870" i="5" s="1"/>
  <c r="M870" i="5" s="1"/>
  <c r="E862" i="5"/>
  <c r="J862" i="5" s="1"/>
  <c r="K862" i="5" s="1"/>
  <c r="F862" i="5"/>
  <c r="L862" i="5" s="1"/>
  <c r="M862" i="5" s="1"/>
  <c r="E854" i="5"/>
  <c r="J854" i="5" s="1"/>
  <c r="K854" i="5" s="1"/>
  <c r="F854" i="5"/>
  <c r="L854" i="5" s="1"/>
  <c r="M854" i="5" s="1"/>
  <c r="E846" i="5"/>
  <c r="J846" i="5" s="1"/>
  <c r="K846" i="5" s="1"/>
  <c r="F846" i="5"/>
  <c r="L846" i="5" s="1"/>
  <c r="M846" i="5" s="1"/>
  <c r="E838" i="5"/>
  <c r="J838" i="5" s="1"/>
  <c r="K838" i="5" s="1"/>
  <c r="F838" i="5"/>
  <c r="L838" i="5" s="1"/>
  <c r="M838" i="5" s="1"/>
  <c r="E830" i="5"/>
  <c r="J830" i="5" s="1"/>
  <c r="K830" i="5" s="1"/>
  <c r="F830" i="5"/>
  <c r="L830" i="5" s="1"/>
  <c r="M830" i="5" s="1"/>
  <c r="E826" i="5"/>
  <c r="J826" i="5" s="1"/>
  <c r="K826" i="5" s="1"/>
  <c r="F826" i="5"/>
  <c r="L826" i="5" s="1"/>
  <c r="M826" i="5" s="1"/>
  <c r="E818" i="5"/>
  <c r="J818" i="5" s="1"/>
  <c r="K818" i="5" s="1"/>
  <c r="F818" i="5"/>
  <c r="L818" i="5" s="1"/>
  <c r="M818" i="5" s="1"/>
  <c r="E810" i="5"/>
  <c r="J810" i="5" s="1"/>
  <c r="K810" i="5" s="1"/>
  <c r="F810" i="5"/>
  <c r="L810" i="5" s="1"/>
  <c r="M810" i="5" s="1"/>
  <c r="E806" i="5"/>
  <c r="J806" i="5" s="1"/>
  <c r="K806" i="5" s="1"/>
  <c r="F806" i="5"/>
  <c r="L806" i="5" s="1"/>
  <c r="M806" i="5" s="1"/>
  <c r="E798" i="5"/>
  <c r="J798" i="5" s="1"/>
  <c r="K798" i="5" s="1"/>
  <c r="F798" i="5"/>
  <c r="L798" i="5" s="1"/>
  <c r="M798" i="5" s="1"/>
  <c r="E790" i="5"/>
  <c r="J790" i="5" s="1"/>
  <c r="K790" i="5" s="1"/>
  <c r="F790" i="5"/>
  <c r="L790" i="5" s="1"/>
  <c r="M790" i="5" s="1"/>
  <c r="E786" i="5"/>
  <c r="J786" i="5" s="1"/>
  <c r="K786" i="5" s="1"/>
  <c r="F786" i="5"/>
  <c r="L786" i="5" s="1"/>
  <c r="M786" i="5" s="1"/>
  <c r="E778" i="5"/>
  <c r="J778" i="5" s="1"/>
  <c r="K778" i="5" s="1"/>
  <c r="F778" i="5"/>
  <c r="L778" i="5" s="1"/>
  <c r="M778" i="5" s="1"/>
  <c r="E774" i="5"/>
  <c r="J774" i="5" s="1"/>
  <c r="K774" i="5" s="1"/>
  <c r="F774" i="5"/>
  <c r="L774" i="5" s="1"/>
  <c r="M774" i="5" s="1"/>
  <c r="E766" i="5"/>
  <c r="J766" i="5" s="1"/>
  <c r="K766" i="5" s="1"/>
  <c r="F766" i="5"/>
  <c r="L766" i="5" s="1"/>
  <c r="M766" i="5" s="1"/>
  <c r="E758" i="5"/>
  <c r="J758" i="5" s="1"/>
  <c r="K758" i="5" s="1"/>
  <c r="F758" i="5"/>
  <c r="L758" i="5" s="1"/>
  <c r="M758" i="5" s="1"/>
  <c r="E754" i="5"/>
  <c r="J754" i="5" s="1"/>
  <c r="K754" i="5" s="1"/>
  <c r="F754" i="5"/>
  <c r="L754" i="5" s="1"/>
  <c r="M754" i="5" s="1"/>
  <c r="E746" i="5"/>
  <c r="J746" i="5" s="1"/>
  <c r="K746" i="5" s="1"/>
  <c r="F746" i="5"/>
  <c r="L746" i="5" s="1"/>
  <c r="M746" i="5" s="1"/>
  <c r="E742" i="5"/>
  <c r="J742" i="5" s="1"/>
  <c r="K742" i="5" s="1"/>
  <c r="F742" i="5"/>
  <c r="L742" i="5" s="1"/>
  <c r="M742" i="5" s="1"/>
  <c r="E734" i="5"/>
  <c r="J734" i="5" s="1"/>
  <c r="K734" i="5" s="1"/>
  <c r="F734" i="5"/>
  <c r="L734" i="5" s="1"/>
  <c r="M734" i="5" s="1"/>
  <c r="E726" i="5"/>
  <c r="J726" i="5" s="1"/>
  <c r="K726" i="5" s="1"/>
  <c r="F726" i="5"/>
  <c r="L726" i="5" s="1"/>
  <c r="M726" i="5" s="1"/>
  <c r="E722" i="5"/>
  <c r="J722" i="5" s="1"/>
  <c r="K722" i="5" s="1"/>
  <c r="F722" i="5"/>
  <c r="L722" i="5" s="1"/>
  <c r="M722" i="5" s="1"/>
  <c r="E714" i="5"/>
  <c r="J714" i="5" s="1"/>
  <c r="K714" i="5" s="1"/>
  <c r="F714" i="5"/>
  <c r="L714" i="5" s="1"/>
  <c r="M714" i="5" s="1"/>
  <c r="E710" i="5"/>
  <c r="J710" i="5" s="1"/>
  <c r="K710" i="5" s="1"/>
  <c r="F710" i="5"/>
  <c r="L710" i="5" s="1"/>
  <c r="M710" i="5" s="1"/>
  <c r="E702" i="5"/>
  <c r="J702" i="5" s="1"/>
  <c r="K702" i="5" s="1"/>
  <c r="F702" i="5"/>
  <c r="L702" i="5" s="1"/>
  <c r="M702" i="5" s="1"/>
  <c r="E694" i="5"/>
  <c r="J694" i="5" s="1"/>
  <c r="K694" i="5" s="1"/>
  <c r="F694" i="5"/>
  <c r="L694" i="5" s="1"/>
  <c r="M694" i="5" s="1"/>
  <c r="E690" i="5"/>
  <c r="J690" i="5" s="1"/>
  <c r="K690" i="5" s="1"/>
  <c r="F690" i="5"/>
  <c r="L690" i="5" s="1"/>
  <c r="M690" i="5" s="1"/>
  <c r="E682" i="5"/>
  <c r="J682" i="5" s="1"/>
  <c r="K682" i="5" s="1"/>
  <c r="F682" i="5"/>
  <c r="L682" i="5" s="1"/>
  <c r="M682" i="5" s="1"/>
  <c r="E674" i="5"/>
  <c r="J674" i="5" s="1"/>
  <c r="K674" i="5" s="1"/>
  <c r="F674" i="5"/>
  <c r="L674" i="5" s="1"/>
  <c r="M674" i="5" s="1"/>
  <c r="E666" i="5"/>
  <c r="J666" i="5" s="1"/>
  <c r="K666" i="5" s="1"/>
  <c r="F666" i="5"/>
  <c r="L666" i="5" s="1"/>
  <c r="M666" i="5" s="1"/>
  <c r="E658" i="5"/>
  <c r="J658" i="5" s="1"/>
  <c r="K658" i="5" s="1"/>
  <c r="F658" i="5"/>
  <c r="L658" i="5" s="1"/>
  <c r="M658" i="5" s="1"/>
  <c r="E654" i="5"/>
  <c r="J654" i="5" s="1"/>
  <c r="K654" i="5" s="1"/>
  <c r="F654" i="5"/>
  <c r="L654" i="5" s="1"/>
  <c r="M654" i="5" s="1"/>
  <c r="E646" i="5"/>
  <c r="F646" i="5"/>
  <c r="L646" i="5" s="1"/>
  <c r="M646" i="5" s="1"/>
  <c r="E642" i="5"/>
  <c r="J642" i="5" s="1"/>
  <c r="K642" i="5" s="1"/>
  <c r="F642" i="5"/>
  <c r="L642" i="5" s="1"/>
  <c r="M642" i="5" s="1"/>
  <c r="E634" i="5"/>
  <c r="J634" i="5" s="1"/>
  <c r="K634" i="5" s="1"/>
  <c r="F634" i="5"/>
  <c r="L634" i="5" s="1"/>
  <c r="M634" i="5" s="1"/>
  <c r="E630" i="5"/>
  <c r="J630" i="5" s="1"/>
  <c r="K630" i="5" s="1"/>
  <c r="F630" i="5"/>
  <c r="L630" i="5" s="1"/>
  <c r="M630" i="5" s="1"/>
  <c r="E622" i="5"/>
  <c r="J622" i="5" s="1"/>
  <c r="K622" i="5" s="1"/>
  <c r="F622" i="5"/>
  <c r="L622" i="5" s="1"/>
  <c r="M622" i="5" s="1"/>
  <c r="E614" i="5"/>
  <c r="J614" i="5" s="1"/>
  <c r="K614" i="5" s="1"/>
  <c r="F614" i="5"/>
  <c r="L614" i="5" s="1"/>
  <c r="M614" i="5" s="1"/>
  <c r="E594" i="5"/>
  <c r="F594" i="5"/>
  <c r="L594" i="5" s="1"/>
  <c r="M594" i="5" s="1"/>
  <c r="E998" i="5"/>
  <c r="J998" i="5" s="1"/>
  <c r="K998" i="5" s="1"/>
  <c r="F998" i="5"/>
  <c r="L998" i="5" s="1"/>
  <c r="M998" i="5" s="1"/>
  <c r="E990" i="5"/>
  <c r="F990" i="5"/>
  <c r="L990" i="5" s="1"/>
  <c r="M990" i="5" s="1"/>
  <c r="E982" i="5"/>
  <c r="J982" i="5" s="1"/>
  <c r="K982" i="5" s="1"/>
  <c r="F982" i="5"/>
  <c r="L982" i="5" s="1"/>
  <c r="M982" i="5" s="1"/>
  <c r="E974" i="5"/>
  <c r="F974" i="5"/>
  <c r="L974" i="5" s="1"/>
  <c r="M974" i="5" s="1"/>
  <c r="E966" i="5"/>
  <c r="J966" i="5" s="1"/>
  <c r="K966" i="5" s="1"/>
  <c r="F966" i="5"/>
  <c r="L966" i="5" s="1"/>
  <c r="M966" i="5" s="1"/>
  <c r="E954" i="5"/>
  <c r="F954" i="5"/>
  <c r="L954" i="5" s="1"/>
  <c r="M954" i="5" s="1"/>
  <c r="E946" i="5"/>
  <c r="J946" i="5" s="1"/>
  <c r="K946" i="5" s="1"/>
  <c r="F946" i="5"/>
  <c r="L946" i="5" s="1"/>
  <c r="M946" i="5" s="1"/>
  <c r="E938" i="5"/>
  <c r="F938" i="5"/>
  <c r="L938" i="5" s="1"/>
  <c r="M938" i="5" s="1"/>
  <c r="E930" i="5"/>
  <c r="J930" i="5" s="1"/>
  <c r="K930" i="5" s="1"/>
  <c r="F930" i="5"/>
  <c r="L930" i="5" s="1"/>
  <c r="M930" i="5" s="1"/>
  <c r="E922" i="5"/>
  <c r="F922" i="5"/>
  <c r="L922" i="5" s="1"/>
  <c r="M922" i="5" s="1"/>
  <c r="E914" i="5"/>
  <c r="J914" i="5" s="1"/>
  <c r="K914" i="5" s="1"/>
  <c r="F914" i="5"/>
  <c r="L914" i="5" s="1"/>
  <c r="M914" i="5" s="1"/>
  <c r="E906" i="5"/>
  <c r="F906" i="5"/>
  <c r="L906" i="5" s="1"/>
  <c r="M906" i="5" s="1"/>
  <c r="E898" i="5"/>
  <c r="J898" i="5" s="1"/>
  <c r="K898" i="5" s="1"/>
  <c r="F898" i="5"/>
  <c r="L898" i="5" s="1"/>
  <c r="M898" i="5" s="1"/>
  <c r="E886" i="5"/>
  <c r="J886" i="5" s="1"/>
  <c r="K886" i="5" s="1"/>
  <c r="F886" i="5"/>
  <c r="L886" i="5" s="1"/>
  <c r="M886" i="5" s="1"/>
  <c r="E874" i="5"/>
  <c r="J874" i="5" s="1"/>
  <c r="K874" i="5" s="1"/>
  <c r="F874" i="5"/>
  <c r="L874" i="5" s="1"/>
  <c r="M874" i="5" s="1"/>
  <c r="E866" i="5"/>
  <c r="J866" i="5" s="1"/>
  <c r="K866" i="5" s="1"/>
  <c r="F866" i="5"/>
  <c r="L866" i="5" s="1"/>
  <c r="M866" i="5" s="1"/>
  <c r="E858" i="5"/>
  <c r="J858" i="5" s="1"/>
  <c r="K858" i="5" s="1"/>
  <c r="F858" i="5"/>
  <c r="L858" i="5" s="1"/>
  <c r="M858" i="5" s="1"/>
  <c r="E850" i="5"/>
  <c r="J850" i="5" s="1"/>
  <c r="K850" i="5" s="1"/>
  <c r="F850" i="5"/>
  <c r="L850" i="5" s="1"/>
  <c r="M850" i="5" s="1"/>
  <c r="E842" i="5"/>
  <c r="J842" i="5" s="1"/>
  <c r="K842" i="5" s="1"/>
  <c r="F842" i="5"/>
  <c r="L842" i="5" s="1"/>
  <c r="M842" i="5" s="1"/>
  <c r="E834" i="5"/>
  <c r="J834" i="5" s="1"/>
  <c r="K834" i="5" s="1"/>
  <c r="F834" i="5"/>
  <c r="L834" i="5" s="1"/>
  <c r="M834" i="5" s="1"/>
  <c r="E822" i="5"/>
  <c r="J822" i="5" s="1"/>
  <c r="K822" i="5" s="1"/>
  <c r="F822" i="5"/>
  <c r="L822" i="5" s="1"/>
  <c r="M822" i="5" s="1"/>
  <c r="E814" i="5"/>
  <c r="F814" i="5"/>
  <c r="L814" i="5" s="1"/>
  <c r="M814" i="5" s="1"/>
  <c r="E802" i="5"/>
  <c r="J802" i="5" s="1"/>
  <c r="K802" i="5" s="1"/>
  <c r="F802" i="5"/>
  <c r="L802" i="5" s="1"/>
  <c r="M802" i="5" s="1"/>
  <c r="E794" i="5"/>
  <c r="F794" i="5"/>
  <c r="L794" i="5" s="1"/>
  <c r="M794" i="5" s="1"/>
  <c r="E782" i="5"/>
  <c r="J782" i="5" s="1"/>
  <c r="K782" i="5" s="1"/>
  <c r="F782" i="5"/>
  <c r="L782" i="5" s="1"/>
  <c r="M782" i="5" s="1"/>
  <c r="E770" i="5"/>
  <c r="J770" i="5" s="1"/>
  <c r="K770" i="5" s="1"/>
  <c r="F770" i="5"/>
  <c r="L770" i="5" s="1"/>
  <c r="M770" i="5" s="1"/>
  <c r="E762" i="5"/>
  <c r="J762" i="5" s="1"/>
  <c r="K762" i="5" s="1"/>
  <c r="F762" i="5"/>
  <c r="L762" i="5" s="1"/>
  <c r="M762" i="5" s="1"/>
  <c r="E750" i="5"/>
  <c r="F750" i="5"/>
  <c r="L750" i="5" s="1"/>
  <c r="M750" i="5" s="1"/>
  <c r="E738" i="5"/>
  <c r="J738" i="5" s="1"/>
  <c r="K738" i="5" s="1"/>
  <c r="F738" i="5"/>
  <c r="L738" i="5" s="1"/>
  <c r="M738" i="5" s="1"/>
  <c r="E730" i="5"/>
  <c r="J730" i="5" s="1"/>
  <c r="K730" i="5" s="1"/>
  <c r="F730" i="5"/>
  <c r="L730" i="5" s="1"/>
  <c r="M730" i="5" s="1"/>
  <c r="E718" i="5"/>
  <c r="J718" i="5" s="1"/>
  <c r="K718" i="5" s="1"/>
  <c r="F718" i="5"/>
  <c r="L718" i="5" s="1"/>
  <c r="M718" i="5" s="1"/>
  <c r="E706" i="5"/>
  <c r="J706" i="5" s="1"/>
  <c r="K706" i="5" s="1"/>
  <c r="F706" i="5"/>
  <c r="L706" i="5" s="1"/>
  <c r="M706" i="5" s="1"/>
  <c r="E698" i="5"/>
  <c r="J698" i="5" s="1"/>
  <c r="K698" i="5" s="1"/>
  <c r="F698" i="5"/>
  <c r="L698" i="5" s="1"/>
  <c r="M698" i="5" s="1"/>
  <c r="E686" i="5"/>
  <c r="F686" i="5"/>
  <c r="L686" i="5" s="1"/>
  <c r="M686" i="5" s="1"/>
  <c r="E678" i="5"/>
  <c r="J678" i="5" s="1"/>
  <c r="K678" i="5" s="1"/>
  <c r="F678" i="5"/>
  <c r="L678" i="5" s="1"/>
  <c r="M678" i="5" s="1"/>
  <c r="E670" i="5"/>
  <c r="F670" i="5"/>
  <c r="L670" i="5" s="1"/>
  <c r="M670" i="5" s="1"/>
  <c r="E662" i="5"/>
  <c r="J662" i="5" s="1"/>
  <c r="K662" i="5" s="1"/>
  <c r="F662" i="5"/>
  <c r="L662" i="5" s="1"/>
  <c r="M662" i="5" s="1"/>
  <c r="E650" i="5"/>
  <c r="J650" i="5" s="1"/>
  <c r="K650" i="5" s="1"/>
  <c r="F650" i="5"/>
  <c r="L650" i="5" s="1"/>
  <c r="M650" i="5" s="1"/>
  <c r="E638" i="5"/>
  <c r="J638" i="5" s="1"/>
  <c r="K638" i="5" s="1"/>
  <c r="F638" i="5"/>
  <c r="L638" i="5" s="1"/>
  <c r="M638" i="5" s="1"/>
  <c r="E626" i="5"/>
  <c r="F626" i="5"/>
  <c r="L626" i="5" s="1"/>
  <c r="M626" i="5" s="1"/>
  <c r="E618" i="5"/>
  <c r="J618" i="5" s="1"/>
  <c r="K618" i="5" s="1"/>
  <c r="F618" i="5"/>
  <c r="L618" i="5" s="1"/>
  <c r="M618" i="5" s="1"/>
  <c r="E610" i="5"/>
  <c r="F610" i="5"/>
  <c r="L610" i="5" s="1"/>
  <c r="M610" i="5" s="1"/>
  <c r="E606" i="5"/>
  <c r="J606" i="5" s="1"/>
  <c r="K606" i="5" s="1"/>
  <c r="F606" i="5"/>
  <c r="L606" i="5" s="1"/>
  <c r="M606" i="5" s="1"/>
  <c r="E602" i="5"/>
  <c r="J602" i="5" s="1"/>
  <c r="K602" i="5" s="1"/>
  <c r="F602" i="5"/>
  <c r="L602" i="5" s="1"/>
  <c r="M602" i="5" s="1"/>
  <c r="E598" i="5"/>
  <c r="J598" i="5" s="1"/>
  <c r="K598" i="5" s="1"/>
  <c r="F598" i="5"/>
  <c r="L598" i="5" s="1"/>
  <c r="M598" i="5" s="1"/>
  <c r="E590" i="5"/>
  <c r="J590" i="5" s="1"/>
  <c r="K590" i="5" s="1"/>
  <c r="F590" i="5"/>
  <c r="L590" i="5" s="1"/>
  <c r="M590" i="5" s="1"/>
  <c r="E586" i="5"/>
  <c r="J586" i="5" s="1"/>
  <c r="K586" i="5" s="1"/>
  <c r="F586" i="5"/>
  <c r="L586" i="5" s="1"/>
  <c r="M586" i="5" s="1"/>
  <c r="E582" i="5"/>
  <c r="F582" i="5"/>
  <c r="L582" i="5" s="1"/>
  <c r="M582" i="5" s="1"/>
  <c r="E578" i="5"/>
  <c r="J578" i="5" s="1"/>
  <c r="K578" i="5" s="1"/>
  <c r="F578" i="5"/>
  <c r="L578" i="5" s="1"/>
  <c r="M578" i="5" s="1"/>
  <c r="E574" i="5"/>
  <c r="J574" i="5" s="1"/>
  <c r="K574" i="5" s="1"/>
  <c r="F574" i="5"/>
  <c r="L574" i="5" s="1"/>
  <c r="M574" i="5" s="1"/>
  <c r="E570" i="5"/>
  <c r="J570" i="5" s="1"/>
  <c r="K570" i="5" s="1"/>
  <c r="F570" i="5"/>
  <c r="L570" i="5" s="1"/>
  <c r="M570" i="5" s="1"/>
  <c r="E566" i="5"/>
  <c r="F566" i="5"/>
  <c r="L566" i="5" s="1"/>
  <c r="M566" i="5" s="1"/>
  <c r="E562" i="5"/>
  <c r="J562" i="5" s="1"/>
  <c r="K562" i="5" s="1"/>
  <c r="F562" i="5"/>
  <c r="L562" i="5" s="1"/>
  <c r="M562" i="5" s="1"/>
  <c r="E558" i="5"/>
  <c r="J558" i="5" s="1"/>
  <c r="K558" i="5" s="1"/>
  <c r="F558" i="5"/>
  <c r="L558" i="5" s="1"/>
  <c r="M558" i="5" s="1"/>
  <c r="E554" i="5"/>
  <c r="J554" i="5" s="1"/>
  <c r="K554" i="5" s="1"/>
  <c r="F554" i="5"/>
  <c r="L554" i="5" s="1"/>
  <c r="M554" i="5" s="1"/>
  <c r="E550" i="5"/>
  <c r="F550" i="5"/>
  <c r="L550" i="5" s="1"/>
  <c r="M550" i="5" s="1"/>
  <c r="E546" i="5"/>
  <c r="J546" i="5" s="1"/>
  <c r="K546" i="5" s="1"/>
  <c r="F546" i="5"/>
  <c r="L546" i="5" s="1"/>
  <c r="M546" i="5" s="1"/>
  <c r="E542" i="5"/>
  <c r="J542" i="5" s="1"/>
  <c r="K542" i="5" s="1"/>
  <c r="F542" i="5"/>
  <c r="L542" i="5" s="1"/>
  <c r="M542" i="5" s="1"/>
  <c r="E538" i="5"/>
  <c r="J538" i="5" s="1"/>
  <c r="K538" i="5" s="1"/>
  <c r="F538" i="5"/>
  <c r="L538" i="5" s="1"/>
  <c r="M538" i="5" s="1"/>
  <c r="E534" i="5"/>
  <c r="F534" i="5"/>
  <c r="L534" i="5" s="1"/>
  <c r="M534" i="5" s="1"/>
  <c r="E530" i="5"/>
  <c r="J530" i="5" s="1"/>
  <c r="K530" i="5" s="1"/>
  <c r="F530" i="5"/>
  <c r="L530" i="5" s="1"/>
  <c r="M530" i="5" s="1"/>
  <c r="E526" i="5"/>
  <c r="J526" i="5" s="1"/>
  <c r="K526" i="5" s="1"/>
  <c r="F526" i="5"/>
  <c r="L526" i="5" s="1"/>
  <c r="M526" i="5" s="1"/>
  <c r="E522" i="5"/>
  <c r="J522" i="5" s="1"/>
  <c r="K522" i="5" s="1"/>
  <c r="F522" i="5"/>
  <c r="L522" i="5" s="1"/>
  <c r="M522" i="5" s="1"/>
  <c r="E518" i="5"/>
  <c r="F518" i="5"/>
  <c r="L518" i="5" s="1"/>
  <c r="M518" i="5" s="1"/>
  <c r="E514" i="5"/>
  <c r="J514" i="5" s="1"/>
  <c r="K514" i="5" s="1"/>
  <c r="F514" i="5"/>
  <c r="L514" i="5" s="1"/>
  <c r="M514" i="5" s="1"/>
  <c r="E510" i="5"/>
  <c r="F510" i="5"/>
  <c r="L510" i="5" s="1"/>
  <c r="M510" i="5" s="1"/>
  <c r="E506" i="5"/>
  <c r="J506" i="5" s="1"/>
  <c r="K506" i="5" s="1"/>
  <c r="F506" i="5"/>
  <c r="L506" i="5" s="1"/>
  <c r="M506" i="5" s="1"/>
  <c r="E502" i="5"/>
  <c r="J502" i="5" s="1"/>
  <c r="K502" i="5" s="1"/>
  <c r="F502" i="5"/>
  <c r="L502" i="5" s="1"/>
  <c r="M502" i="5" s="1"/>
  <c r="E498" i="5"/>
  <c r="J498" i="5" s="1"/>
  <c r="K498" i="5" s="1"/>
  <c r="F498" i="5"/>
  <c r="L498" i="5" s="1"/>
  <c r="M498" i="5" s="1"/>
  <c r="E494" i="5"/>
  <c r="F494" i="5"/>
  <c r="L494" i="5" s="1"/>
  <c r="M494" i="5" s="1"/>
  <c r="E490" i="5"/>
  <c r="J490" i="5" s="1"/>
  <c r="K490" i="5" s="1"/>
  <c r="F490" i="5"/>
  <c r="L490" i="5" s="1"/>
  <c r="M490" i="5" s="1"/>
  <c r="E486" i="5"/>
  <c r="J486" i="5" s="1"/>
  <c r="K486" i="5" s="1"/>
  <c r="F486" i="5"/>
  <c r="L486" i="5" s="1"/>
  <c r="M486" i="5" s="1"/>
  <c r="E482" i="5"/>
  <c r="J482" i="5" s="1"/>
  <c r="K482" i="5" s="1"/>
  <c r="F482" i="5"/>
  <c r="L482" i="5" s="1"/>
  <c r="M482" i="5" s="1"/>
  <c r="E478" i="5"/>
  <c r="F478" i="5"/>
  <c r="L478" i="5" s="1"/>
  <c r="M478" i="5" s="1"/>
  <c r="E474" i="5"/>
  <c r="J474" i="5" s="1"/>
  <c r="K474" i="5" s="1"/>
  <c r="F474" i="5"/>
  <c r="L474" i="5" s="1"/>
  <c r="M474" i="5" s="1"/>
  <c r="E470" i="5"/>
  <c r="J470" i="5" s="1"/>
  <c r="K470" i="5" s="1"/>
  <c r="F470" i="5"/>
  <c r="L470" i="5" s="1"/>
  <c r="M470" i="5" s="1"/>
  <c r="E466" i="5"/>
  <c r="J466" i="5" s="1"/>
  <c r="K466" i="5" s="1"/>
  <c r="F466" i="5"/>
  <c r="L466" i="5" s="1"/>
  <c r="M466" i="5" s="1"/>
  <c r="E462" i="5"/>
  <c r="F462" i="5"/>
  <c r="L462" i="5" s="1"/>
  <c r="M462" i="5" s="1"/>
  <c r="E458" i="5"/>
  <c r="J458" i="5" s="1"/>
  <c r="K458" i="5" s="1"/>
  <c r="F458" i="5"/>
  <c r="L458" i="5" s="1"/>
  <c r="M458" i="5" s="1"/>
  <c r="E454" i="5"/>
  <c r="J454" i="5" s="1"/>
  <c r="K454" i="5" s="1"/>
  <c r="F454" i="5"/>
  <c r="L454" i="5" s="1"/>
  <c r="M454" i="5" s="1"/>
  <c r="E450" i="5"/>
  <c r="J450" i="5" s="1"/>
  <c r="K450" i="5" s="1"/>
  <c r="F450" i="5"/>
  <c r="L450" i="5" s="1"/>
  <c r="M450" i="5" s="1"/>
  <c r="E446" i="5"/>
  <c r="F446" i="5"/>
  <c r="L446" i="5" s="1"/>
  <c r="M446" i="5" s="1"/>
  <c r="E442" i="5"/>
  <c r="J442" i="5" s="1"/>
  <c r="K442" i="5" s="1"/>
  <c r="F442" i="5"/>
  <c r="L442" i="5" s="1"/>
  <c r="M442" i="5" s="1"/>
  <c r="E438" i="5"/>
  <c r="J438" i="5" s="1"/>
  <c r="K438" i="5" s="1"/>
  <c r="F438" i="5"/>
  <c r="L438" i="5" s="1"/>
  <c r="M438" i="5" s="1"/>
  <c r="E434" i="5"/>
  <c r="J434" i="5" s="1"/>
  <c r="K434" i="5" s="1"/>
  <c r="F434" i="5"/>
  <c r="L434" i="5" s="1"/>
  <c r="M434" i="5" s="1"/>
  <c r="E430" i="5"/>
  <c r="F430" i="5"/>
  <c r="L430" i="5" s="1"/>
  <c r="M430" i="5" s="1"/>
  <c r="E426" i="5"/>
  <c r="J426" i="5" s="1"/>
  <c r="K426" i="5" s="1"/>
  <c r="F426" i="5"/>
  <c r="L426" i="5" s="1"/>
  <c r="M426" i="5" s="1"/>
  <c r="E422" i="5"/>
  <c r="J422" i="5" s="1"/>
  <c r="K422" i="5" s="1"/>
  <c r="F422" i="5"/>
  <c r="L422" i="5" s="1"/>
  <c r="M422" i="5" s="1"/>
  <c r="E418" i="5"/>
  <c r="J418" i="5" s="1"/>
  <c r="K418" i="5" s="1"/>
  <c r="F418" i="5"/>
  <c r="L418" i="5" s="1"/>
  <c r="M418" i="5" s="1"/>
  <c r="E414" i="5"/>
  <c r="F414" i="5"/>
  <c r="L414" i="5" s="1"/>
  <c r="M414" i="5" s="1"/>
  <c r="E410" i="5"/>
  <c r="J410" i="5" s="1"/>
  <c r="K410" i="5" s="1"/>
  <c r="F410" i="5"/>
  <c r="L410" i="5" s="1"/>
  <c r="M410" i="5" s="1"/>
  <c r="E406" i="5"/>
  <c r="J406" i="5" s="1"/>
  <c r="K406" i="5" s="1"/>
  <c r="F406" i="5"/>
  <c r="L406" i="5" s="1"/>
  <c r="M406" i="5" s="1"/>
  <c r="E402" i="5"/>
  <c r="J402" i="5" s="1"/>
  <c r="K402" i="5" s="1"/>
  <c r="F402" i="5"/>
  <c r="L402" i="5" s="1"/>
  <c r="M402" i="5" s="1"/>
  <c r="E398" i="5"/>
  <c r="F398" i="5"/>
  <c r="L398" i="5" s="1"/>
  <c r="M398" i="5" s="1"/>
  <c r="E394" i="5"/>
  <c r="J394" i="5" s="1"/>
  <c r="K394" i="5" s="1"/>
  <c r="F394" i="5"/>
  <c r="L394" i="5" s="1"/>
  <c r="M394" i="5" s="1"/>
  <c r="E390" i="5"/>
  <c r="J390" i="5" s="1"/>
  <c r="K390" i="5" s="1"/>
  <c r="F390" i="5"/>
  <c r="L390" i="5" s="1"/>
  <c r="M390" i="5" s="1"/>
  <c r="E386" i="5"/>
  <c r="J386" i="5" s="1"/>
  <c r="K386" i="5" s="1"/>
  <c r="F386" i="5"/>
  <c r="L386" i="5" s="1"/>
  <c r="M386" i="5" s="1"/>
  <c r="E382" i="5"/>
  <c r="F382" i="5"/>
  <c r="L382" i="5" s="1"/>
  <c r="M382" i="5" s="1"/>
  <c r="E378" i="5"/>
  <c r="J378" i="5" s="1"/>
  <c r="K378" i="5" s="1"/>
  <c r="F378" i="5"/>
  <c r="L378" i="5" s="1"/>
  <c r="M378" i="5" s="1"/>
  <c r="E374" i="5"/>
  <c r="J374" i="5" s="1"/>
  <c r="K374" i="5" s="1"/>
  <c r="F374" i="5"/>
  <c r="L374" i="5" s="1"/>
  <c r="M374" i="5" s="1"/>
  <c r="E370" i="5"/>
  <c r="J370" i="5" s="1"/>
  <c r="K370" i="5" s="1"/>
  <c r="F370" i="5"/>
  <c r="L370" i="5" s="1"/>
  <c r="M370" i="5" s="1"/>
  <c r="E366" i="5"/>
  <c r="F366" i="5"/>
  <c r="L366" i="5" s="1"/>
  <c r="M366" i="5" s="1"/>
  <c r="E362" i="5"/>
  <c r="J362" i="5" s="1"/>
  <c r="K362" i="5" s="1"/>
  <c r="F362" i="5"/>
  <c r="L362" i="5" s="1"/>
  <c r="M362" i="5" s="1"/>
  <c r="E358" i="5"/>
  <c r="J358" i="5" s="1"/>
  <c r="K358" i="5" s="1"/>
  <c r="F358" i="5"/>
  <c r="L358" i="5" s="1"/>
  <c r="M358" i="5" s="1"/>
  <c r="E354" i="5"/>
  <c r="J354" i="5" s="1"/>
  <c r="K354" i="5" s="1"/>
  <c r="F354" i="5"/>
  <c r="L354" i="5" s="1"/>
  <c r="M354" i="5" s="1"/>
  <c r="E350" i="5"/>
  <c r="F350" i="5"/>
  <c r="L350" i="5" s="1"/>
  <c r="M350" i="5" s="1"/>
  <c r="E346" i="5"/>
  <c r="J346" i="5" s="1"/>
  <c r="K346" i="5" s="1"/>
  <c r="F346" i="5"/>
  <c r="L346" i="5" s="1"/>
  <c r="M346" i="5" s="1"/>
  <c r="E342" i="5"/>
  <c r="J342" i="5" s="1"/>
  <c r="K342" i="5" s="1"/>
  <c r="F342" i="5"/>
  <c r="L342" i="5" s="1"/>
  <c r="M342" i="5" s="1"/>
  <c r="E338" i="5"/>
  <c r="J338" i="5" s="1"/>
  <c r="K338" i="5" s="1"/>
  <c r="F338" i="5"/>
  <c r="L338" i="5" s="1"/>
  <c r="M338" i="5" s="1"/>
  <c r="E334" i="5"/>
  <c r="F334" i="5"/>
  <c r="L334" i="5" s="1"/>
  <c r="M334" i="5" s="1"/>
  <c r="E330" i="5"/>
  <c r="J330" i="5" s="1"/>
  <c r="K330" i="5" s="1"/>
  <c r="F330" i="5"/>
  <c r="L330" i="5" s="1"/>
  <c r="M330" i="5" s="1"/>
  <c r="E326" i="5"/>
  <c r="J326" i="5" s="1"/>
  <c r="K326" i="5" s="1"/>
  <c r="F326" i="5"/>
  <c r="L326" i="5" s="1"/>
  <c r="M326" i="5" s="1"/>
  <c r="E322" i="5"/>
  <c r="J322" i="5" s="1"/>
  <c r="K322" i="5" s="1"/>
  <c r="F322" i="5"/>
  <c r="L322" i="5" s="1"/>
  <c r="M322" i="5" s="1"/>
  <c r="E318" i="5"/>
  <c r="F318" i="5"/>
  <c r="L318" i="5" s="1"/>
  <c r="M318" i="5" s="1"/>
  <c r="E314" i="5"/>
  <c r="J314" i="5" s="1"/>
  <c r="K314" i="5" s="1"/>
  <c r="F314" i="5"/>
  <c r="L314" i="5" s="1"/>
  <c r="M314" i="5" s="1"/>
  <c r="E310" i="5"/>
  <c r="J310" i="5" s="1"/>
  <c r="K310" i="5" s="1"/>
  <c r="F310" i="5"/>
  <c r="L310" i="5" s="1"/>
  <c r="M310" i="5" s="1"/>
  <c r="E306" i="5"/>
  <c r="J306" i="5" s="1"/>
  <c r="K306" i="5" s="1"/>
  <c r="F306" i="5"/>
  <c r="L306" i="5" s="1"/>
  <c r="M306" i="5" s="1"/>
  <c r="E302" i="5"/>
  <c r="F302" i="5"/>
  <c r="L302" i="5" s="1"/>
  <c r="M302" i="5" s="1"/>
  <c r="E298" i="5"/>
  <c r="J298" i="5" s="1"/>
  <c r="K298" i="5" s="1"/>
  <c r="F298" i="5"/>
  <c r="L298" i="5" s="1"/>
  <c r="M298" i="5" s="1"/>
  <c r="E294" i="5"/>
  <c r="F294" i="5"/>
  <c r="L294" i="5" s="1"/>
  <c r="M294" i="5" s="1"/>
  <c r="E290" i="5"/>
  <c r="J290" i="5" s="1"/>
  <c r="K290" i="5" s="1"/>
  <c r="F290" i="5"/>
  <c r="L290" i="5" s="1"/>
  <c r="M290" i="5" s="1"/>
  <c r="E286" i="5"/>
  <c r="F286" i="5"/>
  <c r="L286" i="5" s="1"/>
  <c r="M286" i="5" s="1"/>
  <c r="E282" i="5"/>
  <c r="J282" i="5" s="1"/>
  <c r="K282" i="5" s="1"/>
  <c r="F282" i="5"/>
  <c r="L282" i="5" s="1"/>
  <c r="M282" i="5" s="1"/>
  <c r="E274" i="5"/>
  <c r="J274" i="5" s="1"/>
  <c r="K274" i="5" s="1"/>
  <c r="F274" i="5"/>
  <c r="L274" i="5" s="1"/>
  <c r="M274" i="5" s="1"/>
  <c r="E266" i="5"/>
  <c r="J266" i="5" s="1"/>
  <c r="K266" i="5" s="1"/>
  <c r="F266" i="5"/>
  <c r="L266" i="5" s="1"/>
  <c r="M266" i="5" s="1"/>
  <c r="E258" i="5"/>
  <c r="J258" i="5" s="1"/>
  <c r="K258" i="5" s="1"/>
  <c r="F258" i="5"/>
  <c r="L258" i="5" s="1"/>
  <c r="M258" i="5" s="1"/>
  <c r="E242" i="5"/>
  <c r="J242" i="5" s="1"/>
  <c r="K242" i="5" s="1"/>
  <c r="F242" i="5"/>
  <c r="L242" i="5" s="1"/>
  <c r="M242" i="5" s="1"/>
  <c r="E234" i="5"/>
  <c r="F234" i="5"/>
  <c r="L234" i="5" s="1"/>
  <c r="M234" i="5" s="1"/>
  <c r="E222" i="5"/>
  <c r="J222" i="5" s="1"/>
  <c r="K222" i="5" s="1"/>
  <c r="F222" i="5"/>
  <c r="L222" i="5" s="1"/>
  <c r="M222" i="5" s="1"/>
  <c r="E214" i="5"/>
  <c r="F214" i="5"/>
  <c r="L214" i="5" s="1"/>
  <c r="M214" i="5" s="1"/>
  <c r="E202" i="5"/>
  <c r="J202" i="5" s="1"/>
  <c r="K202" i="5" s="1"/>
  <c r="F202" i="5"/>
  <c r="L202" i="5" s="1"/>
  <c r="M202" i="5" s="1"/>
  <c r="E190" i="5"/>
  <c r="J190" i="5" s="1"/>
  <c r="K190" i="5" s="1"/>
  <c r="F190" i="5"/>
  <c r="L190" i="5" s="1"/>
  <c r="M190" i="5" s="1"/>
  <c r="E174" i="5"/>
  <c r="J174" i="5" s="1"/>
  <c r="K174" i="5" s="1"/>
  <c r="F174" i="5"/>
  <c r="L174" i="5" s="1"/>
  <c r="M174" i="5" s="1"/>
  <c r="E166" i="5"/>
  <c r="F166" i="5"/>
  <c r="L166" i="5" s="1"/>
  <c r="M166" i="5" s="1"/>
  <c r="E158" i="5"/>
  <c r="J158" i="5" s="1"/>
  <c r="K158" i="5" s="1"/>
  <c r="F158" i="5"/>
  <c r="L158" i="5" s="1"/>
  <c r="M158" i="5" s="1"/>
  <c r="E146" i="5"/>
  <c r="J146" i="5" s="1"/>
  <c r="K146" i="5" s="1"/>
  <c r="F146" i="5"/>
  <c r="L146" i="5" s="1"/>
  <c r="M146" i="5" s="1"/>
  <c r="E134" i="5"/>
  <c r="J134" i="5" s="1"/>
  <c r="K134" i="5" s="1"/>
  <c r="F134" i="5"/>
  <c r="L134" i="5" s="1"/>
  <c r="M134" i="5" s="1"/>
  <c r="E122" i="5"/>
  <c r="F122" i="5"/>
  <c r="L122" i="5" s="1"/>
  <c r="M122" i="5" s="1"/>
  <c r="E110" i="5"/>
  <c r="J110" i="5" s="1"/>
  <c r="K110" i="5" s="1"/>
  <c r="F110" i="5"/>
  <c r="L110" i="5" s="1"/>
  <c r="M110" i="5" s="1"/>
  <c r="E94" i="5"/>
  <c r="J94" i="5" s="1"/>
  <c r="K94" i="5" s="1"/>
  <c r="F94" i="5"/>
  <c r="L94" i="5" s="1"/>
  <c r="M94" i="5" s="1"/>
  <c r="E82" i="5"/>
  <c r="J82" i="5" s="1"/>
  <c r="K82" i="5" s="1"/>
  <c r="F82" i="5"/>
  <c r="L82" i="5" s="1"/>
  <c r="M82" i="5" s="1"/>
  <c r="E74" i="5"/>
  <c r="J74" i="5" s="1"/>
  <c r="K74" i="5" s="1"/>
  <c r="F74" i="5"/>
  <c r="L74" i="5" s="1"/>
  <c r="M74" i="5" s="1"/>
  <c r="E62" i="5"/>
  <c r="J62" i="5" s="1"/>
  <c r="K62" i="5" s="1"/>
  <c r="F62" i="5"/>
  <c r="L62" i="5" s="1"/>
  <c r="M62" i="5" s="1"/>
  <c r="E50" i="5"/>
  <c r="F50" i="5"/>
  <c r="L50" i="5" s="1"/>
  <c r="M50" i="5" s="1"/>
  <c r="E42" i="5"/>
  <c r="J42" i="5" s="1"/>
  <c r="K42" i="5" s="1"/>
  <c r="F42" i="5"/>
  <c r="L42" i="5" s="1"/>
  <c r="M42" i="5" s="1"/>
  <c r="E34" i="5"/>
  <c r="J34" i="5" s="1"/>
  <c r="K34" i="5" s="1"/>
  <c r="F34" i="5"/>
  <c r="L34" i="5" s="1"/>
  <c r="M34" i="5" s="1"/>
  <c r="E22" i="5"/>
  <c r="J22" i="5" s="1"/>
  <c r="K22" i="5" s="1"/>
  <c r="F22" i="5"/>
  <c r="L22" i="5" s="1"/>
  <c r="M22" i="5" s="1"/>
  <c r="E14" i="5"/>
  <c r="J14" i="5" s="1"/>
  <c r="K14" i="5" s="1"/>
  <c r="F14" i="5"/>
  <c r="L14" i="5" s="1"/>
  <c r="M14" i="5" s="1"/>
  <c r="E341" i="5"/>
  <c r="J341" i="5" s="1"/>
  <c r="K341" i="5" s="1"/>
  <c r="F341" i="5"/>
  <c r="L341" i="5" s="1"/>
  <c r="M341" i="5" s="1"/>
  <c r="E337" i="5"/>
  <c r="J337" i="5" s="1"/>
  <c r="K337" i="5" s="1"/>
  <c r="F337" i="5"/>
  <c r="L337" i="5" s="1"/>
  <c r="M337" i="5" s="1"/>
  <c r="E333" i="5"/>
  <c r="J333" i="5" s="1"/>
  <c r="K333" i="5" s="1"/>
  <c r="F333" i="5"/>
  <c r="L333" i="5" s="1"/>
  <c r="M333" i="5" s="1"/>
  <c r="E329" i="5"/>
  <c r="F329" i="5"/>
  <c r="L329" i="5" s="1"/>
  <c r="M329" i="5" s="1"/>
  <c r="E325" i="5"/>
  <c r="J325" i="5" s="1"/>
  <c r="K325" i="5" s="1"/>
  <c r="F325" i="5"/>
  <c r="L325" i="5" s="1"/>
  <c r="M325" i="5" s="1"/>
  <c r="E321" i="5"/>
  <c r="J321" i="5" s="1"/>
  <c r="K321" i="5" s="1"/>
  <c r="F321" i="5"/>
  <c r="L321" i="5" s="1"/>
  <c r="M321" i="5" s="1"/>
  <c r="E317" i="5"/>
  <c r="J317" i="5" s="1"/>
  <c r="K317" i="5" s="1"/>
  <c r="F317" i="5"/>
  <c r="L317" i="5" s="1"/>
  <c r="M317" i="5" s="1"/>
  <c r="E313" i="5"/>
  <c r="F313" i="5"/>
  <c r="L313" i="5" s="1"/>
  <c r="M313" i="5" s="1"/>
  <c r="E309" i="5"/>
  <c r="J309" i="5" s="1"/>
  <c r="K309" i="5" s="1"/>
  <c r="F309" i="5"/>
  <c r="L309" i="5" s="1"/>
  <c r="M309" i="5" s="1"/>
  <c r="E305" i="5"/>
  <c r="J305" i="5" s="1"/>
  <c r="K305" i="5" s="1"/>
  <c r="F305" i="5"/>
  <c r="L305" i="5" s="1"/>
  <c r="M305" i="5" s="1"/>
  <c r="E301" i="5"/>
  <c r="J301" i="5" s="1"/>
  <c r="K301" i="5" s="1"/>
  <c r="F301" i="5"/>
  <c r="L301" i="5" s="1"/>
  <c r="M301" i="5" s="1"/>
  <c r="E297" i="5"/>
  <c r="J297" i="5" s="1"/>
  <c r="K297" i="5" s="1"/>
  <c r="F297" i="5"/>
  <c r="L297" i="5" s="1"/>
  <c r="M297" i="5" s="1"/>
  <c r="E293" i="5"/>
  <c r="J293" i="5" s="1"/>
  <c r="K293" i="5" s="1"/>
  <c r="F293" i="5"/>
  <c r="L293" i="5" s="1"/>
  <c r="M293" i="5" s="1"/>
  <c r="E289" i="5"/>
  <c r="J289" i="5" s="1"/>
  <c r="K289" i="5" s="1"/>
  <c r="F289" i="5"/>
  <c r="L289" i="5" s="1"/>
  <c r="M289" i="5" s="1"/>
  <c r="E285" i="5"/>
  <c r="J285" i="5" s="1"/>
  <c r="K285" i="5" s="1"/>
  <c r="F285" i="5"/>
  <c r="L285" i="5" s="1"/>
  <c r="M285" i="5" s="1"/>
  <c r="E281" i="5"/>
  <c r="J281" i="5" s="1"/>
  <c r="K281" i="5" s="1"/>
  <c r="F281" i="5"/>
  <c r="L281" i="5" s="1"/>
  <c r="M281" i="5" s="1"/>
  <c r="E277" i="5"/>
  <c r="J277" i="5" s="1"/>
  <c r="K277" i="5" s="1"/>
  <c r="F277" i="5"/>
  <c r="L277" i="5" s="1"/>
  <c r="M277" i="5" s="1"/>
  <c r="E273" i="5"/>
  <c r="J273" i="5" s="1"/>
  <c r="K273" i="5" s="1"/>
  <c r="F273" i="5"/>
  <c r="L273" i="5" s="1"/>
  <c r="M273" i="5" s="1"/>
  <c r="E269" i="5"/>
  <c r="F269" i="5"/>
  <c r="L269" i="5" s="1"/>
  <c r="M269" i="5" s="1"/>
  <c r="E265" i="5"/>
  <c r="J265" i="5" s="1"/>
  <c r="K265" i="5" s="1"/>
  <c r="F265" i="5"/>
  <c r="L265" i="5" s="1"/>
  <c r="M265" i="5" s="1"/>
  <c r="E261" i="5"/>
  <c r="F261" i="5"/>
  <c r="L261" i="5" s="1"/>
  <c r="M261" i="5" s="1"/>
  <c r="E257" i="5"/>
  <c r="J257" i="5" s="1"/>
  <c r="K257" i="5" s="1"/>
  <c r="F257" i="5"/>
  <c r="L257" i="5" s="1"/>
  <c r="M257" i="5" s="1"/>
  <c r="E253" i="5"/>
  <c r="F253" i="5"/>
  <c r="L253" i="5" s="1"/>
  <c r="M253" i="5" s="1"/>
  <c r="E249" i="5"/>
  <c r="J249" i="5" s="1"/>
  <c r="K249" i="5" s="1"/>
  <c r="F249" i="5"/>
  <c r="L249" i="5" s="1"/>
  <c r="M249" i="5" s="1"/>
  <c r="E245" i="5"/>
  <c r="F245" i="5"/>
  <c r="L245" i="5" s="1"/>
  <c r="M245" i="5" s="1"/>
  <c r="E241" i="5"/>
  <c r="J241" i="5" s="1"/>
  <c r="K241" i="5" s="1"/>
  <c r="F241" i="5"/>
  <c r="L241" i="5" s="1"/>
  <c r="M241" i="5" s="1"/>
  <c r="E237" i="5"/>
  <c r="F237" i="5"/>
  <c r="L237" i="5" s="1"/>
  <c r="M237" i="5" s="1"/>
  <c r="E233" i="5"/>
  <c r="F233" i="5"/>
  <c r="L233" i="5" s="1"/>
  <c r="M233" i="5" s="1"/>
  <c r="E229" i="5"/>
  <c r="F229" i="5"/>
  <c r="L229" i="5" s="1"/>
  <c r="M229" i="5" s="1"/>
  <c r="E225" i="5"/>
  <c r="J225" i="5" s="1"/>
  <c r="K225" i="5" s="1"/>
  <c r="F225" i="5"/>
  <c r="L225" i="5" s="1"/>
  <c r="M225" i="5" s="1"/>
  <c r="E221" i="5"/>
  <c r="F221" i="5"/>
  <c r="L221" i="5" s="1"/>
  <c r="M221" i="5" s="1"/>
  <c r="E217" i="5"/>
  <c r="F217" i="5"/>
  <c r="L217" i="5" s="1"/>
  <c r="M217" i="5" s="1"/>
  <c r="E213" i="5"/>
  <c r="F213" i="5"/>
  <c r="L213" i="5" s="1"/>
  <c r="M213" i="5" s="1"/>
  <c r="E209" i="5"/>
  <c r="J209" i="5" s="1"/>
  <c r="K209" i="5" s="1"/>
  <c r="F209" i="5"/>
  <c r="L209" i="5" s="1"/>
  <c r="M209" i="5" s="1"/>
  <c r="E205" i="5"/>
  <c r="F205" i="5"/>
  <c r="L205" i="5" s="1"/>
  <c r="M205" i="5" s="1"/>
  <c r="E201" i="5"/>
  <c r="F201" i="5"/>
  <c r="L201" i="5" s="1"/>
  <c r="M201" i="5" s="1"/>
  <c r="E197" i="5"/>
  <c r="F197" i="5"/>
  <c r="L197" i="5" s="1"/>
  <c r="M197" i="5" s="1"/>
  <c r="E193" i="5"/>
  <c r="J193" i="5" s="1"/>
  <c r="K193" i="5" s="1"/>
  <c r="F193" i="5"/>
  <c r="L193" i="5" s="1"/>
  <c r="M193" i="5" s="1"/>
  <c r="E189" i="5"/>
  <c r="F189" i="5"/>
  <c r="L189" i="5" s="1"/>
  <c r="M189" i="5" s="1"/>
  <c r="E185" i="5"/>
  <c r="F185" i="5"/>
  <c r="L185" i="5" s="1"/>
  <c r="M185" i="5" s="1"/>
  <c r="E181" i="5"/>
  <c r="F181" i="5"/>
  <c r="L181" i="5" s="1"/>
  <c r="M181" i="5" s="1"/>
  <c r="E177" i="5"/>
  <c r="J177" i="5" s="1"/>
  <c r="K177" i="5" s="1"/>
  <c r="F177" i="5"/>
  <c r="L177" i="5" s="1"/>
  <c r="M177" i="5" s="1"/>
  <c r="E173" i="5"/>
  <c r="F173" i="5"/>
  <c r="L173" i="5" s="1"/>
  <c r="M173" i="5" s="1"/>
  <c r="E169" i="5"/>
  <c r="F169" i="5"/>
  <c r="L169" i="5" s="1"/>
  <c r="M169" i="5" s="1"/>
  <c r="E165" i="5"/>
  <c r="F165" i="5"/>
  <c r="L165" i="5" s="1"/>
  <c r="M165" i="5" s="1"/>
  <c r="E161" i="5"/>
  <c r="J161" i="5" s="1"/>
  <c r="K161" i="5" s="1"/>
  <c r="F161" i="5"/>
  <c r="L161" i="5" s="1"/>
  <c r="M161" i="5" s="1"/>
  <c r="E157" i="5"/>
  <c r="F157" i="5"/>
  <c r="L157" i="5" s="1"/>
  <c r="M157" i="5" s="1"/>
  <c r="E153" i="5"/>
  <c r="F153" i="5"/>
  <c r="L153" i="5" s="1"/>
  <c r="M153" i="5" s="1"/>
  <c r="E149" i="5"/>
  <c r="F149" i="5"/>
  <c r="L149" i="5" s="1"/>
  <c r="M149" i="5" s="1"/>
  <c r="E145" i="5"/>
  <c r="J145" i="5" s="1"/>
  <c r="K145" i="5" s="1"/>
  <c r="F145" i="5"/>
  <c r="L145" i="5" s="1"/>
  <c r="M145" i="5" s="1"/>
  <c r="E141" i="5"/>
  <c r="F141" i="5"/>
  <c r="L141" i="5" s="1"/>
  <c r="M141" i="5" s="1"/>
  <c r="E137" i="5"/>
  <c r="F137" i="5"/>
  <c r="L137" i="5" s="1"/>
  <c r="M137" i="5" s="1"/>
  <c r="E133" i="5"/>
  <c r="F133" i="5"/>
  <c r="L133" i="5" s="1"/>
  <c r="M133" i="5" s="1"/>
  <c r="E129" i="5"/>
  <c r="J129" i="5" s="1"/>
  <c r="K129" i="5" s="1"/>
  <c r="F129" i="5"/>
  <c r="L129" i="5" s="1"/>
  <c r="M129" i="5" s="1"/>
  <c r="E125" i="5"/>
  <c r="F125" i="5"/>
  <c r="L125" i="5" s="1"/>
  <c r="M125" i="5" s="1"/>
  <c r="E121" i="5"/>
  <c r="F121" i="5"/>
  <c r="L121" i="5" s="1"/>
  <c r="M121" i="5" s="1"/>
  <c r="E117" i="5"/>
  <c r="F117" i="5"/>
  <c r="L117" i="5" s="1"/>
  <c r="M117" i="5" s="1"/>
  <c r="E113" i="5"/>
  <c r="J113" i="5" s="1"/>
  <c r="K113" i="5" s="1"/>
  <c r="F113" i="5"/>
  <c r="L113" i="5" s="1"/>
  <c r="M113" i="5" s="1"/>
  <c r="E109" i="5"/>
  <c r="F109" i="5"/>
  <c r="L109" i="5" s="1"/>
  <c r="M109" i="5" s="1"/>
  <c r="E105" i="5"/>
  <c r="F105" i="5"/>
  <c r="L105" i="5" s="1"/>
  <c r="M105" i="5" s="1"/>
  <c r="E101" i="5"/>
  <c r="F101" i="5"/>
  <c r="L101" i="5" s="1"/>
  <c r="M101" i="5" s="1"/>
  <c r="E97" i="5"/>
  <c r="J97" i="5" s="1"/>
  <c r="K97" i="5" s="1"/>
  <c r="F97" i="5"/>
  <c r="L97" i="5" s="1"/>
  <c r="M97" i="5" s="1"/>
  <c r="E93" i="5"/>
  <c r="F93" i="5"/>
  <c r="L93" i="5" s="1"/>
  <c r="M93" i="5" s="1"/>
  <c r="E89" i="5"/>
  <c r="F89" i="5"/>
  <c r="L89" i="5" s="1"/>
  <c r="M89" i="5" s="1"/>
  <c r="E85" i="5"/>
  <c r="F85" i="5"/>
  <c r="L85" i="5" s="1"/>
  <c r="M85" i="5" s="1"/>
  <c r="E81" i="5"/>
  <c r="J81" i="5" s="1"/>
  <c r="K81" i="5" s="1"/>
  <c r="F81" i="5"/>
  <c r="L81" i="5" s="1"/>
  <c r="M81" i="5" s="1"/>
  <c r="E77" i="5"/>
  <c r="F77" i="5"/>
  <c r="L77" i="5" s="1"/>
  <c r="M77" i="5" s="1"/>
  <c r="E73" i="5"/>
  <c r="F73" i="5"/>
  <c r="L73" i="5" s="1"/>
  <c r="M73" i="5" s="1"/>
  <c r="E69" i="5"/>
  <c r="F69" i="5"/>
  <c r="L69" i="5" s="1"/>
  <c r="M69" i="5" s="1"/>
  <c r="E65" i="5"/>
  <c r="J65" i="5" s="1"/>
  <c r="K65" i="5" s="1"/>
  <c r="F65" i="5"/>
  <c r="L65" i="5" s="1"/>
  <c r="M65" i="5" s="1"/>
  <c r="E61" i="5"/>
  <c r="F61" i="5"/>
  <c r="L61" i="5" s="1"/>
  <c r="M61" i="5" s="1"/>
  <c r="E57" i="5"/>
  <c r="F57" i="5"/>
  <c r="L57" i="5" s="1"/>
  <c r="M57" i="5" s="1"/>
  <c r="E53" i="5"/>
  <c r="F53" i="5"/>
  <c r="L53" i="5" s="1"/>
  <c r="M53" i="5" s="1"/>
  <c r="E49" i="5"/>
  <c r="J49" i="5" s="1"/>
  <c r="K49" i="5" s="1"/>
  <c r="F49" i="5"/>
  <c r="L49" i="5" s="1"/>
  <c r="M49" i="5" s="1"/>
  <c r="E45" i="5"/>
  <c r="F45" i="5"/>
  <c r="L45" i="5" s="1"/>
  <c r="M45" i="5" s="1"/>
  <c r="E41" i="5"/>
  <c r="F41" i="5"/>
  <c r="L41" i="5" s="1"/>
  <c r="M41" i="5" s="1"/>
  <c r="E37" i="5"/>
  <c r="F37" i="5"/>
  <c r="L37" i="5" s="1"/>
  <c r="M37" i="5" s="1"/>
  <c r="E33" i="5"/>
  <c r="J33" i="5" s="1"/>
  <c r="K33" i="5" s="1"/>
  <c r="F33" i="5"/>
  <c r="L33" i="5" s="1"/>
  <c r="M33" i="5" s="1"/>
  <c r="E29" i="5"/>
  <c r="F29" i="5"/>
  <c r="L29" i="5" s="1"/>
  <c r="M29" i="5" s="1"/>
  <c r="E25" i="5"/>
  <c r="F25" i="5"/>
  <c r="L25" i="5" s="1"/>
  <c r="M25" i="5" s="1"/>
  <c r="E21" i="5"/>
  <c r="F21" i="5"/>
  <c r="L21" i="5" s="1"/>
  <c r="M21" i="5" s="1"/>
  <c r="E17" i="5"/>
  <c r="J17" i="5" s="1"/>
  <c r="K17" i="5" s="1"/>
  <c r="F17" i="5"/>
  <c r="L17" i="5" s="1"/>
  <c r="M17" i="5" s="1"/>
  <c r="E13" i="5"/>
  <c r="F13" i="5"/>
  <c r="L13" i="5" s="1"/>
  <c r="M13" i="5" s="1"/>
  <c r="E9" i="5"/>
  <c r="F9" i="5"/>
  <c r="L9" i="5" s="1"/>
  <c r="M9" i="5" s="1"/>
  <c r="E5" i="5"/>
  <c r="F5" i="5"/>
  <c r="L5" i="5" s="1"/>
  <c r="M5" i="5" s="1"/>
  <c r="E903" i="5"/>
  <c r="E871" i="5"/>
  <c r="E403" i="5"/>
  <c r="F999" i="5"/>
  <c r="L999" i="5" s="1"/>
  <c r="M999" i="5" s="1"/>
  <c r="F995" i="5"/>
  <c r="L995" i="5" s="1"/>
  <c r="M995" i="5" s="1"/>
  <c r="F991" i="5"/>
  <c r="L991" i="5" s="1"/>
  <c r="M991" i="5" s="1"/>
  <c r="F987" i="5"/>
  <c r="L987" i="5" s="1"/>
  <c r="M987" i="5" s="1"/>
  <c r="F983" i="5"/>
  <c r="L983" i="5" s="1"/>
  <c r="M983" i="5" s="1"/>
  <c r="F979" i="5"/>
  <c r="L979" i="5" s="1"/>
  <c r="M979" i="5" s="1"/>
  <c r="F975" i="5"/>
  <c r="L975" i="5" s="1"/>
  <c r="M975" i="5" s="1"/>
  <c r="F971" i="5"/>
  <c r="L971" i="5" s="1"/>
  <c r="M971" i="5" s="1"/>
  <c r="F967" i="5"/>
  <c r="L967" i="5" s="1"/>
  <c r="M967" i="5" s="1"/>
  <c r="F963" i="5"/>
  <c r="L963" i="5" s="1"/>
  <c r="M963" i="5" s="1"/>
  <c r="F959" i="5"/>
  <c r="L959" i="5" s="1"/>
  <c r="M959" i="5" s="1"/>
  <c r="F955" i="5"/>
  <c r="L955" i="5" s="1"/>
  <c r="M955" i="5" s="1"/>
  <c r="F951" i="5"/>
  <c r="L951" i="5" s="1"/>
  <c r="M951" i="5" s="1"/>
  <c r="F947" i="5"/>
  <c r="L947" i="5" s="1"/>
  <c r="M947" i="5" s="1"/>
  <c r="F943" i="5"/>
  <c r="L943" i="5" s="1"/>
  <c r="M943" i="5" s="1"/>
  <c r="F939" i="5"/>
  <c r="L939" i="5" s="1"/>
  <c r="M939" i="5" s="1"/>
  <c r="F935" i="5"/>
  <c r="L935" i="5" s="1"/>
  <c r="M935" i="5" s="1"/>
  <c r="F931" i="5"/>
  <c r="L931" i="5" s="1"/>
  <c r="M931" i="5" s="1"/>
  <c r="F927" i="5"/>
  <c r="L927" i="5" s="1"/>
  <c r="M927" i="5" s="1"/>
  <c r="F923" i="5"/>
  <c r="L923" i="5" s="1"/>
  <c r="M923" i="5" s="1"/>
  <c r="F919" i="5"/>
  <c r="L919" i="5" s="1"/>
  <c r="M919" i="5" s="1"/>
  <c r="F915" i="5"/>
  <c r="L915" i="5" s="1"/>
  <c r="M915" i="5" s="1"/>
  <c r="F911" i="5"/>
  <c r="L911" i="5" s="1"/>
  <c r="M911" i="5" s="1"/>
  <c r="F907" i="5"/>
  <c r="L907" i="5" s="1"/>
  <c r="M907" i="5" s="1"/>
  <c r="F899" i="5"/>
  <c r="L899" i="5" s="1"/>
  <c r="M899" i="5" s="1"/>
  <c r="F895" i="5"/>
  <c r="L895" i="5" s="1"/>
  <c r="M895" i="5" s="1"/>
  <c r="F891" i="5"/>
  <c r="F887" i="5"/>
  <c r="L887" i="5" s="1"/>
  <c r="M887" i="5" s="1"/>
  <c r="F883" i="5"/>
  <c r="L883" i="5" s="1"/>
  <c r="M883" i="5" s="1"/>
  <c r="F875" i="5"/>
  <c r="L875" i="5" s="1"/>
  <c r="M875" i="5" s="1"/>
  <c r="F867" i="5"/>
  <c r="L867" i="5" s="1"/>
  <c r="M867" i="5" s="1"/>
  <c r="F863" i="5"/>
  <c r="L863" i="5" s="1"/>
  <c r="M863" i="5" s="1"/>
  <c r="F859" i="5"/>
  <c r="L859" i="5" s="1"/>
  <c r="M859" i="5" s="1"/>
  <c r="F855" i="5"/>
  <c r="L855" i="5" s="1"/>
  <c r="M855" i="5" s="1"/>
  <c r="F851" i="5"/>
  <c r="L851" i="5" s="1"/>
  <c r="M851" i="5" s="1"/>
  <c r="F847" i="5"/>
  <c r="L847" i="5" s="1"/>
  <c r="M847" i="5" s="1"/>
  <c r="F843" i="5"/>
  <c r="L843" i="5" s="1"/>
  <c r="M843" i="5" s="1"/>
  <c r="F839" i="5"/>
  <c r="L839" i="5" s="1"/>
  <c r="M839" i="5" s="1"/>
  <c r="F835" i="5"/>
  <c r="L835" i="5" s="1"/>
  <c r="M835" i="5" s="1"/>
  <c r="F831" i="5"/>
  <c r="L831" i="5" s="1"/>
  <c r="M831" i="5" s="1"/>
  <c r="F827" i="5"/>
  <c r="L827" i="5" s="1"/>
  <c r="M827" i="5" s="1"/>
  <c r="F823" i="5"/>
  <c r="L823" i="5" s="1"/>
  <c r="M823" i="5" s="1"/>
  <c r="F819" i="5"/>
  <c r="L819" i="5" s="1"/>
  <c r="M819" i="5" s="1"/>
  <c r="F815" i="5"/>
  <c r="L815" i="5" s="1"/>
  <c r="M815" i="5" s="1"/>
  <c r="F811" i="5"/>
  <c r="L811" i="5" s="1"/>
  <c r="M811" i="5" s="1"/>
  <c r="F807" i="5"/>
  <c r="L807" i="5" s="1"/>
  <c r="M807" i="5" s="1"/>
  <c r="F803" i="5"/>
  <c r="L803" i="5" s="1"/>
  <c r="M803" i="5" s="1"/>
  <c r="F799" i="5"/>
  <c r="L799" i="5" s="1"/>
  <c r="M799" i="5" s="1"/>
  <c r="F795" i="5"/>
  <c r="L795" i="5" s="1"/>
  <c r="M795" i="5" s="1"/>
  <c r="F791" i="5"/>
  <c r="L791" i="5" s="1"/>
  <c r="M791" i="5" s="1"/>
  <c r="F787" i="5"/>
  <c r="L787" i="5" s="1"/>
  <c r="M787" i="5" s="1"/>
  <c r="F783" i="5"/>
  <c r="L783" i="5" s="1"/>
  <c r="M783" i="5" s="1"/>
  <c r="F779" i="5"/>
  <c r="L779" i="5" s="1"/>
  <c r="M779" i="5" s="1"/>
  <c r="F775" i="5"/>
  <c r="L775" i="5" s="1"/>
  <c r="M775" i="5" s="1"/>
  <c r="F771" i="5"/>
  <c r="L771" i="5" s="1"/>
  <c r="M771" i="5" s="1"/>
  <c r="F767" i="5"/>
  <c r="L767" i="5" s="1"/>
  <c r="M767" i="5" s="1"/>
  <c r="F763" i="5"/>
  <c r="L763" i="5" s="1"/>
  <c r="M763" i="5" s="1"/>
  <c r="F759" i="5"/>
  <c r="L759" i="5" s="1"/>
  <c r="M759" i="5" s="1"/>
  <c r="F755" i="5"/>
  <c r="L755" i="5" s="1"/>
  <c r="M755" i="5" s="1"/>
  <c r="F751" i="5"/>
  <c r="F747" i="5"/>
  <c r="L747" i="5" s="1"/>
  <c r="M747" i="5" s="1"/>
  <c r="F743" i="5"/>
  <c r="L743" i="5" s="1"/>
  <c r="M743" i="5" s="1"/>
  <c r="F739" i="5"/>
  <c r="L739" i="5" s="1"/>
  <c r="M739" i="5" s="1"/>
  <c r="F735" i="5"/>
  <c r="L735" i="5" s="1"/>
  <c r="M735" i="5" s="1"/>
  <c r="F731" i="5"/>
  <c r="L731" i="5" s="1"/>
  <c r="M731" i="5" s="1"/>
  <c r="F727" i="5"/>
  <c r="F723" i="5"/>
  <c r="L723" i="5" s="1"/>
  <c r="M723" i="5" s="1"/>
  <c r="F719" i="5"/>
  <c r="L719" i="5" s="1"/>
  <c r="M719" i="5" s="1"/>
  <c r="F715" i="5"/>
  <c r="L715" i="5" s="1"/>
  <c r="M715" i="5" s="1"/>
  <c r="F711" i="5"/>
  <c r="F707" i="5"/>
  <c r="L707" i="5" s="1"/>
  <c r="M707" i="5" s="1"/>
  <c r="F703" i="5"/>
  <c r="F699" i="5"/>
  <c r="L699" i="5" s="1"/>
  <c r="M699" i="5" s="1"/>
  <c r="F695" i="5"/>
  <c r="L695" i="5" s="1"/>
  <c r="M695" i="5" s="1"/>
  <c r="F691" i="5"/>
  <c r="L691" i="5" s="1"/>
  <c r="M691" i="5" s="1"/>
  <c r="F687" i="5"/>
  <c r="L687" i="5" s="1"/>
  <c r="M687" i="5" s="1"/>
  <c r="F681" i="5"/>
  <c r="L681" i="5" s="1"/>
  <c r="M681" i="5" s="1"/>
  <c r="F673" i="5"/>
  <c r="L673" i="5" s="1"/>
  <c r="M673" i="5" s="1"/>
  <c r="F665" i="5"/>
  <c r="L665" i="5" s="1"/>
  <c r="M665" i="5" s="1"/>
  <c r="F657" i="5"/>
  <c r="L657" i="5" s="1"/>
  <c r="M657" i="5" s="1"/>
  <c r="F641" i="5"/>
  <c r="L641" i="5" s="1"/>
  <c r="M641" i="5" s="1"/>
  <c r="F625" i="5"/>
  <c r="F609" i="5"/>
  <c r="L609" i="5" s="1"/>
  <c r="M609" i="5" s="1"/>
  <c r="F593" i="5"/>
  <c r="F577" i="5"/>
  <c r="L577" i="5" s="1"/>
  <c r="M577" i="5" s="1"/>
  <c r="F561" i="5"/>
  <c r="F545" i="5"/>
  <c r="L545" i="5" s="1"/>
  <c r="M545" i="5" s="1"/>
  <c r="F529" i="5"/>
  <c r="L529" i="5" s="1"/>
  <c r="M529" i="5" s="1"/>
  <c r="F513" i="5"/>
  <c r="L513" i="5" s="1"/>
  <c r="M513" i="5" s="1"/>
  <c r="F497" i="5"/>
  <c r="L497" i="5" s="1"/>
  <c r="M497" i="5" s="1"/>
  <c r="F481" i="5"/>
  <c r="L481" i="5" s="1"/>
  <c r="M481" i="5" s="1"/>
  <c r="F465" i="5"/>
  <c r="L465" i="5" s="1"/>
  <c r="M465" i="5" s="1"/>
  <c r="F449" i="5"/>
  <c r="L449" i="5" s="1"/>
  <c r="M449" i="5" s="1"/>
  <c r="F433" i="5"/>
  <c r="L433" i="5" s="1"/>
  <c r="M433" i="5" s="1"/>
  <c r="F417" i="5"/>
  <c r="L417" i="5" s="1"/>
  <c r="M417" i="5" s="1"/>
  <c r="F401" i="5"/>
  <c r="L401" i="5" s="1"/>
  <c r="M401" i="5" s="1"/>
  <c r="F385" i="5"/>
  <c r="L385" i="5" s="1"/>
  <c r="M385" i="5" s="1"/>
  <c r="F369" i="5"/>
  <c r="L369" i="5" s="1"/>
  <c r="M369" i="5" s="1"/>
  <c r="F353" i="5"/>
  <c r="L353" i="5" s="1"/>
  <c r="M353" i="5" s="1"/>
  <c r="E262" i="5"/>
  <c r="J262" i="5" s="1"/>
  <c r="K262" i="5" s="1"/>
  <c r="F262" i="5"/>
  <c r="L262" i="5" s="1"/>
  <c r="M262" i="5" s="1"/>
  <c r="E254" i="5"/>
  <c r="F254" i="5"/>
  <c r="L254" i="5" s="1"/>
  <c r="M254" i="5" s="1"/>
  <c r="E246" i="5"/>
  <c r="J246" i="5" s="1"/>
  <c r="K246" i="5" s="1"/>
  <c r="F246" i="5"/>
  <c r="L246" i="5" s="1"/>
  <c r="M246" i="5" s="1"/>
  <c r="E238" i="5"/>
  <c r="F238" i="5"/>
  <c r="L238" i="5" s="1"/>
  <c r="M238" i="5" s="1"/>
  <c r="E226" i="5"/>
  <c r="J226" i="5" s="1"/>
  <c r="K226" i="5" s="1"/>
  <c r="F226" i="5"/>
  <c r="L226" i="5" s="1"/>
  <c r="M226" i="5" s="1"/>
  <c r="E210" i="5"/>
  <c r="F210" i="5"/>
  <c r="L210" i="5" s="1"/>
  <c r="M210" i="5" s="1"/>
  <c r="E198" i="5"/>
  <c r="J198" i="5" s="1"/>
  <c r="K198" i="5" s="1"/>
  <c r="F198" i="5"/>
  <c r="L198" i="5" s="1"/>
  <c r="M198" i="5" s="1"/>
  <c r="E186" i="5"/>
  <c r="F186" i="5"/>
  <c r="L186" i="5" s="1"/>
  <c r="M186" i="5" s="1"/>
  <c r="E178" i="5"/>
  <c r="J178" i="5" s="1"/>
  <c r="K178" i="5" s="1"/>
  <c r="F178" i="5"/>
  <c r="L178" i="5" s="1"/>
  <c r="M178" i="5" s="1"/>
  <c r="E170" i="5"/>
  <c r="F170" i="5"/>
  <c r="L170" i="5" s="1"/>
  <c r="M170" i="5" s="1"/>
  <c r="E154" i="5"/>
  <c r="J154" i="5" s="1"/>
  <c r="K154" i="5" s="1"/>
  <c r="F154" i="5"/>
  <c r="L154" i="5" s="1"/>
  <c r="M154" i="5" s="1"/>
  <c r="E142" i="5"/>
  <c r="F142" i="5"/>
  <c r="L142" i="5" s="1"/>
  <c r="M142" i="5" s="1"/>
  <c r="E130" i="5"/>
  <c r="J130" i="5" s="1"/>
  <c r="K130" i="5" s="1"/>
  <c r="F130" i="5"/>
  <c r="L130" i="5" s="1"/>
  <c r="M130" i="5" s="1"/>
  <c r="E118" i="5"/>
  <c r="F118" i="5"/>
  <c r="L118" i="5" s="1"/>
  <c r="M118" i="5" s="1"/>
  <c r="E106" i="5"/>
  <c r="J106" i="5" s="1"/>
  <c r="K106" i="5" s="1"/>
  <c r="F106" i="5"/>
  <c r="L106" i="5" s="1"/>
  <c r="M106" i="5" s="1"/>
  <c r="E98" i="5"/>
  <c r="F98" i="5"/>
  <c r="L98" i="5" s="1"/>
  <c r="M98" i="5" s="1"/>
  <c r="E90" i="5"/>
  <c r="J90" i="5" s="1"/>
  <c r="K90" i="5" s="1"/>
  <c r="F90" i="5"/>
  <c r="L90" i="5" s="1"/>
  <c r="M90" i="5" s="1"/>
  <c r="E78" i="5"/>
  <c r="F78" i="5"/>
  <c r="L78" i="5" s="1"/>
  <c r="M78" i="5" s="1"/>
  <c r="E66" i="5"/>
  <c r="J66" i="5" s="1"/>
  <c r="K66" i="5" s="1"/>
  <c r="F66" i="5"/>
  <c r="L66" i="5" s="1"/>
  <c r="M66" i="5" s="1"/>
  <c r="E58" i="5"/>
  <c r="F58" i="5"/>
  <c r="L58" i="5" s="1"/>
  <c r="M58" i="5" s="1"/>
  <c r="E46" i="5"/>
  <c r="J46" i="5" s="1"/>
  <c r="K46" i="5" s="1"/>
  <c r="F46" i="5"/>
  <c r="L46" i="5" s="1"/>
  <c r="M46" i="5" s="1"/>
  <c r="E38" i="5"/>
  <c r="F38" i="5"/>
  <c r="L38" i="5" s="1"/>
  <c r="M38" i="5" s="1"/>
  <c r="E26" i="5"/>
  <c r="J26" i="5" s="1"/>
  <c r="K26" i="5" s="1"/>
  <c r="F26" i="5"/>
  <c r="L26" i="5" s="1"/>
  <c r="M26" i="5" s="1"/>
  <c r="E18" i="5"/>
  <c r="F18" i="5"/>
  <c r="L18" i="5" s="1"/>
  <c r="M18" i="5" s="1"/>
  <c r="E6" i="5"/>
  <c r="J6" i="5" s="1"/>
  <c r="K6" i="5" s="1"/>
  <c r="F6" i="5"/>
  <c r="L6" i="5" s="1"/>
  <c r="M6" i="5" s="1"/>
  <c r="E2" i="5"/>
  <c r="J2" i="5" s="1"/>
  <c r="K2" i="5" s="1"/>
  <c r="F2" i="5"/>
  <c r="L2" i="5" s="1"/>
  <c r="M2" i="5" s="1"/>
  <c r="E680" i="5"/>
  <c r="J680" i="5" s="1"/>
  <c r="K680" i="5" s="1"/>
  <c r="F680" i="5"/>
  <c r="L680" i="5" s="1"/>
  <c r="M680" i="5" s="1"/>
  <c r="E676" i="5"/>
  <c r="F676" i="5"/>
  <c r="L676" i="5" s="1"/>
  <c r="M676" i="5" s="1"/>
  <c r="E672" i="5"/>
  <c r="J672" i="5" s="1"/>
  <c r="K672" i="5" s="1"/>
  <c r="F672" i="5"/>
  <c r="L672" i="5" s="1"/>
  <c r="M672" i="5" s="1"/>
  <c r="E668" i="5"/>
  <c r="F668" i="5"/>
  <c r="L668" i="5" s="1"/>
  <c r="M668" i="5" s="1"/>
  <c r="E664" i="5"/>
  <c r="J664" i="5" s="1"/>
  <c r="K664" i="5" s="1"/>
  <c r="F664" i="5"/>
  <c r="L664" i="5" s="1"/>
  <c r="M664" i="5" s="1"/>
  <c r="E660" i="5"/>
  <c r="F660" i="5"/>
  <c r="L660" i="5" s="1"/>
  <c r="M660" i="5" s="1"/>
  <c r="E656" i="5"/>
  <c r="J656" i="5" s="1"/>
  <c r="K656" i="5" s="1"/>
  <c r="F656" i="5"/>
  <c r="L656" i="5" s="1"/>
  <c r="M656" i="5" s="1"/>
  <c r="E652" i="5"/>
  <c r="F652" i="5"/>
  <c r="L652" i="5" s="1"/>
  <c r="M652" i="5" s="1"/>
  <c r="E648" i="5"/>
  <c r="J648" i="5" s="1"/>
  <c r="K648" i="5" s="1"/>
  <c r="F648" i="5"/>
  <c r="L648" i="5" s="1"/>
  <c r="M648" i="5" s="1"/>
  <c r="E644" i="5"/>
  <c r="F644" i="5"/>
  <c r="L644" i="5" s="1"/>
  <c r="M644" i="5" s="1"/>
  <c r="E640" i="5"/>
  <c r="J640" i="5" s="1"/>
  <c r="K640" i="5" s="1"/>
  <c r="F640" i="5"/>
  <c r="L640" i="5" s="1"/>
  <c r="M640" i="5" s="1"/>
  <c r="E636" i="5"/>
  <c r="F636" i="5"/>
  <c r="L636" i="5" s="1"/>
  <c r="M636" i="5" s="1"/>
  <c r="E632" i="5"/>
  <c r="J632" i="5" s="1"/>
  <c r="K632" i="5" s="1"/>
  <c r="F632" i="5"/>
  <c r="L632" i="5" s="1"/>
  <c r="M632" i="5" s="1"/>
  <c r="E628" i="5"/>
  <c r="F628" i="5"/>
  <c r="L628" i="5" s="1"/>
  <c r="M628" i="5" s="1"/>
  <c r="E624" i="5"/>
  <c r="J624" i="5" s="1"/>
  <c r="K624" i="5" s="1"/>
  <c r="F624" i="5"/>
  <c r="L624" i="5" s="1"/>
  <c r="M624" i="5" s="1"/>
  <c r="E620" i="5"/>
  <c r="F620" i="5"/>
  <c r="L620" i="5" s="1"/>
  <c r="M620" i="5" s="1"/>
  <c r="E616" i="5"/>
  <c r="J616" i="5" s="1"/>
  <c r="K616" i="5" s="1"/>
  <c r="F616" i="5"/>
  <c r="L616" i="5" s="1"/>
  <c r="M616" i="5" s="1"/>
  <c r="E612" i="5"/>
  <c r="F612" i="5"/>
  <c r="L612" i="5" s="1"/>
  <c r="M612" i="5" s="1"/>
  <c r="E608" i="5"/>
  <c r="J608" i="5" s="1"/>
  <c r="K608" i="5" s="1"/>
  <c r="F608" i="5"/>
  <c r="L608" i="5" s="1"/>
  <c r="M608" i="5" s="1"/>
  <c r="E604" i="5"/>
  <c r="F604" i="5"/>
  <c r="L604" i="5" s="1"/>
  <c r="M604" i="5" s="1"/>
  <c r="E600" i="5"/>
  <c r="J600" i="5" s="1"/>
  <c r="K600" i="5" s="1"/>
  <c r="F600" i="5"/>
  <c r="L600" i="5" s="1"/>
  <c r="M600" i="5" s="1"/>
  <c r="E596" i="5"/>
  <c r="F596" i="5"/>
  <c r="L596" i="5" s="1"/>
  <c r="M596" i="5" s="1"/>
  <c r="E592" i="5"/>
  <c r="J592" i="5" s="1"/>
  <c r="K592" i="5" s="1"/>
  <c r="F592" i="5"/>
  <c r="L592" i="5" s="1"/>
  <c r="M592" i="5" s="1"/>
  <c r="E588" i="5"/>
  <c r="F588" i="5"/>
  <c r="L588" i="5" s="1"/>
  <c r="M588" i="5" s="1"/>
  <c r="E584" i="5"/>
  <c r="J584" i="5" s="1"/>
  <c r="K584" i="5" s="1"/>
  <c r="F584" i="5"/>
  <c r="L584" i="5" s="1"/>
  <c r="M584" i="5" s="1"/>
  <c r="E580" i="5"/>
  <c r="F580" i="5"/>
  <c r="L580" i="5" s="1"/>
  <c r="M580" i="5" s="1"/>
  <c r="E576" i="5"/>
  <c r="J576" i="5" s="1"/>
  <c r="K576" i="5" s="1"/>
  <c r="F576" i="5"/>
  <c r="L576" i="5" s="1"/>
  <c r="M576" i="5" s="1"/>
  <c r="E572" i="5"/>
  <c r="F572" i="5"/>
  <c r="L572" i="5" s="1"/>
  <c r="M572" i="5" s="1"/>
  <c r="E568" i="5"/>
  <c r="J568" i="5" s="1"/>
  <c r="K568" i="5" s="1"/>
  <c r="F568" i="5"/>
  <c r="L568" i="5" s="1"/>
  <c r="M568" i="5" s="1"/>
  <c r="E564" i="5"/>
  <c r="F564" i="5"/>
  <c r="L564" i="5" s="1"/>
  <c r="M564" i="5" s="1"/>
  <c r="E560" i="5"/>
  <c r="J560" i="5" s="1"/>
  <c r="K560" i="5" s="1"/>
  <c r="F560" i="5"/>
  <c r="L560" i="5" s="1"/>
  <c r="M560" i="5" s="1"/>
  <c r="E556" i="5"/>
  <c r="F556" i="5"/>
  <c r="L556" i="5" s="1"/>
  <c r="M556" i="5" s="1"/>
  <c r="E552" i="5"/>
  <c r="J552" i="5" s="1"/>
  <c r="K552" i="5" s="1"/>
  <c r="F552" i="5"/>
  <c r="L552" i="5" s="1"/>
  <c r="M552" i="5" s="1"/>
  <c r="E548" i="5"/>
  <c r="F548" i="5"/>
  <c r="L548" i="5" s="1"/>
  <c r="M548" i="5" s="1"/>
  <c r="E544" i="5"/>
  <c r="J544" i="5" s="1"/>
  <c r="K544" i="5" s="1"/>
  <c r="F544" i="5"/>
  <c r="L544" i="5" s="1"/>
  <c r="M544" i="5" s="1"/>
  <c r="E540" i="5"/>
  <c r="F540" i="5"/>
  <c r="L540" i="5" s="1"/>
  <c r="M540" i="5" s="1"/>
  <c r="E536" i="5"/>
  <c r="J536" i="5" s="1"/>
  <c r="K536" i="5" s="1"/>
  <c r="F536" i="5"/>
  <c r="L536" i="5" s="1"/>
  <c r="M536" i="5" s="1"/>
  <c r="E532" i="5"/>
  <c r="F532" i="5"/>
  <c r="L532" i="5" s="1"/>
  <c r="M532" i="5" s="1"/>
  <c r="E528" i="5"/>
  <c r="J528" i="5" s="1"/>
  <c r="K528" i="5" s="1"/>
  <c r="F528" i="5"/>
  <c r="L528" i="5" s="1"/>
  <c r="M528" i="5" s="1"/>
  <c r="E524" i="5"/>
  <c r="F524" i="5"/>
  <c r="L524" i="5" s="1"/>
  <c r="M524" i="5" s="1"/>
  <c r="E520" i="5"/>
  <c r="J520" i="5" s="1"/>
  <c r="K520" i="5" s="1"/>
  <c r="F520" i="5"/>
  <c r="L520" i="5" s="1"/>
  <c r="M520" i="5" s="1"/>
  <c r="E516" i="5"/>
  <c r="F516" i="5"/>
  <c r="L516" i="5" s="1"/>
  <c r="M516" i="5" s="1"/>
  <c r="E512" i="5"/>
  <c r="J512" i="5" s="1"/>
  <c r="K512" i="5" s="1"/>
  <c r="F512" i="5"/>
  <c r="L512" i="5" s="1"/>
  <c r="M512" i="5" s="1"/>
  <c r="E508" i="5"/>
  <c r="F508" i="5"/>
  <c r="L508" i="5" s="1"/>
  <c r="M508" i="5" s="1"/>
  <c r="E504" i="5"/>
  <c r="J504" i="5" s="1"/>
  <c r="K504" i="5" s="1"/>
  <c r="F504" i="5"/>
  <c r="L504" i="5" s="1"/>
  <c r="M504" i="5" s="1"/>
  <c r="E500" i="5"/>
  <c r="F500" i="5"/>
  <c r="L500" i="5" s="1"/>
  <c r="M500" i="5" s="1"/>
  <c r="E496" i="5"/>
  <c r="J496" i="5" s="1"/>
  <c r="K496" i="5" s="1"/>
  <c r="F496" i="5"/>
  <c r="L496" i="5" s="1"/>
  <c r="M496" i="5" s="1"/>
  <c r="E492" i="5"/>
  <c r="F492" i="5"/>
  <c r="L492" i="5" s="1"/>
  <c r="M492" i="5" s="1"/>
  <c r="E488" i="5"/>
  <c r="J488" i="5" s="1"/>
  <c r="K488" i="5" s="1"/>
  <c r="F488" i="5"/>
  <c r="L488" i="5" s="1"/>
  <c r="M488" i="5" s="1"/>
  <c r="E484" i="5"/>
  <c r="F484" i="5"/>
  <c r="L484" i="5" s="1"/>
  <c r="M484" i="5" s="1"/>
  <c r="E480" i="5"/>
  <c r="J480" i="5" s="1"/>
  <c r="K480" i="5" s="1"/>
  <c r="F480" i="5"/>
  <c r="L480" i="5" s="1"/>
  <c r="M480" i="5" s="1"/>
  <c r="E476" i="5"/>
  <c r="F476" i="5"/>
  <c r="L476" i="5" s="1"/>
  <c r="M476" i="5" s="1"/>
  <c r="E472" i="5"/>
  <c r="J472" i="5" s="1"/>
  <c r="K472" i="5" s="1"/>
  <c r="F472" i="5"/>
  <c r="L472" i="5" s="1"/>
  <c r="M472" i="5" s="1"/>
  <c r="E468" i="5"/>
  <c r="F468" i="5"/>
  <c r="L468" i="5" s="1"/>
  <c r="M468" i="5" s="1"/>
  <c r="E464" i="5"/>
  <c r="J464" i="5" s="1"/>
  <c r="K464" i="5" s="1"/>
  <c r="F464" i="5"/>
  <c r="L464" i="5" s="1"/>
  <c r="M464" i="5" s="1"/>
  <c r="E460" i="5"/>
  <c r="F460" i="5"/>
  <c r="L460" i="5" s="1"/>
  <c r="M460" i="5" s="1"/>
  <c r="E456" i="5"/>
  <c r="J456" i="5" s="1"/>
  <c r="K456" i="5" s="1"/>
  <c r="F456" i="5"/>
  <c r="L456" i="5" s="1"/>
  <c r="M456" i="5" s="1"/>
  <c r="E452" i="5"/>
  <c r="F452" i="5"/>
  <c r="L452" i="5" s="1"/>
  <c r="M452" i="5" s="1"/>
  <c r="E448" i="5"/>
  <c r="J448" i="5" s="1"/>
  <c r="K448" i="5" s="1"/>
  <c r="F448" i="5"/>
  <c r="L448" i="5" s="1"/>
  <c r="M448" i="5" s="1"/>
  <c r="E444" i="5"/>
  <c r="F444" i="5"/>
  <c r="L444" i="5" s="1"/>
  <c r="M444" i="5" s="1"/>
  <c r="E440" i="5"/>
  <c r="J440" i="5" s="1"/>
  <c r="K440" i="5" s="1"/>
  <c r="F440" i="5"/>
  <c r="L440" i="5" s="1"/>
  <c r="M440" i="5" s="1"/>
  <c r="E436" i="5"/>
  <c r="F436" i="5"/>
  <c r="L436" i="5" s="1"/>
  <c r="M436" i="5" s="1"/>
  <c r="E432" i="5"/>
  <c r="J432" i="5" s="1"/>
  <c r="K432" i="5" s="1"/>
  <c r="F432" i="5"/>
  <c r="L432" i="5" s="1"/>
  <c r="M432" i="5" s="1"/>
  <c r="E428" i="5"/>
  <c r="F428" i="5"/>
  <c r="L428" i="5" s="1"/>
  <c r="M428" i="5" s="1"/>
  <c r="E424" i="5"/>
  <c r="J424" i="5" s="1"/>
  <c r="K424" i="5" s="1"/>
  <c r="F424" i="5"/>
  <c r="L424" i="5" s="1"/>
  <c r="M424" i="5" s="1"/>
  <c r="E420" i="5"/>
  <c r="F420" i="5"/>
  <c r="L420" i="5" s="1"/>
  <c r="M420" i="5" s="1"/>
  <c r="E416" i="5"/>
  <c r="J416" i="5" s="1"/>
  <c r="K416" i="5" s="1"/>
  <c r="F416" i="5"/>
  <c r="L416" i="5" s="1"/>
  <c r="M416" i="5" s="1"/>
  <c r="E412" i="5"/>
  <c r="F412" i="5"/>
  <c r="L412" i="5" s="1"/>
  <c r="M412" i="5" s="1"/>
  <c r="E408" i="5"/>
  <c r="J408" i="5" s="1"/>
  <c r="K408" i="5" s="1"/>
  <c r="F408" i="5"/>
  <c r="L408" i="5" s="1"/>
  <c r="M408" i="5" s="1"/>
  <c r="E404" i="5"/>
  <c r="F404" i="5"/>
  <c r="L404" i="5" s="1"/>
  <c r="M404" i="5" s="1"/>
  <c r="E400" i="5"/>
  <c r="J400" i="5" s="1"/>
  <c r="K400" i="5" s="1"/>
  <c r="F400" i="5"/>
  <c r="L400" i="5" s="1"/>
  <c r="M400" i="5" s="1"/>
  <c r="E396" i="5"/>
  <c r="F396" i="5"/>
  <c r="L396" i="5" s="1"/>
  <c r="M396" i="5" s="1"/>
  <c r="E392" i="5"/>
  <c r="J392" i="5" s="1"/>
  <c r="K392" i="5" s="1"/>
  <c r="F392" i="5"/>
  <c r="L392" i="5" s="1"/>
  <c r="M392" i="5" s="1"/>
  <c r="E388" i="5"/>
  <c r="F388" i="5"/>
  <c r="L388" i="5" s="1"/>
  <c r="M388" i="5" s="1"/>
  <c r="E384" i="5"/>
  <c r="J384" i="5" s="1"/>
  <c r="K384" i="5" s="1"/>
  <c r="F384" i="5"/>
  <c r="L384" i="5" s="1"/>
  <c r="M384" i="5" s="1"/>
  <c r="E380" i="5"/>
  <c r="F380" i="5"/>
  <c r="L380" i="5" s="1"/>
  <c r="M380" i="5" s="1"/>
  <c r="E376" i="5"/>
  <c r="J376" i="5" s="1"/>
  <c r="K376" i="5" s="1"/>
  <c r="F376" i="5"/>
  <c r="L376" i="5" s="1"/>
  <c r="M376" i="5" s="1"/>
  <c r="E372" i="5"/>
  <c r="F372" i="5"/>
  <c r="L372" i="5" s="1"/>
  <c r="M372" i="5" s="1"/>
  <c r="E368" i="5"/>
  <c r="J368" i="5" s="1"/>
  <c r="K368" i="5" s="1"/>
  <c r="F368" i="5"/>
  <c r="L368" i="5" s="1"/>
  <c r="M368" i="5" s="1"/>
  <c r="E364" i="5"/>
  <c r="F364" i="5"/>
  <c r="L364" i="5" s="1"/>
  <c r="M364" i="5" s="1"/>
  <c r="E360" i="5"/>
  <c r="J360" i="5" s="1"/>
  <c r="K360" i="5" s="1"/>
  <c r="F360" i="5"/>
  <c r="L360" i="5" s="1"/>
  <c r="M360" i="5" s="1"/>
  <c r="E356" i="5"/>
  <c r="F356" i="5"/>
  <c r="L356" i="5" s="1"/>
  <c r="M356" i="5" s="1"/>
  <c r="E352" i="5"/>
  <c r="J352" i="5" s="1"/>
  <c r="K352" i="5" s="1"/>
  <c r="F352" i="5"/>
  <c r="L352" i="5" s="1"/>
  <c r="M352" i="5" s="1"/>
  <c r="E348" i="5"/>
  <c r="F348" i="5"/>
  <c r="L348" i="5" s="1"/>
  <c r="M348" i="5" s="1"/>
  <c r="E344" i="5"/>
  <c r="J344" i="5" s="1"/>
  <c r="K344" i="5" s="1"/>
  <c r="F344" i="5"/>
  <c r="L344" i="5" s="1"/>
  <c r="M344" i="5" s="1"/>
  <c r="E340" i="5"/>
  <c r="F340" i="5"/>
  <c r="L340" i="5" s="1"/>
  <c r="M340" i="5" s="1"/>
  <c r="E332" i="5"/>
  <c r="J332" i="5" s="1"/>
  <c r="K332" i="5" s="1"/>
  <c r="F332" i="5"/>
  <c r="L332" i="5" s="1"/>
  <c r="M332" i="5" s="1"/>
  <c r="E328" i="5"/>
  <c r="F328" i="5"/>
  <c r="L328" i="5" s="1"/>
  <c r="M328" i="5" s="1"/>
  <c r="E324" i="5"/>
  <c r="J324" i="5" s="1"/>
  <c r="K324" i="5" s="1"/>
  <c r="F324" i="5"/>
  <c r="L324" i="5" s="1"/>
  <c r="M324" i="5" s="1"/>
  <c r="E320" i="5"/>
  <c r="F320" i="5"/>
  <c r="L320" i="5" s="1"/>
  <c r="M320" i="5" s="1"/>
  <c r="E316" i="5"/>
  <c r="J316" i="5" s="1"/>
  <c r="K316" i="5" s="1"/>
  <c r="F316" i="5"/>
  <c r="L316" i="5" s="1"/>
  <c r="M316" i="5" s="1"/>
  <c r="E312" i="5"/>
  <c r="F312" i="5"/>
  <c r="L312" i="5" s="1"/>
  <c r="M312" i="5" s="1"/>
  <c r="E308" i="5"/>
  <c r="J308" i="5" s="1"/>
  <c r="K308" i="5" s="1"/>
  <c r="F308" i="5"/>
  <c r="L308" i="5" s="1"/>
  <c r="M308" i="5" s="1"/>
  <c r="E304" i="5"/>
  <c r="F304" i="5"/>
  <c r="L304" i="5" s="1"/>
  <c r="M304" i="5" s="1"/>
  <c r="E300" i="5"/>
  <c r="J300" i="5" s="1"/>
  <c r="K300" i="5" s="1"/>
  <c r="F300" i="5"/>
  <c r="L300" i="5" s="1"/>
  <c r="M300" i="5" s="1"/>
  <c r="E296" i="5"/>
  <c r="F296" i="5"/>
  <c r="L296" i="5" s="1"/>
  <c r="M296" i="5" s="1"/>
  <c r="E292" i="5"/>
  <c r="J292" i="5" s="1"/>
  <c r="K292" i="5" s="1"/>
  <c r="F292" i="5"/>
  <c r="L292" i="5" s="1"/>
  <c r="M292" i="5" s="1"/>
  <c r="E288" i="5"/>
  <c r="F288" i="5"/>
  <c r="L288" i="5" s="1"/>
  <c r="M288" i="5" s="1"/>
  <c r="E284" i="5"/>
  <c r="J284" i="5" s="1"/>
  <c r="K284" i="5" s="1"/>
  <c r="F284" i="5"/>
  <c r="L284" i="5" s="1"/>
  <c r="M284" i="5" s="1"/>
  <c r="E280" i="5"/>
  <c r="F280" i="5"/>
  <c r="L280" i="5" s="1"/>
  <c r="M280" i="5" s="1"/>
  <c r="E276" i="5"/>
  <c r="J276" i="5" s="1"/>
  <c r="K276" i="5" s="1"/>
  <c r="F276" i="5"/>
  <c r="L276" i="5" s="1"/>
  <c r="M276" i="5" s="1"/>
  <c r="E272" i="5"/>
  <c r="F272" i="5"/>
  <c r="L272" i="5" s="1"/>
  <c r="M272" i="5" s="1"/>
  <c r="E268" i="5"/>
  <c r="J268" i="5" s="1"/>
  <c r="K268" i="5" s="1"/>
  <c r="F268" i="5"/>
  <c r="L268" i="5" s="1"/>
  <c r="M268" i="5" s="1"/>
  <c r="E264" i="5"/>
  <c r="F264" i="5"/>
  <c r="L264" i="5" s="1"/>
  <c r="M264" i="5" s="1"/>
  <c r="E260" i="5"/>
  <c r="J260" i="5" s="1"/>
  <c r="K260" i="5" s="1"/>
  <c r="F260" i="5"/>
  <c r="L260" i="5" s="1"/>
  <c r="M260" i="5" s="1"/>
  <c r="E256" i="5"/>
  <c r="F256" i="5"/>
  <c r="L256" i="5" s="1"/>
  <c r="M256" i="5" s="1"/>
  <c r="E252" i="5"/>
  <c r="J252" i="5" s="1"/>
  <c r="K252" i="5" s="1"/>
  <c r="F252" i="5"/>
  <c r="L252" i="5" s="1"/>
  <c r="M252" i="5" s="1"/>
  <c r="E248" i="5"/>
  <c r="F248" i="5"/>
  <c r="L248" i="5" s="1"/>
  <c r="M248" i="5" s="1"/>
  <c r="E244" i="5"/>
  <c r="J244" i="5" s="1"/>
  <c r="K244" i="5" s="1"/>
  <c r="F244" i="5"/>
  <c r="L244" i="5" s="1"/>
  <c r="M244" i="5" s="1"/>
  <c r="E240" i="5"/>
  <c r="F240" i="5"/>
  <c r="L240" i="5" s="1"/>
  <c r="M240" i="5" s="1"/>
  <c r="E236" i="5"/>
  <c r="J236" i="5" s="1"/>
  <c r="K236" i="5" s="1"/>
  <c r="F236" i="5"/>
  <c r="L236" i="5" s="1"/>
  <c r="M236" i="5" s="1"/>
  <c r="E232" i="5"/>
  <c r="F232" i="5"/>
  <c r="L232" i="5" s="1"/>
  <c r="M232" i="5" s="1"/>
  <c r="E228" i="5"/>
  <c r="J228" i="5" s="1"/>
  <c r="K228" i="5" s="1"/>
  <c r="F228" i="5"/>
  <c r="L228" i="5" s="1"/>
  <c r="M228" i="5" s="1"/>
  <c r="E224" i="5"/>
  <c r="F224" i="5"/>
  <c r="L224" i="5" s="1"/>
  <c r="M224" i="5" s="1"/>
  <c r="E220" i="5"/>
  <c r="J220" i="5" s="1"/>
  <c r="K220" i="5" s="1"/>
  <c r="F220" i="5"/>
  <c r="L220" i="5" s="1"/>
  <c r="M220" i="5" s="1"/>
  <c r="E216" i="5"/>
  <c r="F216" i="5"/>
  <c r="L216" i="5" s="1"/>
  <c r="M216" i="5" s="1"/>
  <c r="E212" i="5"/>
  <c r="J212" i="5" s="1"/>
  <c r="K212" i="5" s="1"/>
  <c r="F212" i="5"/>
  <c r="L212" i="5" s="1"/>
  <c r="M212" i="5" s="1"/>
  <c r="E208" i="5"/>
  <c r="F208" i="5"/>
  <c r="L208" i="5" s="1"/>
  <c r="M208" i="5" s="1"/>
  <c r="E204" i="5"/>
  <c r="J204" i="5" s="1"/>
  <c r="K204" i="5" s="1"/>
  <c r="F204" i="5"/>
  <c r="L204" i="5" s="1"/>
  <c r="M204" i="5" s="1"/>
  <c r="E200" i="5"/>
  <c r="F200" i="5"/>
  <c r="L200" i="5" s="1"/>
  <c r="M200" i="5" s="1"/>
  <c r="E196" i="5"/>
  <c r="J196" i="5" s="1"/>
  <c r="K196" i="5" s="1"/>
  <c r="F196" i="5"/>
  <c r="L196" i="5" s="1"/>
  <c r="M196" i="5" s="1"/>
  <c r="E192" i="5"/>
  <c r="F192" i="5"/>
  <c r="L192" i="5" s="1"/>
  <c r="M192" i="5" s="1"/>
  <c r="E188" i="5"/>
  <c r="J188" i="5" s="1"/>
  <c r="K188" i="5" s="1"/>
  <c r="F188" i="5"/>
  <c r="L188" i="5" s="1"/>
  <c r="M188" i="5" s="1"/>
  <c r="E184" i="5"/>
  <c r="F184" i="5"/>
  <c r="L184" i="5" s="1"/>
  <c r="M184" i="5" s="1"/>
  <c r="E180" i="5"/>
  <c r="J180" i="5" s="1"/>
  <c r="K180" i="5" s="1"/>
  <c r="F180" i="5"/>
  <c r="L180" i="5" s="1"/>
  <c r="M180" i="5" s="1"/>
  <c r="E176" i="5"/>
  <c r="F176" i="5"/>
  <c r="L176" i="5" s="1"/>
  <c r="M176" i="5" s="1"/>
  <c r="E172" i="5"/>
  <c r="J172" i="5" s="1"/>
  <c r="K172" i="5" s="1"/>
  <c r="F172" i="5"/>
  <c r="L172" i="5" s="1"/>
  <c r="M172" i="5" s="1"/>
  <c r="E168" i="5"/>
  <c r="F168" i="5"/>
  <c r="L168" i="5" s="1"/>
  <c r="M168" i="5" s="1"/>
  <c r="E164" i="5"/>
  <c r="J164" i="5" s="1"/>
  <c r="K164" i="5" s="1"/>
  <c r="F164" i="5"/>
  <c r="L164" i="5" s="1"/>
  <c r="M164" i="5" s="1"/>
  <c r="E160" i="5"/>
  <c r="F160" i="5"/>
  <c r="L160" i="5" s="1"/>
  <c r="M160" i="5" s="1"/>
  <c r="E156" i="5"/>
  <c r="J156" i="5" s="1"/>
  <c r="K156" i="5" s="1"/>
  <c r="F156" i="5"/>
  <c r="L156" i="5" s="1"/>
  <c r="M156" i="5" s="1"/>
  <c r="E152" i="5"/>
  <c r="F152" i="5"/>
  <c r="L152" i="5" s="1"/>
  <c r="M152" i="5" s="1"/>
  <c r="E148" i="5"/>
  <c r="J148" i="5" s="1"/>
  <c r="K148" i="5" s="1"/>
  <c r="F148" i="5"/>
  <c r="L148" i="5" s="1"/>
  <c r="M148" i="5" s="1"/>
  <c r="E144" i="5"/>
  <c r="F144" i="5"/>
  <c r="L144" i="5" s="1"/>
  <c r="M144" i="5" s="1"/>
  <c r="E140" i="5"/>
  <c r="J140" i="5" s="1"/>
  <c r="K140" i="5" s="1"/>
  <c r="F140" i="5"/>
  <c r="L140" i="5" s="1"/>
  <c r="M140" i="5" s="1"/>
  <c r="E136" i="5"/>
  <c r="F136" i="5"/>
  <c r="L136" i="5" s="1"/>
  <c r="M136" i="5" s="1"/>
  <c r="E132" i="5"/>
  <c r="J132" i="5" s="1"/>
  <c r="K132" i="5" s="1"/>
  <c r="F132" i="5"/>
  <c r="L132" i="5" s="1"/>
  <c r="M132" i="5" s="1"/>
  <c r="E128" i="5"/>
  <c r="F128" i="5"/>
  <c r="L128" i="5" s="1"/>
  <c r="M128" i="5" s="1"/>
  <c r="E124" i="5"/>
  <c r="J124" i="5" s="1"/>
  <c r="K124" i="5" s="1"/>
  <c r="F124" i="5"/>
  <c r="L124" i="5" s="1"/>
  <c r="M124" i="5" s="1"/>
  <c r="E120" i="5"/>
  <c r="F120" i="5"/>
  <c r="L120" i="5" s="1"/>
  <c r="M120" i="5" s="1"/>
  <c r="E116" i="5"/>
  <c r="J116" i="5" s="1"/>
  <c r="K116" i="5" s="1"/>
  <c r="F116" i="5"/>
  <c r="L116" i="5" s="1"/>
  <c r="M116" i="5" s="1"/>
  <c r="E112" i="5"/>
  <c r="F112" i="5"/>
  <c r="L112" i="5" s="1"/>
  <c r="M112" i="5" s="1"/>
  <c r="E108" i="5"/>
  <c r="J108" i="5" s="1"/>
  <c r="K108" i="5" s="1"/>
  <c r="F108" i="5"/>
  <c r="L108" i="5" s="1"/>
  <c r="M108" i="5" s="1"/>
  <c r="E104" i="5"/>
  <c r="F104" i="5"/>
  <c r="L104" i="5" s="1"/>
  <c r="M104" i="5" s="1"/>
  <c r="E100" i="5"/>
  <c r="J100" i="5" s="1"/>
  <c r="K100" i="5" s="1"/>
  <c r="F100" i="5"/>
  <c r="L100" i="5" s="1"/>
  <c r="M100" i="5" s="1"/>
  <c r="E96" i="5"/>
  <c r="F96" i="5"/>
  <c r="L96" i="5" s="1"/>
  <c r="M96" i="5" s="1"/>
  <c r="E92" i="5"/>
  <c r="J92" i="5" s="1"/>
  <c r="K92" i="5" s="1"/>
  <c r="F92" i="5"/>
  <c r="L92" i="5" s="1"/>
  <c r="M92" i="5" s="1"/>
  <c r="E88" i="5"/>
  <c r="F88" i="5"/>
  <c r="L88" i="5" s="1"/>
  <c r="M88" i="5" s="1"/>
  <c r="E84" i="5"/>
  <c r="J84" i="5" s="1"/>
  <c r="K84" i="5" s="1"/>
  <c r="F84" i="5"/>
  <c r="L84" i="5" s="1"/>
  <c r="M84" i="5" s="1"/>
  <c r="E80" i="5"/>
  <c r="F80" i="5"/>
  <c r="L80" i="5" s="1"/>
  <c r="M80" i="5" s="1"/>
  <c r="E76" i="5"/>
  <c r="J76" i="5" s="1"/>
  <c r="K76" i="5" s="1"/>
  <c r="F76" i="5"/>
  <c r="L76" i="5" s="1"/>
  <c r="M76" i="5" s="1"/>
  <c r="E72" i="5"/>
  <c r="F72" i="5"/>
  <c r="L72" i="5" s="1"/>
  <c r="M72" i="5" s="1"/>
  <c r="E68" i="5"/>
  <c r="J68" i="5" s="1"/>
  <c r="K68" i="5" s="1"/>
  <c r="F68" i="5"/>
  <c r="L68" i="5" s="1"/>
  <c r="M68" i="5" s="1"/>
  <c r="E64" i="5"/>
  <c r="F64" i="5"/>
  <c r="L64" i="5" s="1"/>
  <c r="M64" i="5" s="1"/>
  <c r="E60" i="5"/>
  <c r="J60" i="5" s="1"/>
  <c r="K60" i="5" s="1"/>
  <c r="F60" i="5"/>
  <c r="L60" i="5" s="1"/>
  <c r="M60" i="5" s="1"/>
  <c r="E56" i="5"/>
  <c r="F56" i="5"/>
  <c r="L56" i="5" s="1"/>
  <c r="M56" i="5" s="1"/>
  <c r="E52" i="5"/>
  <c r="J52" i="5" s="1"/>
  <c r="K52" i="5" s="1"/>
  <c r="F52" i="5"/>
  <c r="L52" i="5" s="1"/>
  <c r="M52" i="5" s="1"/>
  <c r="E48" i="5"/>
  <c r="F48" i="5"/>
  <c r="L48" i="5" s="1"/>
  <c r="M48" i="5" s="1"/>
  <c r="E44" i="5"/>
  <c r="J44" i="5" s="1"/>
  <c r="K44" i="5" s="1"/>
  <c r="F44" i="5"/>
  <c r="L44" i="5" s="1"/>
  <c r="M44" i="5" s="1"/>
  <c r="E40" i="5"/>
  <c r="F40" i="5"/>
  <c r="L40" i="5" s="1"/>
  <c r="M40" i="5" s="1"/>
  <c r="E36" i="5"/>
  <c r="J36" i="5" s="1"/>
  <c r="K36" i="5" s="1"/>
  <c r="F36" i="5"/>
  <c r="L36" i="5" s="1"/>
  <c r="M36" i="5" s="1"/>
  <c r="E32" i="5"/>
  <c r="F32" i="5"/>
  <c r="L32" i="5" s="1"/>
  <c r="M32" i="5" s="1"/>
  <c r="E28" i="5"/>
  <c r="J28" i="5" s="1"/>
  <c r="K28" i="5" s="1"/>
  <c r="F28" i="5"/>
  <c r="L28" i="5" s="1"/>
  <c r="M28" i="5" s="1"/>
  <c r="E24" i="5"/>
  <c r="F24" i="5"/>
  <c r="L24" i="5" s="1"/>
  <c r="M24" i="5" s="1"/>
  <c r="E20" i="5"/>
  <c r="J20" i="5" s="1"/>
  <c r="K20" i="5" s="1"/>
  <c r="F20" i="5"/>
  <c r="L20" i="5" s="1"/>
  <c r="M20" i="5" s="1"/>
  <c r="E16" i="5"/>
  <c r="F16" i="5"/>
  <c r="L16" i="5" s="1"/>
  <c r="M16" i="5" s="1"/>
  <c r="E12" i="5"/>
  <c r="J12" i="5" s="1"/>
  <c r="K12" i="5" s="1"/>
  <c r="F12" i="5"/>
  <c r="L12" i="5" s="1"/>
  <c r="M12" i="5" s="1"/>
  <c r="E8" i="5"/>
  <c r="F8" i="5"/>
  <c r="L8" i="5" s="1"/>
  <c r="M8" i="5" s="1"/>
  <c r="E4" i="5"/>
  <c r="J4" i="5" s="1"/>
  <c r="K4" i="5" s="1"/>
  <c r="F4" i="5"/>
  <c r="L4" i="5" s="1"/>
  <c r="M4" i="5" s="1"/>
  <c r="E595" i="5"/>
  <c r="E336" i="5"/>
  <c r="F685" i="5"/>
  <c r="F679" i="5"/>
  <c r="L679" i="5" s="1"/>
  <c r="M679" i="5" s="1"/>
  <c r="F671" i="5"/>
  <c r="L671" i="5" s="1"/>
  <c r="M671" i="5" s="1"/>
  <c r="F663" i="5"/>
  <c r="F653" i="5"/>
  <c r="L653" i="5" s="1"/>
  <c r="M653" i="5" s="1"/>
  <c r="F637" i="5"/>
  <c r="L637" i="5" s="1"/>
  <c r="M637" i="5" s="1"/>
  <c r="F621" i="5"/>
  <c r="L621" i="5" s="1"/>
  <c r="M621" i="5" s="1"/>
  <c r="F605" i="5"/>
  <c r="L605" i="5" s="1"/>
  <c r="M605" i="5" s="1"/>
  <c r="F589" i="5"/>
  <c r="L589" i="5" s="1"/>
  <c r="M589" i="5" s="1"/>
  <c r="F573" i="5"/>
  <c r="L573" i="5" s="1"/>
  <c r="M573" i="5" s="1"/>
  <c r="F557" i="5"/>
  <c r="L557" i="5" s="1"/>
  <c r="M557" i="5" s="1"/>
  <c r="F541" i="5"/>
  <c r="L541" i="5" s="1"/>
  <c r="M541" i="5" s="1"/>
  <c r="F525" i="5"/>
  <c r="L525" i="5" s="1"/>
  <c r="M525" i="5" s="1"/>
  <c r="F509" i="5"/>
  <c r="L509" i="5" s="1"/>
  <c r="M509" i="5" s="1"/>
  <c r="F493" i="5"/>
  <c r="L493" i="5" s="1"/>
  <c r="M493" i="5" s="1"/>
  <c r="F477" i="5"/>
  <c r="L477" i="5" s="1"/>
  <c r="M477" i="5" s="1"/>
  <c r="F461" i="5"/>
  <c r="L461" i="5" s="1"/>
  <c r="M461" i="5" s="1"/>
  <c r="F445" i="5"/>
  <c r="L445" i="5" s="1"/>
  <c r="M445" i="5" s="1"/>
  <c r="F429" i="5"/>
  <c r="L429" i="5" s="1"/>
  <c r="M429" i="5" s="1"/>
  <c r="F413" i="5"/>
  <c r="L413" i="5" s="1"/>
  <c r="M413" i="5" s="1"/>
  <c r="F397" i="5"/>
  <c r="L397" i="5" s="1"/>
  <c r="M397" i="5" s="1"/>
  <c r="F381" i="5"/>
  <c r="L381" i="5" s="1"/>
  <c r="M381" i="5" s="1"/>
  <c r="F365" i="5"/>
  <c r="L365" i="5" s="1"/>
  <c r="M365" i="5" s="1"/>
  <c r="F349" i="5"/>
  <c r="L349" i="5" s="1"/>
  <c r="M349" i="5" s="1"/>
  <c r="E278" i="5"/>
  <c r="J278" i="5" s="1"/>
  <c r="K278" i="5" s="1"/>
  <c r="F278" i="5"/>
  <c r="L278" i="5" s="1"/>
  <c r="M278" i="5" s="1"/>
  <c r="E270" i="5"/>
  <c r="F270" i="5"/>
  <c r="L270" i="5" s="1"/>
  <c r="M270" i="5" s="1"/>
  <c r="E250" i="5"/>
  <c r="J250" i="5" s="1"/>
  <c r="K250" i="5" s="1"/>
  <c r="F250" i="5"/>
  <c r="L250" i="5" s="1"/>
  <c r="M250" i="5" s="1"/>
  <c r="E230" i="5"/>
  <c r="F230" i="5"/>
  <c r="L230" i="5" s="1"/>
  <c r="M230" i="5" s="1"/>
  <c r="E218" i="5"/>
  <c r="J218" i="5" s="1"/>
  <c r="K218" i="5" s="1"/>
  <c r="F218" i="5"/>
  <c r="L218" i="5" s="1"/>
  <c r="M218" i="5" s="1"/>
  <c r="E206" i="5"/>
  <c r="F206" i="5"/>
  <c r="L206" i="5" s="1"/>
  <c r="M206" i="5" s="1"/>
  <c r="E194" i="5"/>
  <c r="J194" i="5" s="1"/>
  <c r="K194" i="5" s="1"/>
  <c r="F194" i="5"/>
  <c r="L194" i="5" s="1"/>
  <c r="M194" i="5" s="1"/>
  <c r="E182" i="5"/>
  <c r="F182" i="5"/>
  <c r="L182" i="5" s="1"/>
  <c r="M182" i="5" s="1"/>
  <c r="E162" i="5"/>
  <c r="J162" i="5" s="1"/>
  <c r="K162" i="5" s="1"/>
  <c r="F162" i="5"/>
  <c r="L162" i="5" s="1"/>
  <c r="M162" i="5" s="1"/>
  <c r="E150" i="5"/>
  <c r="F150" i="5"/>
  <c r="L150" i="5" s="1"/>
  <c r="M150" i="5" s="1"/>
  <c r="E138" i="5"/>
  <c r="J138" i="5" s="1"/>
  <c r="K138" i="5" s="1"/>
  <c r="F138" i="5"/>
  <c r="L138" i="5" s="1"/>
  <c r="M138" i="5" s="1"/>
  <c r="E126" i="5"/>
  <c r="F126" i="5"/>
  <c r="L126" i="5" s="1"/>
  <c r="M126" i="5" s="1"/>
  <c r="E114" i="5"/>
  <c r="J114" i="5" s="1"/>
  <c r="K114" i="5" s="1"/>
  <c r="F114" i="5"/>
  <c r="L114" i="5" s="1"/>
  <c r="M114" i="5" s="1"/>
  <c r="E102" i="5"/>
  <c r="F102" i="5"/>
  <c r="L102" i="5" s="1"/>
  <c r="M102" i="5" s="1"/>
  <c r="E86" i="5"/>
  <c r="J86" i="5" s="1"/>
  <c r="K86" i="5" s="1"/>
  <c r="F86" i="5"/>
  <c r="L86" i="5" s="1"/>
  <c r="M86" i="5" s="1"/>
  <c r="E70" i="5"/>
  <c r="F70" i="5"/>
  <c r="L70" i="5" s="1"/>
  <c r="M70" i="5" s="1"/>
  <c r="E54" i="5"/>
  <c r="J54" i="5" s="1"/>
  <c r="K54" i="5" s="1"/>
  <c r="F54" i="5"/>
  <c r="L54" i="5" s="1"/>
  <c r="M54" i="5" s="1"/>
  <c r="E30" i="5"/>
  <c r="F30" i="5"/>
  <c r="L30" i="5" s="1"/>
  <c r="M30" i="5" s="1"/>
  <c r="E10" i="5"/>
  <c r="J10" i="5" s="1"/>
  <c r="K10" i="5" s="1"/>
  <c r="F10" i="5"/>
  <c r="L10" i="5" s="1"/>
  <c r="M10" i="5" s="1"/>
  <c r="E655" i="5"/>
  <c r="F655" i="5"/>
  <c r="L655" i="5" s="1"/>
  <c r="M655" i="5" s="1"/>
  <c r="E651" i="5"/>
  <c r="J651" i="5" s="1"/>
  <c r="K651" i="5" s="1"/>
  <c r="F651" i="5"/>
  <c r="L651" i="5" s="1"/>
  <c r="M651" i="5" s="1"/>
  <c r="E647" i="5"/>
  <c r="F647" i="5"/>
  <c r="L647" i="5" s="1"/>
  <c r="M647" i="5" s="1"/>
  <c r="E643" i="5"/>
  <c r="J643" i="5" s="1"/>
  <c r="K643" i="5" s="1"/>
  <c r="F643" i="5"/>
  <c r="L643" i="5" s="1"/>
  <c r="M643" i="5" s="1"/>
  <c r="E639" i="5"/>
  <c r="F639" i="5"/>
  <c r="L639" i="5" s="1"/>
  <c r="M639" i="5" s="1"/>
  <c r="E635" i="5"/>
  <c r="J635" i="5" s="1"/>
  <c r="K635" i="5" s="1"/>
  <c r="F635" i="5"/>
  <c r="L635" i="5" s="1"/>
  <c r="M635" i="5" s="1"/>
  <c r="E631" i="5"/>
  <c r="F631" i="5"/>
  <c r="L631" i="5" s="1"/>
  <c r="M631" i="5" s="1"/>
  <c r="E627" i="5"/>
  <c r="J627" i="5" s="1"/>
  <c r="K627" i="5" s="1"/>
  <c r="F627" i="5"/>
  <c r="L627" i="5" s="1"/>
  <c r="M627" i="5" s="1"/>
  <c r="E623" i="5"/>
  <c r="F623" i="5"/>
  <c r="L623" i="5" s="1"/>
  <c r="M623" i="5" s="1"/>
  <c r="E619" i="5"/>
  <c r="J619" i="5" s="1"/>
  <c r="K619" i="5" s="1"/>
  <c r="F619" i="5"/>
  <c r="L619" i="5" s="1"/>
  <c r="M619" i="5" s="1"/>
  <c r="E615" i="5"/>
  <c r="F615" i="5"/>
  <c r="L615" i="5" s="1"/>
  <c r="M615" i="5" s="1"/>
  <c r="E611" i="5"/>
  <c r="J611" i="5" s="1"/>
  <c r="K611" i="5" s="1"/>
  <c r="F611" i="5"/>
  <c r="L611" i="5" s="1"/>
  <c r="M611" i="5" s="1"/>
  <c r="E607" i="5"/>
  <c r="F607" i="5"/>
  <c r="L607" i="5" s="1"/>
  <c r="M607" i="5" s="1"/>
  <c r="E603" i="5"/>
  <c r="J603" i="5" s="1"/>
  <c r="K603" i="5" s="1"/>
  <c r="F603" i="5"/>
  <c r="L603" i="5" s="1"/>
  <c r="M603" i="5" s="1"/>
  <c r="E599" i="5"/>
  <c r="F599" i="5"/>
  <c r="L599" i="5" s="1"/>
  <c r="M599" i="5" s="1"/>
  <c r="E591" i="5"/>
  <c r="J591" i="5" s="1"/>
  <c r="K591" i="5" s="1"/>
  <c r="F591" i="5"/>
  <c r="L591" i="5" s="1"/>
  <c r="M591" i="5" s="1"/>
  <c r="E587" i="5"/>
  <c r="F587" i="5"/>
  <c r="L587" i="5" s="1"/>
  <c r="M587" i="5" s="1"/>
  <c r="E583" i="5"/>
  <c r="J583" i="5" s="1"/>
  <c r="K583" i="5" s="1"/>
  <c r="F583" i="5"/>
  <c r="L583" i="5" s="1"/>
  <c r="M583" i="5" s="1"/>
  <c r="E579" i="5"/>
  <c r="F579" i="5"/>
  <c r="L579" i="5" s="1"/>
  <c r="M579" i="5" s="1"/>
  <c r="E575" i="5"/>
  <c r="J575" i="5" s="1"/>
  <c r="K575" i="5" s="1"/>
  <c r="F575" i="5"/>
  <c r="L575" i="5" s="1"/>
  <c r="M575" i="5" s="1"/>
  <c r="E571" i="5"/>
  <c r="F571" i="5"/>
  <c r="L571" i="5" s="1"/>
  <c r="M571" i="5" s="1"/>
  <c r="E567" i="5"/>
  <c r="J567" i="5" s="1"/>
  <c r="K567" i="5" s="1"/>
  <c r="F567" i="5"/>
  <c r="L567" i="5" s="1"/>
  <c r="M567" i="5" s="1"/>
  <c r="E563" i="5"/>
  <c r="F563" i="5"/>
  <c r="L563" i="5" s="1"/>
  <c r="M563" i="5" s="1"/>
  <c r="E559" i="5"/>
  <c r="J559" i="5" s="1"/>
  <c r="K559" i="5" s="1"/>
  <c r="F559" i="5"/>
  <c r="L559" i="5" s="1"/>
  <c r="M559" i="5" s="1"/>
  <c r="E555" i="5"/>
  <c r="F555" i="5"/>
  <c r="L555" i="5" s="1"/>
  <c r="M555" i="5" s="1"/>
  <c r="E551" i="5"/>
  <c r="J551" i="5" s="1"/>
  <c r="K551" i="5" s="1"/>
  <c r="F551" i="5"/>
  <c r="L551" i="5" s="1"/>
  <c r="M551" i="5" s="1"/>
  <c r="E547" i="5"/>
  <c r="F547" i="5"/>
  <c r="L547" i="5" s="1"/>
  <c r="M547" i="5" s="1"/>
  <c r="E543" i="5"/>
  <c r="J543" i="5" s="1"/>
  <c r="K543" i="5" s="1"/>
  <c r="F543" i="5"/>
  <c r="L543" i="5" s="1"/>
  <c r="M543" i="5" s="1"/>
  <c r="E539" i="5"/>
  <c r="F539" i="5"/>
  <c r="L539" i="5" s="1"/>
  <c r="M539" i="5" s="1"/>
  <c r="E535" i="5"/>
  <c r="J535" i="5" s="1"/>
  <c r="K535" i="5" s="1"/>
  <c r="F535" i="5"/>
  <c r="L535" i="5" s="1"/>
  <c r="M535" i="5" s="1"/>
  <c r="E527" i="5"/>
  <c r="F527" i="5"/>
  <c r="L527" i="5" s="1"/>
  <c r="M527" i="5" s="1"/>
  <c r="E523" i="5"/>
  <c r="J523" i="5" s="1"/>
  <c r="K523" i="5" s="1"/>
  <c r="F523" i="5"/>
  <c r="L523" i="5" s="1"/>
  <c r="M523" i="5" s="1"/>
  <c r="E519" i="5"/>
  <c r="F519" i="5"/>
  <c r="L519" i="5" s="1"/>
  <c r="M519" i="5" s="1"/>
  <c r="E515" i="5"/>
  <c r="J515" i="5" s="1"/>
  <c r="K515" i="5" s="1"/>
  <c r="F515" i="5"/>
  <c r="L515" i="5" s="1"/>
  <c r="M515" i="5" s="1"/>
  <c r="E511" i="5"/>
  <c r="F511" i="5"/>
  <c r="L511" i="5" s="1"/>
  <c r="M511" i="5" s="1"/>
  <c r="E507" i="5"/>
  <c r="J507" i="5" s="1"/>
  <c r="K507" i="5" s="1"/>
  <c r="F507" i="5"/>
  <c r="L507" i="5" s="1"/>
  <c r="M507" i="5" s="1"/>
  <c r="E503" i="5"/>
  <c r="F503" i="5"/>
  <c r="L503" i="5" s="1"/>
  <c r="M503" i="5" s="1"/>
  <c r="E499" i="5"/>
  <c r="J499" i="5" s="1"/>
  <c r="K499" i="5" s="1"/>
  <c r="F499" i="5"/>
  <c r="L499" i="5" s="1"/>
  <c r="M499" i="5" s="1"/>
  <c r="E495" i="5"/>
  <c r="F495" i="5"/>
  <c r="L495" i="5" s="1"/>
  <c r="M495" i="5" s="1"/>
  <c r="E491" i="5"/>
  <c r="J491" i="5" s="1"/>
  <c r="K491" i="5" s="1"/>
  <c r="F491" i="5"/>
  <c r="L491" i="5" s="1"/>
  <c r="M491" i="5" s="1"/>
  <c r="E487" i="5"/>
  <c r="F487" i="5"/>
  <c r="L487" i="5" s="1"/>
  <c r="M487" i="5" s="1"/>
  <c r="E483" i="5"/>
  <c r="J483" i="5" s="1"/>
  <c r="K483" i="5" s="1"/>
  <c r="F483" i="5"/>
  <c r="L483" i="5" s="1"/>
  <c r="M483" i="5" s="1"/>
  <c r="E479" i="5"/>
  <c r="F479" i="5"/>
  <c r="L479" i="5" s="1"/>
  <c r="M479" i="5" s="1"/>
  <c r="E475" i="5"/>
  <c r="J475" i="5" s="1"/>
  <c r="K475" i="5" s="1"/>
  <c r="F475" i="5"/>
  <c r="L475" i="5" s="1"/>
  <c r="M475" i="5" s="1"/>
  <c r="E471" i="5"/>
  <c r="F471" i="5"/>
  <c r="L471" i="5" s="1"/>
  <c r="M471" i="5" s="1"/>
  <c r="E463" i="5"/>
  <c r="J463" i="5" s="1"/>
  <c r="K463" i="5" s="1"/>
  <c r="F463" i="5"/>
  <c r="L463" i="5" s="1"/>
  <c r="M463" i="5" s="1"/>
  <c r="E459" i="5"/>
  <c r="F459" i="5"/>
  <c r="L459" i="5" s="1"/>
  <c r="M459" i="5" s="1"/>
  <c r="E455" i="5"/>
  <c r="J455" i="5" s="1"/>
  <c r="K455" i="5" s="1"/>
  <c r="F455" i="5"/>
  <c r="L455" i="5" s="1"/>
  <c r="M455" i="5" s="1"/>
  <c r="E451" i="5"/>
  <c r="F451" i="5"/>
  <c r="L451" i="5" s="1"/>
  <c r="M451" i="5" s="1"/>
  <c r="E447" i="5"/>
  <c r="J447" i="5" s="1"/>
  <c r="K447" i="5" s="1"/>
  <c r="F447" i="5"/>
  <c r="L447" i="5" s="1"/>
  <c r="M447" i="5" s="1"/>
  <c r="E443" i="5"/>
  <c r="F443" i="5"/>
  <c r="L443" i="5" s="1"/>
  <c r="M443" i="5" s="1"/>
  <c r="E439" i="5"/>
  <c r="J439" i="5" s="1"/>
  <c r="K439" i="5" s="1"/>
  <c r="F439" i="5"/>
  <c r="L439" i="5" s="1"/>
  <c r="M439" i="5" s="1"/>
  <c r="E435" i="5"/>
  <c r="F435" i="5"/>
  <c r="L435" i="5" s="1"/>
  <c r="M435" i="5" s="1"/>
  <c r="E431" i="5"/>
  <c r="J431" i="5" s="1"/>
  <c r="K431" i="5" s="1"/>
  <c r="F431" i="5"/>
  <c r="L431" i="5" s="1"/>
  <c r="M431" i="5" s="1"/>
  <c r="E427" i="5"/>
  <c r="F427" i="5"/>
  <c r="L427" i="5" s="1"/>
  <c r="M427" i="5" s="1"/>
  <c r="E423" i="5"/>
  <c r="J423" i="5" s="1"/>
  <c r="K423" i="5" s="1"/>
  <c r="F423" i="5"/>
  <c r="L423" i="5" s="1"/>
  <c r="M423" i="5" s="1"/>
  <c r="E419" i="5"/>
  <c r="F419" i="5"/>
  <c r="L419" i="5" s="1"/>
  <c r="M419" i="5" s="1"/>
  <c r="E415" i="5"/>
  <c r="J415" i="5" s="1"/>
  <c r="K415" i="5" s="1"/>
  <c r="F415" i="5"/>
  <c r="L415" i="5" s="1"/>
  <c r="M415" i="5" s="1"/>
  <c r="E411" i="5"/>
  <c r="F411" i="5"/>
  <c r="L411" i="5" s="1"/>
  <c r="M411" i="5" s="1"/>
  <c r="E407" i="5"/>
  <c r="J407" i="5" s="1"/>
  <c r="K407" i="5" s="1"/>
  <c r="F407" i="5"/>
  <c r="L407" i="5" s="1"/>
  <c r="M407" i="5" s="1"/>
  <c r="E399" i="5"/>
  <c r="F399" i="5"/>
  <c r="L399" i="5" s="1"/>
  <c r="M399" i="5" s="1"/>
  <c r="E395" i="5"/>
  <c r="J395" i="5" s="1"/>
  <c r="K395" i="5" s="1"/>
  <c r="F395" i="5"/>
  <c r="L395" i="5" s="1"/>
  <c r="M395" i="5" s="1"/>
  <c r="E391" i="5"/>
  <c r="F391" i="5"/>
  <c r="L391" i="5" s="1"/>
  <c r="M391" i="5" s="1"/>
  <c r="E387" i="5"/>
  <c r="J387" i="5" s="1"/>
  <c r="K387" i="5" s="1"/>
  <c r="F387" i="5"/>
  <c r="L387" i="5" s="1"/>
  <c r="M387" i="5" s="1"/>
  <c r="E383" i="5"/>
  <c r="F383" i="5"/>
  <c r="L383" i="5" s="1"/>
  <c r="M383" i="5" s="1"/>
  <c r="E379" i="5"/>
  <c r="J379" i="5" s="1"/>
  <c r="K379" i="5" s="1"/>
  <c r="F379" i="5"/>
  <c r="L379" i="5" s="1"/>
  <c r="M379" i="5" s="1"/>
  <c r="E375" i="5"/>
  <c r="F375" i="5"/>
  <c r="L375" i="5" s="1"/>
  <c r="M375" i="5" s="1"/>
  <c r="E371" i="5"/>
  <c r="J371" i="5" s="1"/>
  <c r="K371" i="5" s="1"/>
  <c r="F371" i="5"/>
  <c r="L371" i="5" s="1"/>
  <c r="M371" i="5" s="1"/>
  <c r="E367" i="5"/>
  <c r="F367" i="5"/>
  <c r="L367" i="5" s="1"/>
  <c r="M367" i="5" s="1"/>
  <c r="E363" i="5"/>
  <c r="J363" i="5" s="1"/>
  <c r="K363" i="5" s="1"/>
  <c r="F363" i="5"/>
  <c r="L363" i="5" s="1"/>
  <c r="M363" i="5" s="1"/>
  <c r="E359" i="5"/>
  <c r="F359" i="5"/>
  <c r="L359" i="5" s="1"/>
  <c r="M359" i="5" s="1"/>
  <c r="E355" i="5"/>
  <c r="J355" i="5" s="1"/>
  <c r="K355" i="5" s="1"/>
  <c r="F355" i="5"/>
  <c r="L355" i="5" s="1"/>
  <c r="M355" i="5" s="1"/>
  <c r="E351" i="5"/>
  <c r="F351" i="5"/>
  <c r="L351" i="5" s="1"/>
  <c r="M351" i="5" s="1"/>
  <c r="E347" i="5"/>
  <c r="J347" i="5" s="1"/>
  <c r="K347" i="5" s="1"/>
  <c r="F347" i="5"/>
  <c r="L347" i="5" s="1"/>
  <c r="M347" i="5" s="1"/>
  <c r="E343" i="5"/>
  <c r="F343" i="5"/>
  <c r="L343" i="5" s="1"/>
  <c r="M343" i="5" s="1"/>
  <c r="E339" i="5"/>
  <c r="J339" i="5" s="1"/>
  <c r="K339" i="5" s="1"/>
  <c r="F339" i="5"/>
  <c r="L339" i="5" s="1"/>
  <c r="M339" i="5" s="1"/>
  <c r="E335" i="5"/>
  <c r="F335" i="5"/>
  <c r="L335" i="5" s="1"/>
  <c r="M335" i="5" s="1"/>
  <c r="E331" i="5"/>
  <c r="J331" i="5" s="1"/>
  <c r="K331" i="5" s="1"/>
  <c r="F331" i="5"/>
  <c r="L331" i="5" s="1"/>
  <c r="M331" i="5" s="1"/>
  <c r="E327" i="5"/>
  <c r="F327" i="5"/>
  <c r="L327" i="5" s="1"/>
  <c r="M327" i="5" s="1"/>
  <c r="E323" i="5"/>
  <c r="J323" i="5" s="1"/>
  <c r="K323" i="5" s="1"/>
  <c r="F323" i="5"/>
  <c r="L323" i="5" s="1"/>
  <c r="M323" i="5" s="1"/>
  <c r="E319" i="5"/>
  <c r="F319" i="5"/>
  <c r="L319" i="5" s="1"/>
  <c r="M319" i="5" s="1"/>
  <c r="E315" i="5"/>
  <c r="J315" i="5" s="1"/>
  <c r="K315" i="5" s="1"/>
  <c r="F315" i="5"/>
  <c r="L315" i="5" s="1"/>
  <c r="M315" i="5" s="1"/>
  <c r="E311" i="5"/>
  <c r="F311" i="5"/>
  <c r="L311" i="5" s="1"/>
  <c r="M311" i="5" s="1"/>
  <c r="E307" i="5"/>
  <c r="J307" i="5" s="1"/>
  <c r="K307" i="5" s="1"/>
  <c r="F307" i="5"/>
  <c r="L307" i="5" s="1"/>
  <c r="M307" i="5" s="1"/>
  <c r="E303" i="5"/>
  <c r="F303" i="5"/>
  <c r="L303" i="5" s="1"/>
  <c r="M303" i="5" s="1"/>
  <c r="E299" i="5"/>
  <c r="J299" i="5" s="1"/>
  <c r="K299" i="5" s="1"/>
  <c r="F299" i="5"/>
  <c r="L299" i="5" s="1"/>
  <c r="M299" i="5" s="1"/>
  <c r="E295" i="5"/>
  <c r="F295" i="5"/>
  <c r="L295" i="5" s="1"/>
  <c r="M295" i="5" s="1"/>
  <c r="E291" i="5"/>
  <c r="J291" i="5" s="1"/>
  <c r="K291" i="5" s="1"/>
  <c r="F291" i="5"/>
  <c r="L291" i="5" s="1"/>
  <c r="M291" i="5" s="1"/>
  <c r="E287" i="5"/>
  <c r="F287" i="5"/>
  <c r="L287" i="5" s="1"/>
  <c r="M287" i="5" s="1"/>
  <c r="E283" i="5"/>
  <c r="J283" i="5" s="1"/>
  <c r="K283" i="5" s="1"/>
  <c r="F283" i="5"/>
  <c r="L283" i="5" s="1"/>
  <c r="M283" i="5" s="1"/>
  <c r="E279" i="5"/>
  <c r="F279" i="5"/>
  <c r="L279" i="5" s="1"/>
  <c r="M279" i="5" s="1"/>
  <c r="E275" i="5"/>
  <c r="J275" i="5" s="1"/>
  <c r="K275" i="5" s="1"/>
  <c r="F275" i="5"/>
  <c r="L275" i="5" s="1"/>
  <c r="M275" i="5" s="1"/>
  <c r="E271" i="5"/>
  <c r="F271" i="5"/>
  <c r="L271" i="5" s="1"/>
  <c r="M271" i="5" s="1"/>
  <c r="E267" i="5"/>
  <c r="J267" i="5" s="1"/>
  <c r="K267" i="5" s="1"/>
  <c r="F267" i="5"/>
  <c r="L267" i="5" s="1"/>
  <c r="M267" i="5" s="1"/>
  <c r="E263" i="5"/>
  <c r="F263" i="5"/>
  <c r="L263" i="5" s="1"/>
  <c r="M263" i="5" s="1"/>
  <c r="E259" i="5"/>
  <c r="J259" i="5" s="1"/>
  <c r="K259" i="5" s="1"/>
  <c r="F259" i="5"/>
  <c r="L259" i="5" s="1"/>
  <c r="M259" i="5" s="1"/>
  <c r="E255" i="5"/>
  <c r="F255" i="5"/>
  <c r="L255" i="5" s="1"/>
  <c r="M255" i="5" s="1"/>
  <c r="E251" i="5"/>
  <c r="J251" i="5" s="1"/>
  <c r="K251" i="5" s="1"/>
  <c r="F251" i="5"/>
  <c r="L251" i="5" s="1"/>
  <c r="M251" i="5" s="1"/>
  <c r="E247" i="5"/>
  <c r="F247" i="5"/>
  <c r="L247" i="5" s="1"/>
  <c r="M247" i="5" s="1"/>
  <c r="E243" i="5"/>
  <c r="J243" i="5" s="1"/>
  <c r="K243" i="5" s="1"/>
  <c r="F243" i="5"/>
  <c r="L243" i="5" s="1"/>
  <c r="M243" i="5" s="1"/>
  <c r="E239" i="5"/>
  <c r="F239" i="5"/>
  <c r="L239" i="5" s="1"/>
  <c r="M239" i="5" s="1"/>
  <c r="E235" i="5"/>
  <c r="J235" i="5" s="1"/>
  <c r="K235" i="5" s="1"/>
  <c r="F235" i="5"/>
  <c r="L235" i="5" s="1"/>
  <c r="M235" i="5" s="1"/>
  <c r="E231" i="5"/>
  <c r="F231" i="5"/>
  <c r="L231" i="5" s="1"/>
  <c r="M231" i="5" s="1"/>
  <c r="E227" i="5"/>
  <c r="J227" i="5" s="1"/>
  <c r="K227" i="5" s="1"/>
  <c r="F227" i="5"/>
  <c r="L227" i="5" s="1"/>
  <c r="M227" i="5" s="1"/>
  <c r="E223" i="5"/>
  <c r="F223" i="5"/>
  <c r="L223" i="5" s="1"/>
  <c r="M223" i="5" s="1"/>
  <c r="E219" i="5"/>
  <c r="J219" i="5" s="1"/>
  <c r="K219" i="5" s="1"/>
  <c r="F219" i="5"/>
  <c r="L219" i="5" s="1"/>
  <c r="M219" i="5" s="1"/>
  <c r="E215" i="5"/>
  <c r="F215" i="5"/>
  <c r="L215" i="5" s="1"/>
  <c r="M215" i="5" s="1"/>
  <c r="E211" i="5"/>
  <c r="J211" i="5" s="1"/>
  <c r="K211" i="5" s="1"/>
  <c r="F211" i="5"/>
  <c r="L211" i="5" s="1"/>
  <c r="M211" i="5" s="1"/>
  <c r="E207" i="5"/>
  <c r="F207" i="5"/>
  <c r="L207" i="5" s="1"/>
  <c r="M207" i="5" s="1"/>
  <c r="E203" i="5"/>
  <c r="J203" i="5" s="1"/>
  <c r="K203" i="5" s="1"/>
  <c r="F203" i="5"/>
  <c r="L203" i="5" s="1"/>
  <c r="M203" i="5" s="1"/>
  <c r="E199" i="5"/>
  <c r="F199" i="5"/>
  <c r="L199" i="5" s="1"/>
  <c r="M199" i="5" s="1"/>
  <c r="E195" i="5"/>
  <c r="J195" i="5" s="1"/>
  <c r="K195" i="5" s="1"/>
  <c r="F195" i="5"/>
  <c r="L195" i="5" s="1"/>
  <c r="M195" i="5" s="1"/>
  <c r="E191" i="5"/>
  <c r="F191" i="5"/>
  <c r="L191" i="5" s="1"/>
  <c r="M191" i="5" s="1"/>
  <c r="E187" i="5"/>
  <c r="J187" i="5" s="1"/>
  <c r="K187" i="5" s="1"/>
  <c r="F187" i="5"/>
  <c r="L187" i="5" s="1"/>
  <c r="M187" i="5" s="1"/>
  <c r="E183" i="5"/>
  <c r="F183" i="5"/>
  <c r="L183" i="5" s="1"/>
  <c r="M183" i="5" s="1"/>
  <c r="E179" i="5"/>
  <c r="J179" i="5" s="1"/>
  <c r="K179" i="5" s="1"/>
  <c r="F179" i="5"/>
  <c r="L179" i="5" s="1"/>
  <c r="M179" i="5" s="1"/>
  <c r="E175" i="5"/>
  <c r="F175" i="5"/>
  <c r="L175" i="5" s="1"/>
  <c r="M175" i="5" s="1"/>
  <c r="E171" i="5"/>
  <c r="J171" i="5" s="1"/>
  <c r="K171" i="5" s="1"/>
  <c r="F171" i="5"/>
  <c r="L171" i="5" s="1"/>
  <c r="M171" i="5" s="1"/>
  <c r="E167" i="5"/>
  <c r="F167" i="5"/>
  <c r="L167" i="5" s="1"/>
  <c r="M167" i="5" s="1"/>
  <c r="E163" i="5"/>
  <c r="J163" i="5" s="1"/>
  <c r="K163" i="5" s="1"/>
  <c r="F163" i="5"/>
  <c r="L163" i="5" s="1"/>
  <c r="M163" i="5" s="1"/>
  <c r="E159" i="5"/>
  <c r="F159" i="5"/>
  <c r="L159" i="5" s="1"/>
  <c r="M159" i="5" s="1"/>
  <c r="E155" i="5"/>
  <c r="J155" i="5" s="1"/>
  <c r="K155" i="5" s="1"/>
  <c r="F155" i="5"/>
  <c r="L155" i="5" s="1"/>
  <c r="M155" i="5" s="1"/>
  <c r="E151" i="5"/>
  <c r="F151" i="5"/>
  <c r="L151" i="5" s="1"/>
  <c r="M151" i="5" s="1"/>
  <c r="E147" i="5"/>
  <c r="J147" i="5" s="1"/>
  <c r="K147" i="5" s="1"/>
  <c r="F147" i="5"/>
  <c r="L147" i="5" s="1"/>
  <c r="M147" i="5" s="1"/>
  <c r="E143" i="5"/>
  <c r="F143" i="5"/>
  <c r="L143" i="5" s="1"/>
  <c r="M143" i="5" s="1"/>
  <c r="E139" i="5"/>
  <c r="J139" i="5" s="1"/>
  <c r="K139" i="5" s="1"/>
  <c r="F139" i="5"/>
  <c r="L139" i="5" s="1"/>
  <c r="M139" i="5" s="1"/>
  <c r="E135" i="5"/>
  <c r="F135" i="5"/>
  <c r="L135" i="5" s="1"/>
  <c r="M135" i="5" s="1"/>
  <c r="E131" i="5"/>
  <c r="J131" i="5" s="1"/>
  <c r="K131" i="5" s="1"/>
  <c r="F131" i="5"/>
  <c r="L131" i="5" s="1"/>
  <c r="M131" i="5" s="1"/>
  <c r="E127" i="5"/>
  <c r="F127" i="5"/>
  <c r="L127" i="5" s="1"/>
  <c r="M127" i="5" s="1"/>
  <c r="E123" i="5"/>
  <c r="J123" i="5" s="1"/>
  <c r="K123" i="5" s="1"/>
  <c r="F123" i="5"/>
  <c r="L123" i="5" s="1"/>
  <c r="M123" i="5" s="1"/>
  <c r="E119" i="5"/>
  <c r="F119" i="5"/>
  <c r="L119" i="5" s="1"/>
  <c r="M119" i="5" s="1"/>
  <c r="E115" i="5"/>
  <c r="J115" i="5" s="1"/>
  <c r="K115" i="5" s="1"/>
  <c r="F115" i="5"/>
  <c r="L115" i="5" s="1"/>
  <c r="M115" i="5" s="1"/>
  <c r="E111" i="5"/>
  <c r="F111" i="5"/>
  <c r="L111" i="5" s="1"/>
  <c r="M111" i="5" s="1"/>
  <c r="E107" i="5"/>
  <c r="J107" i="5" s="1"/>
  <c r="K107" i="5" s="1"/>
  <c r="F107" i="5"/>
  <c r="L107" i="5" s="1"/>
  <c r="M107" i="5" s="1"/>
  <c r="E103" i="5"/>
  <c r="F103" i="5"/>
  <c r="L103" i="5" s="1"/>
  <c r="M103" i="5" s="1"/>
  <c r="E99" i="5"/>
  <c r="J99" i="5" s="1"/>
  <c r="K99" i="5" s="1"/>
  <c r="F99" i="5"/>
  <c r="L99" i="5" s="1"/>
  <c r="M99" i="5" s="1"/>
  <c r="E95" i="5"/>
  <c r="F95" i="5"/>
  <c r="L95" i="5" s="1"/>
  <c r="M95" i="5" s="1"/>
  <c r="E91" i="5"/>
  <c r="J91" i="5" s="1"/>
  <c r="K91" i="5" s="1"/>
  <c r="F91" i="5"/>
  <c r="L91" i="5" s="1"/>
  <c r="M91" i="5" s="1"/>
  <c r="E87" i="5"/>
  <c r="F87" i="5"/>
  <c r="L87" i="5" s="1"/>
  <c r="M87" i="5" s="1"/>
  <c r="E83" i="5"/>
  <c r="J83" i="5" s="1"/>
  <c r="K83" i="5" s="1"/>
  <c r="F83" i="5"/>
  <c r="L83" i="5" s="1"/>
  <c r="M83" i="5" s="1"/>
  <c r="E79" i="5"/>
  <c r="F79" i="5"/>
  <c r="L79" i="5" s="1"/>
  <c r="M79" i="5" s="1"/>
  <c r="E75" i="5"/>
  <c r="J75" i="5" s="1"/>
  <c r="K75" i="5" s="1"/>
  <c r="F75" i="5"/>
  <c r="L75" i="5" s="1"/>
  <c r="M75" i="5" s="1"/>
  <c r="E71" i="5"/>
  <c r="F71" i="5"/>
  <c r="L71" i="5" s="1"/>
  <c r="M71" i="5" s="1"/>
  <c r="E67" i="5"/>
  <c r="J67" i="5" s="1"/>
  <c r="K67" i="5" s="1"/>
  <c r="F67" i="5"/>
  <c r="L67" i="5" s="1"/>
  <c r="M67" i="5" s="1"/>
  <c r="E63" i="5"/>
  <c r="F63" i="5"/>
  <c r="L63" i="5" s="1"/>
  <c r="M63" i="5" s="1"/>
  <c r="E59" i="5"/>
  <c r="J59" i="5" s="1"/>
  <c r="K59" i="5" s="1"/>
  <c r="F59" i="5"/>
  <c r="L59" i="5" s="1"/>
  <c r="M59" i="5" s="1"/>
  <c r="E55" i="5"/>
  <c r="F55" i="5"/>
  <c r="L55" i="5" s="1"/>
  <c r="M55" i="5" s="1"/>
  <c r="E51" i="5"/>
  <c r="J51" i="5" s="1"/>
  <c r="K51" i="5" s="1"/>
  <c r="F51" i="5"/>
  <c r="L51" i="5" s="1"/>
  <c r="M51" i="5" s="1"/>
  <c r="E47" i="5"/>
  <c r="F47" i="5"/>
  <c r="L47" i="5" s="1"/>
  <c r="M47" i="5" s="1"/>
  <c r="E43" i="5"/>
  <c r="J43" i="5" s="1"/>
  <c r="K43" i="5" s="1"/>
  <c r="F43" i="5"/>
  <c r="L43" i="5" s="1"/>
  <c r="M43" i="5" s="1"/>
  <c r="E39" i="5"/>
  <c r="F39" i="5"/>
  <c r="L39" i="5" s="1"/>
  <c r="M39" i="5" s="1"/>
  <c r="E35" i="5"/>
  <c r="J35" i="5" s="1"/>
  <c r="K35" i="5" s="1"/>
  <c r="F35" i="5"/>
  <c r="L35" i="5" s="1"/>
  <c r="M35" i="5" s="1"/>
  <c r="E31" i="5"/>
  <c r="F31" i="5"/>
  <c r="L31" i="5" s="1"/>
  <c r="M31" i="5" s="1"/>
  <c r="E27" i="5"/>
  <c r="J27" i="5" s="1"/>
  <c r="K27" i="5" s="1"/>
  <c r="F27" i="5"/>
  <c r="L27" i="5" s="1"/>
  <c r="M27" i="5" s="1"/>
  <c r="E23" i="5"/>
  <c r="F23" i="5"/>
  <c r="L23" i="5" s="1"/>
  <c r="M23" i="5" s="1"/>
  <c r="E19" i="5"/>
  <c r="J19" i="5" s="1"/>
  <c r="K19" i="5" s="1"/>
  <c r="F19" i="5"/>
  <c r="L19" i="5" s="1"/>
  <c r="M19" i="5" s="1"/>
  <c r="E15" i="5"/>
  <c r="F15" i="5"/>
  <c r="L15" i="5" s="1"/>
  <c r="M15" i="5" s="1"/>
  <c r="E11" i="5"/>
  <c r="J11" i="5" s="1"/>
  <c r="K11" i="5" s="1"/>
  <c r="F11" i="5"/>
  <c r="L11" i="5" s="1"/>
  <c r="M11" i="5" s="1"/>
  <c r="E7" i="5"/>
  <c r="F7" i="5"/>
  <c r="L7" i="5" s="1"/>
  <c r="M7" i="5" s="1"/>
  <c r="E3" i="5"/>
  <c r="J3" i="5" s="1"/>
  <c r="K3" i="5" s="1"/>
  <c r="F3" i="5"/>
  <c r="L3" i="5" s="1"/>
  <c r="M3" i="5" s="1"/>
  <c r="E531" i="5"/>
  <c r="F1001" i="5"/>
  <c r="L1001" i="5" s="1"/>
  <c r="M1001" i="5" s="1"/>
  <c r="F997" i="5"/>
  <c r="L997" i="5" s="1"/>
  <c r="M997" i="5" s="1"/>
  <c r="F993" i="5"/>
  <c r="L993" i="5" s="1"/>
  <c r="M993" i="5" s="1"/>
  <c r="F989" i="5"/>
  <c r="L989" i="5" s="1"/>
  <c r="M989" i="5" s="1"/>
  <c r="F985" i="5"/>
  <c r="L985" i="5" s="1"/>
  <c r="M985" i="5" s="1"/>
  <c r="F981" i="5"/>
  <c r="L981" i="5" s="1"/>
  <c r="M981" i="5" s="1"/>
  <c r="F977" i="5"/>
  <c r="L977" i="5" s="1"/>
  <c r="M977" i="5" s="1"/>
  <c r="F973" i="5"/>
  <c r="L973" i="5" s="1"/>
  <c r="M973" i="5" s="1"/>
  <c r="F969" i="5"/>
  <c r="L969" i="5" s="1"/>
  <c r="M969" i="5" s="1"/>
  <c r="F965" i="5"/>
  <c r="L965" i="5" s="1"/>
  <c r="M965" i="5" s="1"/>
  <c r="F961" i="5"/>
  <c r="L961" i="5" s="1"/>
  <c r="M961" i="5" s="1"/>
  <c r="F957" i="5"/>
  <c r="L957" i="5" s="1"/>
  <c r="M957" i="5" s="1"/>
  <c r="F953" i="5"/>
  <c r="L953" i="5" s="1"/>
  <c r="M953" i="5" s="1"/>
  <c r="F949" i="5"/>
  <c r="L949" i="5" s="1"/>
  <c r="M949" i="5" s="1"/>
  <c r="F945" i="5"/>
  <c r="L945" i="5" s="1"/>
  <c r="M945" i="5" s="1"/>
  <c r="F941" i="5"/>
  <c r="L941" i="5" s="1"/>
  <c r="M941" i="5" s="1"/>
  <c r="F937" i="5"/>
  <c r="L937" i="5" s="1"/>
  <c r="M937" i="5" s="1"/>
  <c r="F933" i="5"/>
  <c r="L933" i="5" s="1"/>
  <c r="M933" i="5" s="1"/>
  <c r="F929" i="5"/>
  <c r="L929" i="5" s="1"/>
  <c r="M929" i="5" s="1"/>
  <c r="F925" i="5"/>
  <c r="L925" i="5" s="1"/>
  <c r="M925" i="5" s="1"/>
  <c r="F921" i="5"/>
  <c r="L921" i="5" s="1"/>
  <c r="M921" i="5" s="1"/>
  <c r="F917" i="5"/>
  <c r="L917" i="5" s="1"/>
  <c r="M917" i="5" s="1"/>
  <c r="F913" i="5"/>
  <c r="L913" i="5" s="1"/>
  <c r="M913" i="5" s="1"/>
  <c r="F909" i="5"/>
  <c r="L909" i="5" s="1"/>
  <c r="M909" i="5" s="1"/>
  <c r="F905" i="5"/>
  <c r="L905" i="5" s="1"/>
  <c r="M905" i="5" s="1"/>
  <c r="F901" i="5"/>
  <c r="L901" i="5" s="1"/>
  <c r="M901" i="5" s="1"/>
  <c r="F897" i="5"/>
  <c r="L897" i="5" s="1"/>
  <c r="M897" i="5" s="1"/>
  <c r="F893" i="5"/>
  <c r="L893" i="5" s="1"/>
  <c r="M893" i="5" s="1"/>
  <c r="F889" i="5"/>
  <c r="L889" i="5" s="1"/>
  <c r="M889" i="5" s="1"/>
  <c r="F885" i="5"/>
  <c r="L885" i="5" s="1"/>
  <c r="M885" i="5" s="1"/>
  <c r="F881" i="5"/>
  <c r="L881" i="5" s="1"/>
  <c r="M881" i="5" s="1"/>
  <c r="F877" i="5"/>
  <c r="L877" i="5" s="1"/>
  <c r="M877" i="5" s="1"/>
  <c r="F873" i="5"/>
  <c r="L873" i="5" s="1"/>
  <c r="M873" i="5" s="1"/>
  <c r="F869" i="5"/>
  <c r="L869" i="5" s="1"/>
  <c r="M869" i="5" s="1"/>
  <c r="F865" i="5"/>
  <c r="L865" i="5" s="1"/>
  <c r="M865" i="5" s="1"/>
  <c r="F861" i="5"/>
  <c r="L861" i="5" s="1"/>
  <c r="M861" i="5" s="1"/>
  <c r="F857" i="5"/>
  <c r="L857" i="5" s="1"/>
  <c r="M857" i="5" s="1"/>
  <c r="F853" i="5"/>
  <c r="L853" i="5" s="1"/>
  <c r="M853" i="5" s="1"/>
  <c r="F849" i="5"/>
  <c r="L849" i="5" s="1"/>
  <c r="M849" i="5" s="1"/>
  <c r="F845" i="5"/>
  <c r="L845" i="5" s="1"/>
  <c r="M845" i="5" s="1"/>
  <c r="F841" i="5"/>
  <c r="L841" i="5" s="1"/>
  <c r="M841" i="5" s="1"/>
  <c r="F837" i="5"/>
  <c r="L837" i="5" s="1"/>
  <c r="M837" i="5" s="1"/>
  <c r="F833" i="5"/>
  <c r="L833" i="5" s="1"/>
  <c r="M833" i="5" s="1"/>
  <c r="F829" i="5"/>
  <c r="L829" i="5" s="1"/>
  <c r="M829" i="5" s="1"/>
  <c r="F825" i="5"/>
  <c r="L825" i="5" s="1"/>
  <c r="M825" i="5" s="1"/>
  <c r="F821" i="5"/>
  <c r="L821" i="5" s="1"/>
  <c r="M821" i="5" s="1"/>
  <c r="F817" i="5"/>
  <c r="L817" i="5" s="1"/>
  <c r="M817" i="5" s="1"/>
  <c r="F813" i="5"/>
  <c r="L813" i="5" s="1"/>
  <c r="M813" i="5" s="1"/>
  <c r="F809" i="5"/>
  <c r="L809" i="5" s="1"/>
  <c r="M809" i="5" s="1"/>
  <c r="F805" i="5"/>
  <c r="L805" i="5" s="1"/>
  <c r="M805" i="5" s="1"/>
  <c r="F801" i="5"/>
  <c r="L801" i="5" s="1"/>
  <c r="M801" i="5" s="1"/>
  <c r="F797" i="5"/>
  <c r="L797" i="5" s="1"/>
  <c r="M797" i="5" s="1"/>
  <c r="F793" i="5"/>
  <c r="L793" i="5" s="1"/>
  <c r="M793" i="5" s="1"/>
  <c r="F789" i="5"/>
  <c r="L789" i="5" s="1"/>
  <c r="M789" i="5" s="1"/>
  <c r="F785" i="5"/>
  <c r="L785" i="5" s="1"/>
  <c r="M785" i="5" s="1"/>
  <c r="F781" i="5"/>
  <c r="L781" i="5" s="1"/>
  <c r="M781" i="5" s="1"/>
  <c r="F777" i="5"/>
  <c r="L777" i="5" s="1"/>
  <c r="M777" i="5" s="1"/>
  <c r="F773" i="5"/>
  <c r="L773" i="5" s="1"/>
  <c r="M773" i="5" s="1"/>
  <c r="F769" i="5"/>
  <c r="L769" i="5" s="1"/>
  <c r="M769" i="5" s="1"/>
  <c r="F765" i="5"/>
  <c r="L765" i="5" s="1"/>
  <c r="M765" i="5" s="1"/>
  <c r="F761" i="5"/>
  <c r="L761" i="5" s="1"/>
  <c r="M761" i="5" s="1"/>
  <c r="F757" i="5"/>
  <c r="L757" i="5" s="1"/>
  <c r="M757" i="5" s="1"/>
  <c r="F753" i="5"/>
  <c r="L753" i="5" s="1"/>
  <c r="M753" i="5" s="1"/>
  <c r="F749" i="5"/>
  <c r="L749" i="5" s="1"/>
  <c r="M749" i="5" s="1"/>
  <c r="F745" i="5"/>
  <c r="L745" i="5" s="1"/>
  <c r="M745" i="5" s="1"/>
  <c r="F741" i="5"/>
  <c r="F737" i="5"/>
  <c r="L737" i="5" s="1"/>
  <c r="M737" i="5" s="1"/>
  <c r="F733" i="5"/>
  <c r="L733" i="5" s="1"/>
  <c r="M733" i="5" s="1"/>
  <c r="F729" i="5"/>
  <c r="L729" i="5" s="1"/>
  <c r="M729" i="5" s="1"/>
  <c r="F725" i="5"/>
  <c r="L725" i="5" s="1"/>
  <c r="M725" i="5" s="1"/>
  <c r="F721" i="5"/>
  <c r="L721" i="5" s="1"/>
  <c r="M721" i="5" s="1"/>
  <c r="F717" i="5"/>
  <c r="L717" i="5" s="1"/>
  <c r="M717" i="5" s="1"/>
  <c r="F713" i="5"/>
  <c r="L713" i="5" s="1"/>
  <c r="M713" i="5" s="1"/>
  <c r="F709" i="5"/>
  <c r="F705" i="5"/>
  <c r="L705" i="5" s="1"/>
  <c r="M705" i="5" s="1"/>
  <c r="F701" i="5"/>
  <c r="L701" i="5" s="1"/>
  <c r="M701" i="5" s="1"/>
  <c r="F697" i="5"/>
  <c r="L697" i="5" s="1"/>
  <c r="M697" i="5" s="1"/>
  <c r="F693" i="5"/>
  <c r="L693" i="5" s="1"/>
  <c r="M693" i="5" s="1"/>
  <c r="F689" i="5"/>
  <c r="L689" i="5" s="1"/>
  <c r="M689" i="5" s="1"/>
  <c r="F684" i="5"/>
  <c r="L684" i="5" s="1"/>
  <c r="M684" i="5" s="1"/>
  <c r="F677" i="5"/>
  <c r="F669" i="5"/>
  <c r="L669" i="5" s="1"/>
  <c r="M669" i="5" s="1"/>
  <c r="F661" i="5"/>
  <c r="L661" i="5" s="1"/>
  <c r="M661" i="5" s="1"/>
  <c r="F649" i="5"/>
  <c r="L649" i="5" s="1"/>
  <c r="M649" i="5" s="1"/>
  <c r="F633" i="5"/>
  <c r="L633" i="5" s="1"/>
  <c r="M633" i="5" s="1"/>
  <c r="F617" i="5"/>
  <c r="L617" i="5" s="1"/>
  <c r="M617" i="5" s="1"/>
  <c r="F601" i="5"/>
  <c r="F585" i="5"/>
  <c r="L585" i="5" s="1"/>
  <c r="M585" i="5" s="1"/>
  <c r="F569" i="5"/>
  <c r="L569" i="5" s="1"/>
  <c r="M569" i="5" s="1"/>
  <c r="F553" i="5"/>
  <c r="L553" i="5" s="1"/>
  <c r="M553" i="5" s="1"/>
  <c r="F537" i="5"/>
  <c r="F521" i="5"/>
  <c r="L521" i="5" s="1"/>
  <c r="M521" i="5" s="1"/>
  <c r="F505" i="5"/>
  <c r="L505" i="5" s="1"/>
  <c r="M505" i="5" s="1"/>
  <c r="F489" i="5"/>
  <c r="L489" i="5" s="1"/>
  <c r="M489" i="5" s="1"/>
  <c r="F473" i="5"/>
  <c r="L473" i="5" s="1"/>
  <c r="M473" i="5" s="1"/>
  <c r="F457" i="5"/>
  <c r="L457" i="5" s="1"/>
  <c r="M457" i="5" s="1"/>
  <c r="F441" i="5"/>
  <c r="L441" i="5" s="1"/>
  <c r="M441" i="5" s="1"/>
  <c r="F425" i="5"/>
  <c r="L425" i="5" s="1"/>
  <c r="M425" i="5" s="1"/>
  <c r="F409" i="5"/>
  <c r="L409" i="5" s="1"/>
  <c r="M409" i="5" s="1"/>
  <c r="F393" i="5"/>
  <c r="L393" i="5" s="1"/>
  <c r="M393" i="5" s="1"/>
  <c r="F377" i="5"/>
  <c r="L377" i="5" s="1"/>
  <c r="M377" i="5" s="1"/>
  <c r="F361" i="5"/>
  <c r="L361" i="5" s="1"/>
  <c r="M361" i="5" s="1"/>
  <c r="F345" i="5"/>
  <c r="L345" i="5" s="1"/>
  <c r="M345" i="5" s="1"/>
  <c r="C4" i="3"/>
  <c r="C5" i="3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C6" i="3" a="1"/>
  <c r="C2" i="3" a="1"/>
  <c r="O12" i="9" l="1"/>
  <c r="P10" i="9"/>
  <c r="O11" i="9"/>
  <c r="P9" i="9"/>
  <c r="J4" i="9"/>
  <c r="L5" i="9"/>
  <c r="M5" i="9" s="1"/>
  <c r="G6" i="9"/>
  <c r="I5" i="9"/>
  <c r="H6" i="9"/>
  <c r="G5" i="9"/>
  <c r="E7" i="9"/>
  <c r="F7" i="9"/>
  <c r="C5" i="9"/>
  <c r="D5" i="9" s="1"/>
  <c r="B6" i="9"/>
  <c r="I601" i="5"/>
  <c r="L601" i="5"/>
  <c r="M601" i="5" s="1"/>
  <c r="I852" i="5"/>
  <c r="L852" i="5"/>
  <c r="M852" i="5" s="1"/>
  <c r="I916" i="5"/>
  <c r="L916" i="5"/>
  <c r="M916" i="5" s="1"/>
  <c r="I980" i="5"/>
  <c r="L980" i="5"/>
  <c r="M980" i="5" s="1"/>
  <c r="I768" i="5"/>
  <c r="L768" i="5"/>
  <c r="M768" i="5" s="1"/>
  <c r="I685" i="5"/>
  <c r="L685" i="5"/>
  <c r="M685" i="5" s="1"/>
  <c r="I593" i="5"/>
  <c r="L593" i="5"/>
  <c r="M593" i="5" s="1"/>
  <c r="I703" i="5"/>
  <c r="L703" i="5"/>
  <c r="M703" i="5" s="1"/>
  <c r="I751" i="5"/>
  <c r="L751" i="5"/>
  <c r="M751" i="5" s="1"/>
  <c r="I740" i="5"/>
  <c r="L740" i="5"/>
  <c r="M740" i="5" s="1"/>
  <c r="I868" i="5"/>
  <c r="L868" i="5"/>
  <c r="M868" i="5" s="1"/>
  <c r="I932" i="5"/>
  <c r="L932" i="5"/>
  <c r="M932" i="5" s="1"/>
  <c r="I996" i="5"/>
  <c r="L996" i="5"/>
  <c r="M996" i="5" s="1"/>
  <c r="I683" i="5"/>
  <c r="L683" i="5"/>
  <c r="M683" i="5" s="1"/>
  <c r="I748" i="5"/>
  <c r="L748" i="5"/>
  <c r="M748" i="5" s="1"/>
  <c r="I707" i="5"/>
  <c r="I537" i="5"/>
  <c r="L537" i="5"/>
  <c r="M537" i="5" s="1"/>
  <c r="I741" i="5"/>
  <c r="L741" i="5"/>
  <c r="M741" i="5" s="1"/>
  <c r="I663" i="5"/>
  <c r="L663" i="5"/>
  <c r="M663" i="5" s="1"/>
  <c r="I891" i="5"/>
  <c r="L891" i="5"/>
  <c r="M891" i="5" s="1"/>
  <c r="I756" i="5"/>
  <c r="L756" i="5"/>
  <c r="M756" i="5" s="1"/>
  <c r="I800" i="5"/>
  <c r="L800" i="5"/>
  <c r="M800" i="5" s="1"/>
  <c r="I709" i="5"/>
  <c r="L709" i="5"/>
  <c r="M709" i="5" s="1"/>
  <c r="I677" i="5"/>
  <c r="L677" i="5"/>
  <c r="M677" i="5" s="1"/>
  <c r="I561" i="5"/>
  <c r="L561" i="5"/>
  <c r="M561" i="5" s="1"/>
  <c r="I625" i="5"/>
  <c r="L625" i="5"/>
  <c r="M625" i="5" s="1"/>
  <c r="I711" i="5"/>
  <c r="L711" i="5"/>
  <c r="M711" i="5" s="1"/>
  <c r="I727" i="5"/>
  <c r="L727" i="5"/>
  <c r="M727" i="5" s="1"/>
  <c r="I900" i="5"/>
  <c r="I373" i="5"/>
  <c r="I405" i="5"/>
  <c r="I437" i="5"/>
  <c r="I469" i="5"/>
  <c r="I485" i="5"/>
  <c r="I517" i="5"/>
  <c r="I549" i="5"/>
  <c r="I581" i="5"/>
  <c r="I629" i="5"/>
  <c r="I700" i="5"/>
  <c r="I708" i="5"/>
  <c r="I716" i="5"/>
  <c r="I736" i="5"/>
  <c r="I752" i="5"/>
  <c r="I820" i="5"/>
  <c r="I836" i="5"/>
  <c r="I884" i="5"/>
  <c r="I948" i="5"/>
  <c r="I964" i="5"/>
  <c r="I1000" i="5"/>
  <c r="I747" i="5"/>
  <c r="I871" i="5"/>
  <c r="J871" i="5"/>
  <c r="K871" i="5" s="1"/>
  <c r="I692" i="5"/>
  <c r="I684" i="5"/>
  <c r="I797" i="5"/>
  <c r="I829" i="5"/>
  <c r="I861" i="5"/>
  <c r="I893" i="5"/>
  <c r="I925" i="5"/>
  <c r="I957" i="5"/>
  <c r="I7" i="5"/>
  <c r="J7" i="5"/>
  <c r="K7" i="5" s="1"/>
  <c r="I23" i="5"/>
  <c r="J23" i="5"/>
  <c r="K23" i="5" s="1"/>
  <c r="I39" i="5"/>
  <c r="J39" i="5"/>
  <c r="K39" i="5" s="1"/>
  <c r="I55" i="5"/>
  <c r="J55" i="5"/>
  <c r="K55" i="5" s="1"/>
  <c r="I71" i="5"/>
  <c r="J71" i="5"/>
  <c r="K71" i="5" s="1"/>
  <c r="I79" i="5"/>
  <c r="J79" i="5"/>
  <c r="K79" i="5" s="1"/>
  <c r="I95" i="5"/>
  <c r="J95" i="5"/>
  <c r="K95" i="5" s="1"/>
  <c r="I111" i="5"/>
  <c r="J111" i="5"/>
  <c r="K111" i="5" s="1"/>
  <c r="I127" i="5"/>
  <c r="J127" i="5"/>
  <c r="K127" i="5" s="1"/>
  <c r="I143" i="5"/>
  <c r="J143" i="5"/>
  <c r="K143" i="5" s="1"/>
  <c r="I159" i="5"/>
  <c r="J159" i="5"/>
  <c r="K159" i="5" s="1"/>
  <c r="I175" i="5"/>
  <c r="J175" i="5"/>
  <c r="K175" i="5" s="1"/>
  <c r="I191" i="5"/>
  <c r="J191" i="5"/>
  <c r="K191" i="5" s="1"/>
  <c r="I207" i="5"/>
  <c r="J207" i="5"/>
  <c r="K207" i="5" s="1"/>
  <c r="I223" i="5"/>
  <c r="J223" i="5"/>
  <c r="K223" i="5" s="1"/>
  <c r="I239" i="5"/>
  <c r="J239" i="5"/>
  <c r="K239" i="5" s="1"/>
  <c r="I255" i="5"/>
  <c r="J255" i="5"/>
  <c r="K255" i="5" s="1"/>
  <c r="I271" i="5"/>
  <c r="J271" i="5"/>
  <c r="K271" i="5" s="1"/>
  <c r="I279" i="5"/>
  <c r="J279" i="5"/>
  <c r="K279" i="5" s="1"/>
  <c r="I287" i="5"/>
  <c r="J287" i="5"/>
  <c r="K287" i="5" s="1"/>
  <c r="I303" i="5"/>
  <c r="J303" i="5"/>
  <c r="K303" i="5" s="1"/>
  <c r="I311" i="5"/>
  <c r="J311" i="5"/>
  <c r="K311" i="5" s="1"/>
  <c r="I319" i="5"/>
  <c r="J319" i="5"/>
  <c r="K319" i="5" s="1"/>
  <c r="I327" i="5"/>
  <c r="J327" i="5"/>
  <c r="K327" i="5" s="1"/>
  <c r="I335" i="5"/>
  <c r="J335" i="5"/>
  <c r="K335" i="5" s="1"/>
  <c r="I343" i="5"/>
  <c r="J343" i="5"/>
  <c r="K343" i="5" s="1"/>
  <c r="I351" i="5"/>
  <c r="J351" i="5"/>
  <c r="K351" i="5" s="1"/>
  <c r="I359" i="5"/>
  <c r="J359" i="5"/>
  <c r="K359" i="5" s="1"/>
  <c r="I367" i="5"/>
  <c r="J367" i="5"/>
  <c r="K367" i="5" s="1"/>
  <c r="I375" i="5"/>
  <c r="J375" i="5"/>
  <c r="K375" i="5" s="1"/>
  <c r="I383" i="5"/>
  <c r="J383" i="5"/>
  <c r="K383" i="5" s="1"/>
  <c r="I391" i="5"/>
  <c r="J391" i="5"/>
  <c r="K391" i="5" s="1"/>
  <c r="I399" i="5"/>
  <c r="J399" i="5"/>
  <c r="K399" i="5" s="1"/>
  <c r="I411" i="5"/>
  <c r="J411" i="5"/>
  <c r="K411" i="5" s="1"/>
  <c r="I419" i="5"/>
  <c r="J419" i="5"/>
  <c r="K419" i="5" s="1"/>
  <c r="I427" i="5"/>
  <c r="J427" i="5"/>
  <c r="K427" i="5" s="1"/>
  <c r="I435" i="5"/>
  <c r="J435" i="5"/>
  <c r="K435" i="5" s="1"/>
  <c r="I443" i="5"/>
  <c r="J443" i="5"/>
  <c r="K443" i="5" s="1"/>
  <c r="I451" i="5"/>
  <c r="J451" i="5"/>
  <c r="K451" i="5" s="1"/>
  <c r="I459" i="5"/>
  <c r="J459" i="5"/>
  <c r="K459" i="5" s="1"/>
  <c r="I471" i="5"/>
  <c r="J471" i="5"/>
  <c r="K471" i="5" s="1"/>
  <c r="I479" i="5"/>
  <c r="J479" i="5"/>
  <c r="K479" i="5" s="1"/>
  <c r="I487" i="5"/>
  <c r="J487" i="5"/>
  <c r="K487" i="5" s="1"/>
  <c r="I495" i="5"/>
  <c r="J495" i="5"/>
  <c r="K495" i="5" s="1"/>
  <c r="I503" i="5"/>
  <c r="J503" i="5"/>
  <c r="K503" i="5" s="1"/>
  <c r="I511" i="5"/>
  <c r="J511" i="5"/>
  <c r="K511" i="5" s="1"/>
  <c r="I519" i="5"/>
  <c r="J519" i="5"/>
  <c r="K519" i="5" s="1"/>
  <c r="I527" i="5"/>
  <c r="J527" i="5"/>
  <c r="K527" i="5" s="1"/>
  <c r="I539" i="5"/>
  <c r="J539" i="5"/>
  <c r="K539" i="5" s="1"/>
  <c r="I547" i="5"/>
  <c r="J547" i="5"/>
  <c r="K547" i="5" s="1"/>
  <c r="I555" i="5"/>
  <c r="J555" i="5"/>
  <c r="K555" i="5" s="1"/>
  <c r="I563" i="5"/>
  <c r="J563" i="5"/>
  <c r="K563" i="5" s="1"/>
  <c r="I571" i="5"/>
  <c r="J571" i="5"/>
  <c r="K571" i="5" s="1"/>
  <c r="I579" i="5"/>
  <c r="J579" i="5"/>
  <c r="K579" i="5" s="1"/>
  <c r="I587" i="5"/>
  <c r="J587" i="5"/>
  <c r="K587" i="5" s="1"/>
  <c r="I599" i="5"/>
  <c r="J599" i="5"/>
  <c r="K599" i="5" s="1"/>
  <c r="I607" i="5"/>
  <c r="J607" i="5"/>
  <c r="K607" i="5" s="1"/>
  <c r="I615" i="5"/>
  <c r="J615" i="5"/>
  <c r="K615" i="5" s="1"/>
  <c r="I623" i="5"/>
  <c r="J623" i="5"/>
  <c r="K623" i="5" s="1"/>
  <c r="I631" i="5"/>
  <c r="J631" i="5"/>
  <c r="K631" i="5" s="1"/>
  <c r="I639" i="5"/>
  <c r="J639" i="5"/>
  <c r="K639" i="5" s="1"/>
  <c r="I647" i="5"/>
  <c r="J647" i="5"/>
  <c r="K647" i="5" s="1"/>
  <c r="I655" i="5"/>
  <c r="J655" i="5"/>
  <c r="K655" i="5" s="1"/>
  <c r="I30" i="5"/>
  <c r="J30" i="5"/>
  <c r="K30" i="5" s="1"/>
  <c r="I70" i="5"/>
  <c r="J70" i="5"/>
  <c r="K70" i="5" s="1"/>
  <c r="I102" i="5"/>
  <c r="J102" i="5"/>
  <c r="K102" i="5" s="1"/>
  <c r="I126" i="5"/>
  <c r="J126" i="5"/>
  <c r="K126" i="5" s="1"/>
  <c r="I150" i="5"/>
  <c r="J150" i="5"/>
  <c r="K150" i="5" s="1"/>
  <c r="I182" i="5"/>
  <c r="J182" i="5"/>
  <c r="K182" i="5" s="1"/>
  <c r="I206" i="5"/>
  <c r="J206" i="5"/>
  <c r="K206" i="5" s="1"/>
  <c r="I230" i="5"/>
  <c r="J230" i="5"/>
  <c r="K230" i="5" s="1"/>
  <c r="I270" i="5"/>
  <c r="J270" i="5"/>
  <c r="K270" i="5" s="1"/>
  <c r="I595" i="5"/>
  <c r="J595" i="5"/>
  <c r="K595" i="5" s="1"/>
  <c r="I8" i="5"/>
  <c r="J8" i="5"/>
  <c r="K8" i="5" s="1"/>
  <c r="I16" i="5"/>
  <c r="J16" i="5"/>
  <c r="K16" i="5" s="1"/>
  <c r="I24" i="5"/>
  <c r="J24" i="5"/>
  <c r="K24" i="5" s="1"/>
  <c r="I32" i="5"/>
  <c r="J32" i="5"/>
  <c r="K32" i="5" s="1"/>
  <c r="I40" i="5"/>
  <c r="J40" i="5"/>
  <c r="K40" i="5" s="1"/>
  <c r="I48" i="5"/>
  <c r="J48" i="5"/>
  <c r="K48" i="5" s="1"/>
  <c r="I56" i="5"/>
  <c r="J56" i="5"/>
  <c r="K56" i="5" s="1"/>
  <c r="I64" i="5"/>
  <c r="J64" i="5"/>
  <c r="K64" i="5" s="1"/>
  <c r="I72" i="5"/>
  <c r="J72" i="5"/>
  <c r="K72" i="5" s="1"/>
  <c r="I80" i="5"/>
  <c r="J80" i="5"/>
  <c r="K80" i="5" s="1"/>
  <c r="I88" i="5"/>
  <c r="J88" i="5"/>
  <c r="K88" i="5" s="1"/>
  <c r="I96" i="5"/>
  <c r="J96" i="5"/>
  <c r="K96" i="5" s="1"/>
  <c r="I104" i="5"/>
  <c r="J104" i="5"/>
  <c r="K104" i="5" s="1"/>
  <c r="I112" i="5"/>
  <c r="J112" i="5"/>
  <c r="K112" i="5" s="1"/>
  <c r="I120" i="5"/>
  <c r="J120" i="5"/>
  <c r="K120" i="5" s="1"/>
  <c r="I128" i="5"/>
  <c r="J128" i="5"/>
  <c r="K128" i="5" s="1"/>
  <c r="I136" i="5"/>
  <c r="J136" i="5"/>
  <c r="K136" i="5" s="1"/>
  <c r="I144" i="5"/>
  <c r="J144" i="5"/>
  <c r="K144" i="5" s="1"/>
  <c r="I152" i="5"/>
  <c r="J152" i="5"/>
  <c r="K152" i="5" s="1"/>
  <c r="I160" i="5"/>
  <c r="J160" i="5"/>
  <c r="K160" i="5" s="1"/>
  <c r="I168" i="5"/>
  <c r="J168" i="5"/>
  <c r="K168" i="5" s="1"/>
  <c r="I176" i="5"/>
  <c r="J176" i="5"/>
  <c r="K176" i="5" s="1"/>
  <c r="I184" i="5"/>
  <c r="J184" i="5"/>
  <c r="K184" i="5" s="1"/>
  <c r="I192" i="5"/>
  <c r="J192" i="5"/>
  <c r="K192" i="5" s="1"/>
  <c r="I200" i="5"/>
  <c r="J200" i="5"/>
  <c r="K200" i="5" s="1"/>
  <c r="I208" i="5"/>
  <c r="J208" i="5"/>
  <c r="K208" i="5" s="1"/>
  <c r="I216" i="5"/>
  <c r="J216" i="5"/>
  <c r="K216" i="5" s="1"/>
  <c r="I224" i="5"/>
  <c r="J224" i="5"/>
  <c r="K224" i="5" s="1"/>
  <c r="I232" i="5"/>
  <c r="J232" i="5"/>
  <c r="K232" i="5" s="1"/>
  <c r="I240" i="5"/>
  <c r="J240" i="5"/>
  <c r="K240" i="5" s="1"/>
  <c r="I248" i="5"/>
  <c r="J248" i="5"/>
  <c r="K248" i="5" s="1"/>
  <c r="I256" i="5"/>
  <c r="J256" i="5"/>
  <c r="K256" i="5" s="1"/>
  <c r="I264" i="5"/>
  <c r="J264" i="5"/>
  <c r="K264" i="5" s="1"/>
  <c r="I272" i="5"/>
  <c r="J272" i="5"/>
  <c r="K272" i="5" s="1"/>
  <c r="I280" i="5"/>
  <c r="J280" i="5"/>
  <c r="K280" i="5" s="1"/>
  <c r="I288" i="5"/>
  <c r="J288" i="5"/>
  <c r="K288" i="5" s="1"/>
  <c r="I296" i="5"/>
  <c r="J296" i="5"/>
  <c r="K296" i="5" s="1"/>
  <c r="I304" i="5"/>
  <c r="J304" i="5"/>
  <c r="K304" i="5" s="1"/>
  <c r="I312" i="5"/>
  <c r="J312" i="5"/>
  <c r="K312" i="5" s="1"/>
  <c r="I320" i="5"/>
  <c r="J320" i="5"/>
  <c r="K320" i="5" s="1"/>
  <c r="I328" i="5"/>
  <c r="J328" i="5"/>
  <c r="K328" i="5" s="1"/>
  <c r="I340" i="5"/>
  <c r="J340" i="5"/>
  <c r="K340" i="5" s="1"/>
  <c r="I348" i="5"/>
  <c r="J348" i="5"/>
  <c r="K348" i="5" s="1"/>
  <c r="I356" i="5"/>
  <c r="J356" i="5"/>
  <c r="K356" i="5" s="1"/>
  <c r="I364" i="5"/>
  <c r="J364" i="5"/>
  <c r="K364" i="5" s="1"/>
  <c r="I372" i="5"/>
  <c r="J372" i="5"/>
  <c r="K372" i="5" s="1"/>
  <c r="I380" i="5"/>
  <c r="J380" i="5"/>
  <c r="K380" i="5" s="1"/>
  <c r="I388" i="5"/>
  <c r="J388" i="5"/>
  <c r="K388" i="5" s="1"/>
  <c r="I396" i="5"/>
  <c r="J396" i="5"/>
  <c r="K396" i="5" s="1"/>
  <c r="I404" i="5"/>
  <c r="J404" i="5"/>
  <c r="K404" i="5" s="1"/>
  <c r="I412" i="5"/>
  <c r="J412" i="5"/>
  <c r="K412" i="5" s="1"/>
  <c r="I420" i="5"/>
  <c r="J420" i="5"/>
  <c r="K420" i="5" s="1"/>
  <c r="I428" i="5"/>
  <c r="J428" i="5"/>
  <c r="K428" i="5" s="1"/>
  <c r="I436" i="5"/>
  <c r="J436" i="5"/>
  <c r="K436" i="5" s="1"/>
  <c r="I444" i="5"/>
  <c r="J444" i="5"/>
  <c r="K444" i="5" s="1"/>
  <c r="I452" i="5"/>
  <c r="J452" i="5"/>
  <c r="K452" i="5" s="1"/>
  <c r="I460" i="5"/>
  <c r="J460" i="5"/>
  <c r="K460" i="5" s="1"/>
  <c r="I468" i="5"/>
  <c r="J468" i="5"/>
  <c r="K468" i="5" s="1"/>
  <c r="I476" i="5"/>
  <c r="J476" i="5"/>
  <c r="K476" i="5" s="1"/>
  <c r="I484" i="5"/>
  <c r="J484" i="5"/>
  <c r="K484" i="5" s="1"/>
  <c r="I492" i="5"/>
  <c r="J492" i="5"/>
  <c r="K492" i="5" s="1"/>
  <c r="I500" i="5"/>
  <c r="J500" i="5"/>
  <c r="K500" i="5" s="1"/>
  <c r="I508" i="5"/>
  <c r="J508" i="5"/>
  <c r="K508" i="5" s="1"/>
  <c r="I516" i="5"/>
  <c r="J516" i="5"/>
  <c r="K516" i="5" s="1"/>
  <c r="I524" i="5"/>
  <c r="J524" i="5"/>
  <c r="K524" i="5" s="1"/>
  <c r="I532" i="5"/>
  <c r="J532" i="5"/>
  <c r="K532" i="5" s="1"/>
  <c r="I540" i="5"/>
  <c r="J540" i="5"/>
  <c r="K540" i="5" s="1"/>
  <c r="I548" i="5"/>
  <c r="J548" i="5"/>
  <c r="K548" i="5" s="1"/>
  <c r="I556" i="5"/>
  <c r="J556" i="5"/>
  <c r="K556" i="5" s="1"/>
  <c r="I564" i="5"/>
  <c r="J564" i="5"/>
  <c r="K564" i="5" s="1"/>
  <c r="I572" i="5"/>
  <c r="J572" i="5"/>
  <c r="K572" i="5" s="1"/>
  <c r="I580" i="5"/>
  <c r="J580" i="5"/>
  <c r="K580" i="5" s="1"/>
  <c r="I588" i="5"/>
  <c r="J588" i="5"/>
  <c r="K588" i="5" s="1"/>
  <c r="I596" i="5"/>
  <c r="J596" i="5"/>
  <c r="K596" i="5" s="1"/>
  <c r="I604" i="5"/>
  <c r="J604" i="5"/>
  <c r="K604" i="5" s="1"/>
  <c r="I612" i="5"/>
  <c r="J612" i="5"/>
  <c r="K612" i="5" s="1"/>
  <c r="I620" i="5"/>
  <c r="J620" i="5"/>
  <c r="K620" i="5" s="1"/>
  <c r="I628" i="5"/>
  <c r="J628" i="5"/>
  <c r="K628" i="5" s="1"/>
  <c r="I636" i="5"/>
  <c r="J636" i="5"/>
  <c r="K636" i="5" s="1"/>
  <c r="I644" i="5"/>
  <c r="J644" i="5"/>
  <c r="K644" i="5" s="1"/>
  <c r="I652" i="5"/>
  <c r="J652" i="5"/>
  <c r="K652" i="5" s="1"/>
  <c r="I660" i="5"/>
  <c r="J660" i="5"/>
  <c r="K660" i="5" s="1"/>
  <c r="I668" i="5"/>
  <c r="J668" i="5"/>
  <c r="K668" i="5" s="1"/>
  <c r="I676" i="5"/>
  <c r="J676" i="5"/>
  <c r="K676" i="5" s="1"/>
  <c r="I2" i="5"/>
  <c r="I18" i="5"/>
  <c r="J18" i="5"/>
  <c r="K18" i="5" s="1"/>
  <c r="I38" i="5"/>
  <c r="J38" i="5"/>
  <c r="K38" i="5" s="1"/>
  <c r="I58" i="5"/>
  <c r="J58" i="5"/>
  <c r="K58" i="5" s="1"/>
  <c r="I78" i="5"/>
  <c r="J78" i="5"/>
  <c r="K78" i="5" s="1"/>
  <c r="I98" i="5"/>
  <c r="J98" i="5"/>
  <c r="K98" i="5" s="1"/>
  <c r="I118" i="5"/>
  <c r="J118" i="5"/>
  <c r="K118" i="5" s="1"/>
  <c r="I142" i="5"/>
  <c r="J142" i="5"/>
  <c r="K142" i="5" s="1"/>
  <c r="I170" i="5"/>
  <c r="J170" i="5"/>
  <c r="K170" i="5" s="1"/>
  <c r="I186" i="5"/>
  <c r="J186" i="5"/>
  <c r="K186" i="5" s="1"/>
  <c r="I210" i="5"/>
  <c r="J210" i="5"/>
  <c r="K210" i="5" s="1"/>
  <c r="I238" i="5"/>
  <c r="J238" i="5"/>
  <c r="K238" i="5" s="1"/>
  <c r="I254" i="5"/>
  <c r="J254" i="5"/>
  <c r="K254" i="5" s="1"/>
  <c r="I903" i="5"/>
  <c r="J903" i="5"/>
  <c r="K903" i="5" s="1"/>
  <c r="I9" i="5"/>
  <c r="J9" i="5"/>
  <c r="K9" i="5" s="1"/>
  <c r="I25" i="5"/>
  <c r="J25" i="5"/>
  <c r="K25" i="5" s="1"/>
  <c r="I41" i="5"/>
  <c r="J41" i="5"/>
  <c r="K41" i="5" s="1"/>
  <c r="I57" i="5"/>
  <c r="J57" i="5"/>
  <c r="K57" i="5" s="1"/>
  <c r="I73" i="5"/>
  <c r="J73" i="5"/>
  <c r="K73" i="5" s="1"/>
  <c r="I89" i="5"/>
  <c r="J89" i="5"/>
  <c r="K89" i="5" s="1"/>
  <c r="I105" i="5"/>
  <c r="J105" i="5"/>
  <c r="K105" i="5" s="1"/>
  <c r="I121" i="5"/>
  <c r="J121" i="5"/>
  <c r="K121" i="5" s="1"/>
  <c r="I137" i="5"/>
  <c r="J137" i="5"/>
  <c r="K137" i="5" s="1"/>
  <c r="I153" i="5"/>
  <c r="J153" i="5"/>
  <c r="K153" i="5" s="1"/>
  <c r="I169" i="5"/>
  <c r="J169" i="5"/>
  <c r="K169" i="5" s="1"/>
  <c r="I185" i="5"/>
  <c r="J185" i="5"/>
  <c r="K185" i="5" s="1"/>
  <c r="I201" i="5"/>
  <c r="J201" i="5"/>
  <c r="K201" i="5" s="1"/>
  <c r="I217" i="5"/>
  <c r="J217" i="5"/>
  <c r="K217" i="5" s="1"/>
  <c r="I233" i="5"/>
  <c r="J233" i="5"/>
  <c r="K233" i="5" s="1"/>
  <c r="I313" i="5"/>
  <c r="J313" i="5"/>
  <c r="K313" i="5" s="1"/>
  <c r="I329" i="5"/>
  <c r="J329" i="5"/>
  <c r="K329" i="5" s="1"/>
  <c r="I50" i="5"/>
  <c r="J50" i="5"/>
  <c r="K50" i="5" s="1"/>
  <c r="I122" i="5"/>
  <c r="J122" i="5"/>
  <c r="K122" i="5" s="1"/>
  <c r="I166" i="5"/>
  <c r="J166" i="5"/>
  <c r="K166" i="5" s="1"/>
  <c r="I214" i="5"/>
  <c r="J214" i="5"/>
  <c r="K214" i="5" s="1"/>
  <c r="I234" i="5"/>
  <c r="J234" i="5"/>
  <c r="K234" i="5" s="1"/>
  <c r="I286" i="5"/>
  <c r="J286" i="5"/>
  <c r="K286" i="5" s="1"/>
  <c r="I294" i="5"/>
  <c r="J294" i="5"/>
  <c r="K294" i="5" s="1"/>
  <c r="I302" i="5"/>
  <c r="J302" i="5"/>
  <c r="K302" i="5" s="1"/>
  <c r="I318" i="5"/>
  <c r="J318" i="5"/>
  <c r="K318" i="5" s="1"/>
  <c r="I334" i="5"/>
  <c r="J334" i="5"/>
  <c r="K334" i="5" s="1"/>
  <c r="I350" i="5"/>
  <c r="J350" i="5"/>
  <c r="K350" i="5" s="1"/>
  <c r="I366" i="5"/>
  <c r="J366" i="5"/>
  <c r="K366" i="5" s="1"/>
  <c r="I382" i="5"/>
  <c r="J382" i="5"/>
  <c r="K382" i="5" s="1"/>
  <c r="I398" i="5"/>
  <c r="J398" i="5"/>
  <c r="K398" i="5" s="1"/>
  <c r="I414" i="5"/>
  <c r="J414" i="5"/>
  <c r="K414" i="5" s="1"/>
  <c r="I430" i="5"/>
  <c r="J430" i="5"/>
  <c r="K430" i="5" s="1"/>
  <c r="I446" i="5"/>
  <c r="J446" i="5"/>
  <c r="K446" i="5" s="1"/>
  <c r="I462" i="5"/>
  <c r="J462" i="5"/>
  <c r="K462" i="5" s="1"/>
  <c r="I478" i="5"/>
  <c r="J478" i="5"/>
  <c r="K478" i="5" s="1"/>
  <c r="I494" i="5"/>
  <c r="J494" i="5"/>
  <c r="K494" i="5" s="1"/>
  <c r="I510" i="5"/>
  <c r="J510" i="5"/>
  <c r="K510" i="5" s="1"/>
  <c r="I518" i="5"/>
  <c r="J518" i="5"/>
  <c r="K518" i="5" s="1"/>
  <c r="I534" i="5"/>
  <c r="J534" i="5"/>
  <c r="K534" i="5" s="1"/>
  <c r="I550" i="5"/>
  <c r="J550" i="5"/>
  <c r="K550" i="5" s="1"/>
  <c r="I566" i="5"/>
  <c r="J566" i="5"/>
  <c r="K566" i="5" s="1"/>
  <c r="I582" i="5"/>
  <c r="J582" i="5"/>
  <c r="K582" i="5" s="1"/>
  <c r="I610" i="5"/>
  <c r="J610" i="5"/>
  <c r="K610" i="5" s="1"/>
  <c r="I626" i="5"/>
  <c r="J626" i="5"/>
  <c r="K626" i="5" s="1"/>
  <c r="I670" i="5"/>
  <c r="J670" i="5"/>
  <c r="K670" i="5" s="1"/>
  <c r="I686" i="5"/>
  <c r="J686" i="5"/>
  <c r="K686" i="5" s="1"/>
  <c r="I750" i="5"/>
  <c r="J750" i="5"/>
  <c r="K750" i="5" s="1"/>
  <c r="I794" i="5"/>
  <c r="J794" i="5"/>
  <c r="K794" i="5" s="1"/>
  <c r="I814" i="5"/>
  <c r="J814" i="5"/>
  <c r="K814" i="5" s="1"/>
  <c r="I906" i="5"/>
  <c r="J906" i="5"/>
  <c r="K906" i="5" s="1"/>
  <c r="I922" i="5"/>
  <c r="J922" i="5"/>
  <c r="K922" i="5" s="1"/>
  <c r="I938" i="5"/>
  <c r="J938" i="5"/>
  <c r="K938" i="5" s="1"/>
  <c r="I954" i="5"/>
  <c r="J954" i="5"/>
  <c r="K954" i="5" s="1"/>
  <c r="I974" i="5"/>
  <c r="J974" i="5"/>
  <c r="K974" i="5" s="1"/>
  <c r="I990" i="5"/>
  <c r="J990" i="5"/>
  <c r="K990" i="5" s="1"/>
  <c r="I594" i="5"/>
  <c r="J594" i="5"/>
  <c r="K594" i="5" s="1"/>
  <c r="I646" i="5"/>
  <c r="J646" i="5"/>
  <c r="K646" i="5" s="1"/>
  <c r="I784" i="5"/>
  <c r="I816" i="5"/>
  <c r="I848" i="5"/>
  <c r="I864" i="5"/>
  <c r="I880" i="5"/>
  <c r="I912" i="5"/>
  <c r="I928" i="5"/>
  <c r="I944" i="5"/>
  <c r="I976" i="5"/>
  <c r="I992" i="5"/>
  <c r="I336" i="5"/>
  <c r="J336" i="5"/>
  <c r="K336" i="5" s="1"/>
  <c r="I717" i="5"/>
  <c r="I749" i="5"/>
  <c r="I781" i="5"/>
  <c r="I813" i="5"/>
  <c r="I845" i="5"/>
  <c r="I877" i="5"/>
  <c r="I909" i="5"/>
  <c r="I941" i="5"/>
  <c r="I973" i="5"/>
  <c r="I531" i="5"/>
  <c r="J531" i="5"/>
  <c r="K531" i="5" s="1"/>
  <c r="I15" i="5"/>
  <c r="J15" i="5"/>
  <c r="K15" i="5" s="1"/>
  <c r="I31" i="5"/>
  <c r="J31" i="5"/>
  <c r="K31" i="5" s="1"/>
  <c r="I47" i="5"/>
  <c r="J47" i="5"/>
  <c r="K47" i="5" s="1"/>
  <c r="I63" i="5"/>
  <c r="J63" i="5"/>
  <c r="K63" i="5" s="1"/>
  <c r="I87" i="5"/>
  <c r="J87" i="5"/>
  <c r="K87" i="5" s="1"/>
  <c r="I103" i="5"/>
  <c r="J103" i="5"/>
  <c r="K103" i="5" s="1"/>
  <c r="I119" i="5"/>
  <c r="J119" i="5"/>
  <c r="K119" i="5" s="1"/>
  <c r="I135" i="5"/>
  <c r="J135" i="5"/>
  <c r="K135" i="5" s="1"/>
  <c r="I151" i="5"/>
  <c r="J151" i="5"/>
  <c r="K151" i="5" s="1"/>
  <c r="I167" i="5"/>
  <c r="J167" i="5"/>
  <c r="K167" i="5" s="1"/>
  <c r="I183" i="5"/>
  <c r="J183" i="5"/>
  <c r="K183" i="5" s="1"/>
  <c r="I199" i="5"/>
  <c r="J199" i="5"/>
  <c r="K199" i="5" s="1"/>
  <c r="I215" i="5"/>
  <c r="J215" i="5"/>
  <c r="K215" i="5" s="1"/>
  <c r="I231" i="5"/>
  <c r="J231" i="5"/>
  <c r="K231" i="5" s="1"/>
  <c r="I247" i="5"/>
  <c r="J247" i="5"/>
  <c r="K247" i="5" s="1"/>
  <c r="I263" i="5"/>
  <c r="J263" i="5"/>
  <c r="K263" i="5" s="1"/>
  <c r="I295" i="5"/>
  <c r="J295" i="5"/>
  <c r="K295" i="5" s="1"/>
  <c r="I661" i="5"/>
  <c r="I769" i="5"/>
  <c r="I801" i="5"/>
  <c r="I817" i="5"/>
  <c r="I833" i="5"/>
  <c r="I849" i="5"/>
  <c r="I865" i="5"/>
  <c r="I881" i="5"/>
  <c r="I897" i="5"/>
  <c r="I913" i="5"/>
  <c r="I929" i="5"/>
  <c r="I945" i="5"/>
  <c r="I977" i="5"/>
  <c r="I513" i="5"/>
  <c r="I577" i="5"/>
  <c r="I357" i="5"/>
  <c r="I613" i="5"/>
  <c r="I501" i="5"/>
  <c r="I389" i="5"/>
  <c r="I645" i="5"/>
  <c r="I732" i="5"/>
  <c r="I533" i="5"/>
  <c r="I353" i="5"/>
  <c r="I369" i="5"/>
  <c r="I417" i="5"/>
  <c r="I433" i="5"/>
  <c r="I481" i="5"/>
  <c r="I497" i="5"/>
  <c r="I665" i="5"/>
  <c r="I673" i="5"/>
  <c r="I688" i="5"/>
  <c r="I712" i="5"/>
  <c r="I720" i="5"/>
  <c r="I728" i="5"/>
  <c r="I911" i="5"/>
  <c r="I927" i="5"/>
  <c r="I943" i="5"/>
  <c r="I959" i="5"/>
  <c r="I975" i="5"/>
  <c r="I991" i="5"/>
  <c r="I545" i="5"/>
  <c r="I609" i="5"/>
  <c r="I771" i="5"/>
  <c r="I787" i="5"/>
  <c r="I803" i="5"/>
  <c r="I819" i="5"/>
  <c r="I835" i="5"/>
  <c r="I851" i="5"/>
  <c r="I867" i="5"/>
  <c r="I744" i="5"/>
  <c r="I887" i="5"/>
  <c r="I907" i="5"/>
  <c r="I923" i="5"/>
  <c r="I939" i="5"/>
  <c r="I955" i="5"/>
  <c r="I971" i="5"/>
  <c r="I987" i="5"/>
  <c r="I403" i="5"/>
  <c r="J403" i="5"/>
  <c r="K403" i="5" s="1"/>
  <c r="I5" i="5"/>
  <c r="J5" i="5"/>
  <c r="K5" i="5" s="1"/>
  <c r="I13" i="5"/>
  <c r="J13" i="5"/>
  <c r="K13" i="5" s="1"/>
  <c r="I21" i="5"/>
  <c r="J21" i="5"/>
  <c r="K21" i="5" s="1"/>
  <c r="I29" i="5"/>
  <c r="J29" i="5"/>
  <c r="K29" i="5" s="1"/>
  <c r="I37" i="5"/>
  <c r="J37" i="5"/>
  <c r="K37" i="5" s="1"/>
  <c r="I45" i="5"/>
  <c r="J45" i="5"/>
  <c r="K45" i="5" s="1"/>
  <c r="I53" i="5"/>
  <c r="J53" i="5"/>
  <c r="K53" i="5" s="1"/>
  <c r="I61" i="5"/>
  <c r="J61" i="5"/>
  <c r="K61" i="5" s="1"/>
  <c r="I69" i="5"/>
  <c r="J69" i="5"/>
  <c r="K69" i="5" s="1"/>
  <c r="I77" i="5"/>
  <c r="J77" i="5"/>
  <c r="K77" i="5" s="1"/>
  <c r="I85" i="5"/>
  <c r="J85" i="5"/>
  <c r="K85" i="5" s="1"/>
  <c r="I93" i="5"/>
  <c r="J93" i="5"/>
  <c r="K93" i="5" s="1"/>
  <c r="I101" i="5"/>
  <c r="J101" i="5"/>
  <c r="K101" i="5" s="1"/>
  <c r="I109" i="5"/>
  <c r="J109" i="5"/>
  <c r="K109" i="5" s="1"/>
  <c r="I117" i="5"/>
  <c r="J117" i="5"/>
  <c r="K117" i="5" s="1"/>
  <c r="I125" i="5"/>
  <c r="J125" i="5"/>
  <c r="K125" i="5" s="1"/>
  <c r="I133" i="5"/>
  <c r="J133" i="5"/>
  <c r="K133" i="5" s="1"/>
  <c r="I141" i="5"/>
  <c r="J141" i="5"/>
  <c r="K141" i="5" s="1"/>
  <c r="I149" i="5"/>
  <c r="J149" i="5"/>
  <c r="K149" i="5" s="1"/>
  <c r="I157" i="5"/>
  <c r="J157" i="5"/>
  <c r="K157" i="5" s="1"/>
  <c r="I165" i="5"/>
  <c r="J165" i="5"/>
  <c r="K165" i="5" s="1"/>
  <c r="I173" i="5"/>
  <c r="J173" i="5"/>
  <c r="K173" i="5" s="1"/>
  <c r="I181" i="5"/>
  <c r="J181" i="5"/>
  <c r="K181" i="5" s="1"/>
  <c r="I189" i="5"/>
  <c r="J189" i="5"/>
  <c r="K189" i="5" s="1"/>
  <c r="I197" i="5"/>
  <c r="J197" i="5"/>
  <c r="K197" i="5" s="1"/>
  <c r="I205" i="5"/>
  <c r="J205" i="5"/>
  <c r="K205" i="5" s="1"/>
  <c r="I213" i="5"/>
  <c r="J213" i="5"/>
  <c r="K213" i="5" s="1"/>
  <c r="I221" i="5"/>
  <c r="J221" i="5"/>
  <c r="K221" i="5" s="1"/>
  <c r="I229" i="5"/>
  <c r="J229" i="5"/>
  <c r="K229" i="5" s="1"/>
  <c r="I237" i="5"/>
  <c r="J237" i="5"/>
  <c r="K237" i="5" s="1"/>
  <c r="I245" i="5"/>
  <c r="J245" i="5"/>
  <c r="K245" i="5" s="1"/>
  <c r="I253" i="5"/>
  <c r="J253" i="5"/>
  <c r="K253" i="5" s="1"/>
  <c r="I261" i="5"/>
  <c r="J261" i="5"/>
  <c r="K261" i="5" s="1"/>
  <c r="I269" i="5"/>
  <c r="J269" i="5"/>
  <c r="K269" i="5" s="1"/>
  <c r="I421" i="5"/>
  <c r="I565" i="5"/>
  <c r="I453" i="5"/>
  <c r="I597" i="5"/>
  <c r="I659" i="5"/>
  <c r="I675" i="5"/>
  <c r="I691" i="5"/>
  <c r="I723" i="5"/>
  <c r="I739" i="5"/>
  <c r="I755" i="5"/>
  <c r="I792" i="5"/>
  <c r="I808" i="5"/>
  <c r="I856" i="5"/>
  <c r="I872" i="5"/>
  <c r="I920" i="5"/>
  <c r="I936" i="5"/>
  <c r="I984" i="5"/>
  <c r="I828" i="5"/>
  <c r="I844" i="5"/>
  <c r="I892" i="5"/>
  <c r="I908" i="5"/>
  <c r="I956" i="5"/>
  <c r="I972" i="5"/>
  <c r="I764" i="5"/>
  <c r="I780" i="5"/>
  <c r="I11" i="5"/>
  <c r="I27" i="5"/>
  <c r="I43" i="5"/>
  <c r="I59" i="5"/>
  <c r="I75" i="5"/>
  <c r="I91" i="5"/>
  <c r="I107" i="5"/>
  <c r="I123" i="5"/>
  <c r="I139" i="5"/>
  <c r="I155" i="5"/>
  <c r="I171" i="5"/>
  <c r="I187" i="5"/>
  <c r="I203" i="5"/>
  <c r="I219" i="5"/>
  <c r="I235" i="5"/>
  <c r="I251" i="5"/>
  <c r="I267" i="5"/>
  <c r="I283" i="5"/>
  <c r="I299" i="5"/>
  <c r="I315" i="5"/>
  <c r="I331" i="5"/>
  <c r="I347" i="5"/>
  <c r="I363" i="5"/>
  <c r="I371" i="5"/>
  <c r="I387" i="5"/>
  <c r="I407" i="5"/>
  <c r="I423" i="5"/>
  <c r="I439" i="5"/>
  <c r="I463" i="5"/>
  <c r="I483" i="5"/>
  <c r="I499" i="5"/>
  <c r="I515" i="5"/>
  <c r="I523" i="5"/>
  <c r="I543" i="5"/>
  <c r="I559" i="5"/>
  <c r="I575" i="5"/>
  <c r="I591" i="5"/>
  <c r="I611" i="5"/>
  <c r="I627" i="5"/>
  <c r="I643" i="5"/>
  <c r="I10" i="5"/>
  <c r="I86" i="5"/>
  <c r="I138" i="5"/>
  <c r="I194" i="5"/>
  <c r="I250" i="5"/>
  <c r="I4" i="5"/>
  <c r="I20" i="5"/>
  <c r="I36" i="5"/>
  <c r="I52" i="5"/>
  <c r="I68" i="5"/>
  <c r="I84" i="5"/>
  <c r="I100" i="5"/>
  <c r="I116" i="5"/>
  <c r="I132" i="5"/>
  <c r="I148" i="5"/>
  <c r="I164" i="5"/>
  <c r="I180" i="5"/>
  <c r="I196" i="5"/>
  <c r="I212" i="5"/>
  <c r="I228" i="5"/>
  <c r="I244" i="5"/>
  <c r="I260" i="5"/>
  <c r="I276" i="5"/>
  <c r="I292" i="5"/>
  <c r="I308" i="5"/>
  <c r="I324" i="5"/>
  <c r="I352" i="5"/>
  <c r="I368" i="5"/>
  <c r="I384" i="5"/>
  <c r="I400" i="5"/>
  <c r="I416" i="5"/>
  <c r="I432" i="5"/>
  <c r="I448" i="5"/>
  <c r="I464" i="5"/>
  <c r="I480" i="5"/>
  <c r="I496" i="5"/>
  <c r="I512" i="5"/>
  <c r="I528" i="5"/>
  <c r="I544" i="5"/>
  <c r="I560" i="5"/>
  <c r="I576" i="5"/>
  <c r="I592" i="5"/>
  <c r="I608" i="5"/>
  <c r="I624" i="5"/>
  <c r="I648" i="5"/>
  <c r="I664" i="5"/>
  <c r="I680" i="5"/>
  <c r="I26" i="5"/>
  <c r="I66" i="5"/>
  <c r="I106" i="5"/>
  <c r="I154" i="5"/>
  <c r="I198" i="5"/>
  <c r="I246" i="5"/>
  <c r="I349" i="5"/>
  <c r="I365" i="5"/>
  <c r="I385" i="5"/>
  <c r="I401" i="5"/>
  <c r="I449" i="5"/>
  <c r="I465" i="5"/>
  <c r="I773" i="5"/>
  <c r="I3" i="5"/>
  <c r="I19" i="5"/>
  <c r="I35" i="5"/>
  <c r="I51" i="5"/>
  <c r="I67" i="5"/>
  <c r="I83" i="5"/>
  <c r="I99" i="5"/>
  <c r="I115" i="5"/>
  <c r="I131" i="5"/>
  <c r="I147" i="5"/>
  <c r="I163" i="5"/>
  <c r="I179" i="5"/>
  <c r="I195" i="5"/>
  <c r="I211" i="5"/>
  <c r="I227" i="5"/>
  <c r="I243" i="5"/>
  <c r="I259" i="5"/>
  <c r="I275" i="5"/>
  <c r="I291" i="5"/>
  <c r="I307" i="5"/>
  <c r="I323" i="5"/>
  <c r="I339" i="5"/>
  <c r="I355" i="5"/>
  <c r="I379" i="5"/>
  <c r="I395" i="5"/>
  <c r="I415" i="5"/>
  <c r="I431" i="5"/>
  <c r="I447" i="5"/>
  <c r="I455" i="5"/>
  <c r="I475" i="5"/>
  <c r="I491" i="5"/>
  <c r="I507" i="5"/>
  <c r="I535" i="5"/>
  <c r="I551" i="5"/>
  <c r="I567" i="5"/>
  <c r="I583" i="5"/>
  <c r="I603" i="5"/>
  <c r="I619" i="5"/>
  <c r="I635" i="5"/>
  <c r="I651" i="5"/>
  <c r="I54" i="5"/>
  <c r="I114" i="5"/>
  <c r="I162" i="5"/>
  <c r="I218" i="5"/>
  <c r="I278" i="5"/>
  <c r="I12" i="5"/>
  <c r="I28" i="5"/>
  <c r="I44" i="5"/>
  <c r="I60" i="5"/>
  <c r="I76" i="5"/>
  <c r="I92" i="5"/>
  <c r="I108" i="5"/>
  <c r="I124" i="5"/>
  <c r="I140" i="5"/>
  <c r="I156" i="5"/>
  <c r="I172" i="5"/>
  <c r="I188" i="5"/>
  <c r="I204" i="5"/>
  <c r="I220" i="5"/>
  <c r="I236" i="5"/>
  <c r="I252" i="5"/>
  <c r="I268" i="5"/>
  <c r="I284" i="5"/>
  <c r="I300" i="5"/>
  <c r="I316" i="5"/>
  <c r="I332" i="5"/>
  <c r="I344" i="5"/>
  <c r="I360" i="5"/>
  <c r="I376" i="5"/>
  <c r="I392" i="5"/>
  <c r="I408" i="5"/>
  <c r="I424" i="5"/>
  <c r="I440" i="5"/>
  <c r="I456" i="5"/>
  <c r="I472" i="5"/>
  <c r="I488" i="5"/>
  <c r="I504" i="5"/>
  <c r="I520" i="5"/>
  <c r="I536" i="5"/>
  <c r="I552" i="5"/>
  <c r="I568" i="5"/>
  <c r="I584" i="5"/>
  <c r="I600" i="5"/>
  <c r="I616" i="5"/>
  <c r="I632" i="5"/>
  <c r="I640" i="5"/>
  <c r="I656" i="5"/>
  <c r="I672" i="5"/>
  <c r="I6" i="5"/>
  <c r="I46" i="5"/>
  <c r="I90" i="5"/>
  <c r="I130" i="5"/>
  <c r="I178" i="5"/>
  <c r="I226" i="5"/>
  <c r="I262" i="5"/>
  <c r="I277" i="5"/>
  <c r="I285" i="5"/>
  <c r="I293" i="5"/>
  <c r="I301" i="5"/>
  <c r="I309" i="5"/>
  <c r="I317" i="5"/>
  <c r="I325" i="5"/>
  <c r="I333" i="5"/>
  <c r="I341" i="5"/>
  <c r="I22" i="5"/>
  <c r="I42" i="5"/>
  <c r="I62" i="5"/>
  <c r="I82" i="5"/>
  <c r="I110" i="5"/>
  <c r="I134" i="5"/>
  <c r="I158" i="5"/>
  <c r="I174" i="5"/>
  <c r="I202" i="5"/>
  <c r="I222" i="5"/>
  <c r="I242" i="5"/>
  <c r="I266" i="5"/>
  <c r="I282" i="5"/>
  <c r="I290" i="5"/>
  <c r="I298" i="5"/>
  <c r="I306" i="5"/>
  <c r="I314" i="5"/>
  <c r="I322" i="5"/>
  <c r="I330" i="5"/>
  <c r="I338" i="5"/>
  <c r="I346" i="5"/>
  <c r="I354" i="5"/>
  <c r="I362" i="5"/>
  <c r="I370" i="5"/>
  <c r="I378" i="5"/>
  <c r="I386" i="5"/>
  <c r="I394" i="5"/>
  <c r="I402" i="5"/>
  <c r="I410" i="5"/>
  <c r="I418" i="5"/>
  <c r="I426" i="5"/>
  <c r="I434" i="5"/>
  <c r="I442" i="5"/>
  <c r="I450" i="5"/>
  <c r="I458" i="5"/>
  <c r="I466" i="5"/>
  <c r="I474" i="5"/>
  <c r="I482" i="5"/>
  <c r="I490" i="5"/>
  <c r="I498" i="5"/>
  <c r="I506" i="5"/>
  <c r="I514" i="5"/>
  <c r="I522" i="5"/>
  <c r="I530" i="5"/>
  <c r="I538" i="5"/>
  <c r="I546" i="5"/>
  <c r="I554" i="5"/>
  <c r="I562" i="5"/>
  <c r="I570" i="5"/>
  <c r="I578" i="5"/>
  <c r="I586" i="5"/>
  <c r="I598" i="5"/>
  <c r="I606" i="5"/>
  <c r="I618" i="5"/>
  <c r="I638" i="5"/>
  <c r="I662" i="5"/>
  <c r="I678" i="5"/>
  <c r="I698" i="5"/>
  <c r="I718" i="5"/>
  <c r="I738" i="5"/>
  <c r="I762" i="5"/>
  <c r="I782" i="5"/>
  <c r="I802" i="5"/>
  <c r="I822" i="5"/>
  <c r="I842" i="5"/>
  <c r="I858" i="5"/>
  <c r="I874" i="5"/>
  <c r="I898" i="5"/>
  <c r="I914" i="5"/>
  <c r="I930" i="5"/>
  <c r="I946" i="5"/>
  <c r="I966" i="5"/>
  <c r="I982" i="5"/>
  <c r="I998" i="5"/>
  <c r="I614" i="5"/>
  <c r="I630" i="5"/>
  <c r="I642" i="5"/>
  <c r="I654" i="5"/>
  <c r="I666" i="5"/>
  <c r="I682" i="5"/>
  <c r="I694" i="5"/>
  <c r="I710" i="5"/>
  <c r="I381" i="5"/>
  <c r="I397" i="5"/>
  <c r="I413" i="5"/>
  <c r="I429" i="5"/>
  <c r="I445" i="5"/>
  <c r="I461" i="5"/>
  <c r="I477" i="5"/>
  <c r="I493" i="5"/>
  <c r="I509" i="5"/>
  <c r="I521" i="5"/>
  <c r="I529" i="5"/>
  <c r="I633" i="5"/>
  <c r="I641" i="5"/>
  <c r="I649" i="5"/>
  <c r="I657" i="5"/>
  <c r="I681" i="5"/>
  <c r="I689" i="5"/>
  <c r="I697" i="5"/>
  <c r="I705" i="5"/>
  <c r="I713" i="5"/>
  <c r="I721" i="5"/>
  <c r="I729" i="5"/>
  <c r="I737" i="5"/>
  <c r="I745" i="5"/>
  <c r="I753" i="5"/>
  <c r="I541" i="5"/>
  <c r="I557" i="5"/>
  <c r="I573" i="5"/>
  <c r="I589" i="5"/>
  <c r="I605" i="5"/>
  <c r="I621" i="5"/>
  <c r="I696" i="5"/>
  <c r="I704" i="5"/>
  <c r="I553" i="5"/>
  <c r="I617" i="5"/>
  <c r="I767" i="5"/>
  <c r="I783" i="5"/>
  <c r="I799" i="5"/>
  <c r="I815" i="5"/>
  <c r="I831" i="5"/>
  <c r="I847" i="5"/>
  <c r="I863" i="5"/>
  <c r="I895" i="5"/>
  <c r="I789" i="5"/>
  <c r="I805" i="5"/>
  <c r="I821" i="5"/>
  <c r="I837" i="5"/>
  <c r="I853" i="5"/>
  <c r="I869" i="5"/>
  <c r="I885" i="5"/>
  <c r="I901" i="5"/>
  <c r="I917" i="5"/>
  <c r="I933" i="5"/>
  <c r="I949" i="5"/>
  <c r="I965" i="5"/>
  <c r="I981" i="5"/>
  <c r="I757" i="5"/>
  <c r="I883" i="5"/>
  <c r="I899" i="5"/>
  <c r="I915" i="5"/>
  <c r="I931" i="5"/>
  <c r="I947" i="5"/>
  <c r="I963" i="5"/>
  <c r="I979" i="5"/>
  <c r="I995" i="5"/>
  <c r="I825" i="5"/>
  <c r="I841" i="5"/>
  <c r="I857" i="5"/>
  <c r="I873" i="5"/>
  <c r="I889" i="5"/>
  <c r="I905" i="5"/>
  <c r="I921" i="5"/>
  <c r="I937" i="5"/>
  <c r="I953" i="5"/>
  <c r="I969" i="5"/>
  <c r="I985" i="5"/>
  <c r="I1001" i="5"/>
  <c r="I761" i="5"/>
  <c r="I777" i="5"/>
  <c r="I793" i="5"/>
  <c r="I809" i="5"/>
  <c r="I722" i="5"/>
  <c r="I734" i="5"/>
  <c r="I746" i="5"/>
  <c r="I758" i="5"/>
  <c r="I774" i="5"/>
  <c r="I786" i="5"/>
  <c r="I798" i="5"/>
  <c r="I810" i="5"/>
  <c r="I826" i="5"/>
  <c r="I838" i="5"/>
  <c r="I854" i="5"/>
  <c r="I870" i="5"/>
  <c r="I882" i="5"/>
  <c r="I894" i="5"/>
  <c r="I910" i="5"/>
  <c r="I926" i="5"/>
  <c r="I942" i="5"/>
  <c r="I958" i="5"/>
  <c r="I970" i="5"/>
  <c r="I986" i="5"/>
  <c r="I467" i="5"/>
  <c r="I667" i="5"/>
  <c r="I699" i="5"/>
  <c r="I715" i="5"/>
  <c r="I731" i="5"/>
  <c r="I776" i="5"/>
  <c r="I824" i="5"/>
  <c r="I840" i="5"/>
  <c r="I888" i="5"/>
  <c r="I904" i="5"/>
  <c r="I952" i="5"/>
  <c r="I968" i="5"/>
  <c r="I760" i="5"/>
  <c r="I569" i="5"/>
  <c r="I860" i="5"/>
  <c r="I876" i="5"/>
  <c r="I924" i="5"/>
  <c r="I940" i="5"/>
  <c r="I988" i="5"/>
  <c r="I812" i="5"/>
  <c r="I525" i="5"/>
  <c r="I345" i="5"/>
  <c r="I361" i="5"/>
  <c r="I377" i="5"/>
  <c r="I393" i="5"/>
  <c r="I409" i="5"/>
  <c r="I425" i="5"/>
  <c r="I441" i="5"/>
  <c r="I457" i="5"/>
  <c r="I473" i="5"/>
  <c r="I489" i="5"/>
  <c r="I505" i="5"/>
  <c r="I637" i="5"/>
  <c r="I653" i="5"/>
  <c r="I669" i="5"/>
  <c r="I693" i="5"/>
  <c r="I701" i="5"/>
  <c r="I725" i="5"/>
  <c r="I733" i="5"/>
  <c r="I724" i="5"/>
  <c r="I585" i="5"/>
  <c r="I759" i="5"/>
  <c r="I775" i="5"/>
  <c r="I791" i="5"/>
  <c r="I807" i="5"/>
  <c r="I823" i="5"/>
  <c r="I839" i="5"/>
  <c r="I855" i="5"/>
  <c r="I919" i="5"/>
  <c r="I935" i="5"/>
  <c r="I951" i="5"/>
  <c r="I967" i="5"/>
  <c r="I983" i="5"/>
  <c r="I999" i="5"/>
  <c r="I989" i="5"/>
  <c r="I765" i="5"/>
  <c r="I763" i="5"/>
  <c r="I779" i="5"/>
  <c r="I795" i="5"/>
  <c r="I811" i="5"/>
  <c r="I827" i="5"/>
  <c r="I843" i="5"/>
  <c r="I859" i="5"/>
  <c r="I875" i="5"/>
  <c r="I961" i="5"/>
  <c r="I993" i="5"/>
  <c r="I785" i="5"/>
  <c r="I997" i="5"/>
  <c r="I17" i="5"/>
  <c r="I33" i="5"/>
  <c r="I49" i="5"/>
  <c r="I679" i="5"/>
  <c r="I687" i="5"/>
  <c r="I695" i="5"/>
  <c r="I735" i="5"/>
  <c r="I743" i="5"/>
  <c r="I832" i="5"/>
  <c r="I896" i="5"/>
  <c r="I960" i="5"/>
  <c r="I796" i="5"/>
  <c r="I65" i="5"/>
  <c r="I81" i="5"/>
  <c r="I97" i="5"/>
  <c r="I113" i="5"/>
  <c r="I129" i="5"/>
  <c r="I145" i="5"/>
  <c r="I161" i="5"/>
  <c r="I177" i="5"/>
  <c r="I193" i="5"/>
  <c r="I209" i="5"/>
  <c r="I225" i="5"/>
  <c r="I241" i="5"/>
  <c r="I249" i="5"/>
  <c r="I257" i="5"/>
  <c r="I265" i="5"/>
  <c r="I273" i="5"/>
  <c r="I281" i="5"/>
  <c r="I289" i="5"/>
  <c r="I297" i="5"/>
  <c r="I305" i="5"/>
  <c r="I321" i="5"/>
  <c r="I337" i="5"/>
  <c r="I14" i="5"/>
  <c r="I34" i="5"/>
  <c r="I74" i="5"/>
  <c r="I94" i="5"/>
  <c r="I146" i="5"/>
  <c r="I190" i="5"/>
  <c r="I258" i="5"/>
  <c r="I274" i="5"/>
  <c r="I310" i="5"/>
  <c r="I326" i="5"/>
  <c r="I342" i="5"/>
  <c r="I358" i="5"/>
  <c r="I374" i="5"/>
  <c r="I390" i="5"/>
  <c r="I406" i="5"/>
  <c r="I422" i="5"/>
  <c r="I438" i="5"/>
  <c r="I454" i="5"/>
  <c r="I470" i="5"/>
  <c r="I486" i="5"/>
  <c r="I502" i="5"/>
  <c r="I526" i="5"/>
  <c r="I542" i="5"/>
  <c r="I558" i="5"/>
  <c r="I574" i="5"/>
  <c r="I590" i="5"/>
  <c r="I602" i="5"/>
  <c r="I650" i="5"/>
  <c r="I706" i="5"/>
  <c r="I730" i="5"/>
  <c r="I770" i="5"/>
  <c r="I834" i="5"/>
  <c r="I850" i="5"/>
  <c r="I866" i="5"/>
  <c r="I886" i="5"/>
  <c r="I622" i="5"/>
  <c r="I634" i="5"/>
  <c r="I658" i="5"/>
  <c r="I674" i="5"/>
  <c r="I690" i="5"/>
  <c r="I702" i="5"/>
  <c r="I714" i="5"/>
  <c r="I726" i="5"/>
  <c r="I742" i="5"/>
  <c r="I754" i="5"/>
  <c r="I766" i="5"/>
  <c r="I778" i="5"/>
  <c r="I790" i="5"/>
  <c r="I806" i="5"/>
  <c r="I818" i="5"/>
  <c r="I830" i="5"/>
  <c r="I846" i="5"/>
  <c r="I862" i="5"/>
  <c r="I878" i="5"/>
  <c r="I890" i="5"/>
  <c r="I902" i="5"/>
  <c r="I918" i="5"/>
  <c r="I934" i="5"/>
  <c r="I950" i="5"/>
  <c r="I962" i="5"/>
  <c r="I978" i="5"/>
  <c r="I994" i="5"/>
  <c r="I879" i="5"/>
  <c r="I671" i="5"/>
  <c r="I719" i="5"/>
  <c r="I772" i="5"/>
  <c r="I788" i="5"/>
  <c r="I804" i="5"/>
  <c r="C6" i="3"/>
  <c r="C2" i="3"/>
  <c r="O13" i="9" l="1"/>
  <c r="P11" i="9"/>
  <c r="O14" i="9"/>
  <c r="P12" i="9"/>
  <c r="L6" i="9"/>
  <c r="M6" i="9" s="1"/>
  <c r="J5" i="9"/>
  <c r="H7" i="9"/>
  <c r="I6" i="9"/>
  <c r="G7" i="9"/>
  <c r="E8" i="9"/>
  <c r="C6" i="9"/>
  <c r="D6" i="9" s="1"/>
  <c r="B7" i="9"/>
  <c r="C2" i="6"/>
  <c r="O16" i="9" l="1"/>
  <c r="P14" i="9"/>
  <c r="O15" i="9"/>
  <c r="P13" i="9"/>
  <c r="J6" i="9"/>
  <c r="L7" i="9"/>
  <c r="M7" i="9" s="1"/>
  <c r="H8" i="9"/>
  <c r="I7" i="9"/>
  <c r="E9" i="9"/>
  <c r="F8" i="9"/>
  <c r="C7" i="9"/>
  <c r="D7" i="9" s="1"/>
  <c r="B8" i="9"/>
  <c r="O17" i="9" l="1"/>
  <c r="P15" i="9"/>
  <c r="O18" i="9"/>
  <c r="P16" i="9"/>
  <c r="L8" i="9"/>
  <c r="M8" i="9" s="1"/>
  <c r="J7" i="9"/>
  <c r="G8" i="9"/>
  <c r="I8" i="9"/>
  <c r="H9" i="9"/>
  <c r="E10" i="9"/>
  <c r="F9" i="9"/>
  <c r="C8" i="9"/>
  <c r="B9" i="9"/>
  <c r="O20" i="9" l="1"/>
  <c r="P18" i="9"/>
  <c r="O19" i="9"/>
  <c r="P17" i="9"/>
  <c r="J8" i="9"/>
  <c r="L9" i="9"/>
  <c r="M9" i="9" s="1"/>
  <c r="G9" i="9"/>
  <c r="H10" i="9"/>
  <c r="I9" i="9"/>
  <c r="E11" i="9"/>
  <c r="F11" i="9" s="1"/>
  <c r="F10" i="9"/>
  <c r="C9" i="9"/>
  <c r="D9" i="9" s="1"/>
  <c r="D8" i="9"/>
  <c r="B10" i="9"/>
  <c r="O21" i="9" l="1"/>
  <c r="P19" i="9"/>
  <c r="O22" i="9"/>
  <c r="P20" i="9"/>
  <c r="J9" i="9"/>
  <c r="L10" i="9"/>
  <c r="M10" i="9" s="1"/>
  <c r="G10" i="9"/>
  <c r="H11" i="9"/>
  <c r="I10" i="9"/>
  <c r="G11" i="9"/>
  <c r="E12" i="9"/>
  <c r="F12" i="9" s="1"/>
  <c r="C10" i="9"/>
  <c r="D10" i="9" s="1"/>
  <c r="B11" i="9"/>
  <c r="O24" i="9" l="1"/>
  <c r="P22" i="9"/>
  <c r="O23" i="9"/>
  <c r="P21" i="9"/>
  <c r="J10" i="9"/>
  <c r="L11" i="9"/>
  <c r="M11" i="9" s="1"/>
  <c r="H12" i="9"/>
  <c r="I11" i="9"/>
  <c r="G12" i="9"/>
  <c r="E13" i="9"/>
  <c r="F13" i="9" s="1"/>
  <c r="C11" i="9"/>
  <c r="D11" i="9" s="1"/>
  <c r="B12" i="9"/>
  <c r="O25" i="9" l="1"/>
  <c r="P23" i="9"/>
  <c r="O26" i="9"/>
  <c r="P24" i="9"/>
  <c r="L12" i="9"/>
  <c r="M12" i="9" s="1"/>
  <c r="J11" i="9"/>
  <c r="G13" i="9"/>
  <c r="I12" i="9"/>
  <c r="H13" i="9"/>
  <c r="E14" i="9"/>
  <c r="F14" i="9" s="1"/>
  <c r="C12" i="9"/>
  <c r="D12" i="9" s="1"/>
  <c r="B13" i="9"/>
  <c r="O28" i="9" l="1"/>
  <c r="P26" i="9"/>
  <c r="O27" i="9"/>
  <c r="P25" i="9"/>
  <c r="J12" i="9"/>
  <c r="L13" i="9"/>
  <c r="M13" i="9" s="1"/>
  <c r="G14" i="9"/>
  <c r="I13" i="9"/>
  <c r="H14" i="9"/>
  <c r="E15" i="9"/>
  <c r="F15" i="9" s="1"/>
  <c r="C13" i="9"/>
  <c r="B14" i="9"/>
  <c r="O29" i="9" l="1"/>
  <c r="P27" i="9"/>
  <c r="O30" i="9"/>
  <c r="P28" i="9"/>
  <c r="L14" i="9"/>
  <c r="M14" i="9" s="1"/>
  <c r="J13" i="9"/>
  <c r="H15" i="9"/>
  <c r="I14" i="9"/>
  <c r="G15" i="9"/>
  <c r="E16" i="9"/>
  <c r="F16" i="9" s="1"/>
  <c r="C14" i="9"/>
  <c r="D14" i="9" s="1"/>
  <c r="D13" i="9"/>
  <c r="B15" i="9"/>
  <c r="O32" i="9" l="1"/>
  <c r="P30" i="9"/>
  <c r="O31" i="9"/>
  <c r="P29" i="9"/>
  <c r="J14" i="9"/>
  <c r="L15" i="9"/>
  <c r="M15" i="9" s="1"/>
  <c r="G16" i="9"/>
  <c r="H16" i="9"/>
  <c r="I15" i="9"/>
  <c r="E17" i="9"/>
  <c r="F17" i="9" s="1"/>
  <c r="C15" i="9"/>
  <c r="D15" i="9" s="1"/>
  <c r="B16" i="9"/>
  <c r="O33" i="9" l="1"/>
  <c r="P31" i="9"/>
  <c r="O34" i="9"/>
  <c r="P32" i="9"/>
  <c r="J15" i="9"/>
  <c r="L16" i="9"/>
  <c r="M16" i="9" s="1"/>
  <c r="G17" i="9"/>
  <c r="H17" i="9"/>
  <c r="I16" i="9"/>
  <c r="E18" i="9"/>
  <c r="F18" i="9" s="1"/>
  <c r="C16" i="9"/>
  <c r="B17" i="9"/>
  <c r="O36" i="9" l="1"/>
  <c r="P34" i="9"/>
  <c r="O35" i="9"/>
  <c r="P33" i="9"/>
  <c r="J16" i="9"/>
  <c r="L17" i="9"/>
  <c r="M17" i="9" s="1"/>
  <c r="G18" i="9"/>
  <c r="I17" i="9"/>
  <c r="H18" i="9"/>
  <c r="E19" i="9"/>
  <c r="F19" i="9" s="1"/>
  <c r="C17" i="9"/>
  <c r="D16" i="9"/>
  <c r="B18" i="9"/>
  <c r="O37" i="9" l="1"/>
  <c r="P35" i="9"/>
  <c r="O38" i="9"/>
  <c r="P36" i="9"/>
  <c r="J17" i="9"/>
  <c r="L18" i="9"/>
  <c r="M18" i="9" s="1"/>
  <c r="G19" i="9"/>
  <c r="H19" i="9"/>
  <c r="I18" i="9"/>
  <c r="E20" i="9"/>
  <c r="F20" i="9" s="1"/>
  <c r="C18" i="9"/>
  <c r="D18" i="9" s="1"/>
  <c r="D17" i="9"/>
  <c r="B19" i="9"/>
  <c r="O40" i="9" l="1"/>
  <c r="P38" i="9"/>
  <c r="O39" i="9"/>
  <c r="P37" i="9"/>
  <c r="J18" i="9"/>
  <c r="L19" i="9"/>
  <c r="M19" i="9" s="1"/>
  <c r="H20" i="9"/>
  <c r="I19" i="9"/>
  <c r="G20" i="9"/>
  <c r="E21" i="9"/>
  <c r="F21" i="9" s="1"/>
  <c r="C19" i="9"/>
  <c r="B20" i="9"/>
  <c r="O41" i="9" l="1"/>
  <c r="P39" i="9"/>
  <c r="O42" i="9"/>
  <c r="P40" i="9"/>
  <c r="J19" i="9"/>
  <c r="L20" i="9"/>
  <c r="M20" i="9" s="1"/>
  <c r="G21" i="9"/>
  <c r="I20" i="9"/>
  <c r="H21" i="9"/>
  <c r="E22" i="9"/>
  <c r="F22" i="9" s="1"/>
  <c r="C20" i="9"/>
  <c r="D20" i="9" s="1"/>
  <c r="D19" i="9"/>
  <c r="B21" i="9"/>
  <c r="O44" i="9" l="1"/>
  <c r="P42" i="9"/>
  <c r="O43" i="9"/>
  <c r="P41" i="9"/>
  <c r="J20" i="9"/>
  <c r="L21" i="9"/>
  <c r="M21" i="9" s="1"/>
  <c r="G22" i="9"/>
  <c r="I21" i="9"/>
  <c r="H22" i="9"/>
  <c r="E23" i="9"/>
  <c r="F23" i="9" s="1"/>
  <c r="C21" i="9"/>
  <c r="D21" i="9" s="1"/>
  <c r="B22" i="9"/>
  <c r="O45" i="9" l="1"/>
  <c r="P43" i="9"/>
  <c r="O46" i="9"/>
  <c r="P44" i="9"/>
  <c r="J21" i="9"/>
  <c r="L22" i="9"/>
  <c r="M22" i="9" s="1"/>
  <c r="G23" i="9"/>
  <c r="H23" i="9"/>
  <c r="I22" i="9"/>
  <c r="E24" i="9"/>
  <c r="F24" i="9" s="1"/>
  <c r="C22" i="9"/>
  <c r="B23" i="9"/>
  <c r="O48" i="9" l="1"/>
  <c r="P46" i="9"/>
  <c r="O47" i="9"/>
  <c r="P45" i="9"/>
  <c r="J22" i="9"/>
  <c r="L23" i="9"/>
  <c r="M23" i="9" s="1"/>
  <c r="G24" i="9"/>
  <c r="H24" i="9"/>
  <c r="I23" i="9"/>
  <c r="E25" i="9"/>
  <c r="F25" i="9" s="1"/>
  <c r="C23" i="9"/>
  <c r="D23" i="9" s="1"/>
  <c r="D22" i="9"/>
  <c r="B24" i="9"/>
  <c r="O49" i="9" l="1"/>
  <c r="P47" i="9"/>
  <c r="O50" i="9"/>
  <c r="P48" i="9"/>
  <c r="J23" i="9"/>
  <c r="L24" i="9"/>
  <c r="M24" i="9" s="1"/>
  <c r="G25" i="9"/>
  <c r="H25" i="9"/>
  <c r="I24" i="9"/>
  <c r="E26" i="9"/>
  <c r="F26" i="9" s="1"/>
  <c r="C24" i="9"/>
  <c r="D24" i="9" s="1"/>
  <c r="B25" i="9"/>
  <c r="O52" i="9" l="1"/>
  <c r="P50" i="9"/>
  <c r="O51" i="9"/>
  <c r="P49" i="9"/>
  <c r="J24" i="9"/>
  <c r="L25" i="9"/>
  <c r="M25" i="9" s="1"/>
  <c r="H26" i="9"/>
  <c r="I25" i="9"/>
  <c r="G26" i="9"/>
  <c r="E27" i="9"/>
  <c r="F27" i="9" s="1"/>
  <c r="C25" i="9"/>
  <c r="D25" i="9" s="1"/>
  <c r="B26" i="9"/>
  <c r="O53" i="9" l="1"/>
  <c r="P51" i="9"/>
  <c r="O54" i="9"/>
  <c r="P52" i="9"/>
  <c r="J25" i="9"/>
  <c r="L26" i="9"/>
  <c r="M26" i="9" s="1"/>
  <c r="G27" i="9"/>
  <c r="H27" i="9"/>
  <c r="I26" i="9"/>
  <c r="E28" i="9"/>
  <c r="F28" i="9" s="1"/>
  <c r="C26" i="9"/>
  <c r="B27" i="9"/>
  <c r="O56" i="9" l="1"/>
  <c r="P54" i="9"/>
  <c r="O55" i="9"/>
  <c r="P53" i="9"/>
  <c r="J26" i="9"/>
  <c r="L27" i="9"/>
  <c r="M27" i="9" s="1"/>
  <c r="G28" i="9"/>
  <c r="H28" i="9"/>
  <c r="I27" i="9"/>
  <c r="E29" i="9"/>
  <c r="F29" i="9" s="1"/>
  <c r="C27" i="9"/>
  <c r="D27" i="9" s="1"/>
  <c r="D26" i="9"/>
  <c r="B28" i="9"/>
  <c r="O57" i="9" l="1"/>
  <c r="P55" i="9"/>
  <c r="O58" i="9"/>
  <c r="P56" i="9"/>
  <c r="J27" i="9"/>
  <c r="L28" i="9"/>
  <c r="M28" i="9" s="1"/>
  <c r="G29" i="9"/>
  <c r="H29" i="9"/>
  <c r="I28" i="9"/>
  <c r="E30" i="9"/>
  <c r="F30" i="9" s="1"/>
  <c r="C28" i="9"/>
  <c r="D28" i="9" s="1"/>
  <c r="B29" i="9"/>
  <c r="O60" i="9" l="1"/>
  <c r="P58" i="9"/>
  <c r="O59" i="9"/>
  <c r="P57" i="9"/>
  <c r="J28" i="9"/>
  <c r="L29" i="9"/>
  <c r="M29" i="9" s="1"/>
  <c r="G30" i="9"/>
  <c r="I29" i="9"/>
  <c r="H30" i="9"/>
  <c r="E31" i="9"/>
  <c r="F31" i="9" s="1"/>
  <c r="C29" i="9"/>
  <c r="B30" i="9"/>
  <c r="O61" i="9" l="1"/>
  <c r="P59" i="9"/>
  <c r="O62" i="9"/>
  <c r="P60" i="9"/>
  <c r="L30" i="9"/>
  <c r="M30" i="9" s="1"/>
  <c r="J29" i="9"/>
  <c r="G31" i="9"/>
  <c r="H31" i="9"/>
  <c r="I30" i="9"/>
  <c r="E32" i="9"/>
  <c r="F32" i="9" s="1"/>
  <c r="C30" i="9"/>
  <c r="D30" i="9" s="1"/>
  <c r="D29" i="9"/>
  <c r="B31" i="9"/>
  <c r="O64" i="9" l="1"/>
  <c r="P62" i="9"/>
  <c r="O63" i="9"/>
  <c r="P61" i="9"/>
  <c r="J30" i="9"/>
  <c r="L31" i="9"/>
  <c r="M31" i="9" s="1"/>
  <c r="H32" i="9"/>
  <c r="I31" i="9"/>
  <c r="G32" i="9"/>
  <c r="E33" i="9"/>
  <c r="F33" i="9" s="1"/>
  <c r="C31" i="9"/>
  <c r="B32" i="9"/>
  <c r="O65" i="9" l="1"/>
  <c r="P63" i="9"/>
  <c r="O66" i="9"/>
  <c r="P64" i="9"/>
  <c r="L32" i="9"/>
  <c r="M32" i="9" s="1"/>
  <c r="J31" i="9"/>
  <c r="G33" i="9"/>
  <c r="H33" i="9"/>
  <c r="I32" i="9"/>
  <c r="E34" i="9"/>
  <c r="F34" i="9" s="1"/>
  <c r="C32" i="9"/>
  <c r="D31" i="9"/>
  <c r="B33" i="9"/>
  <c r="O68" i="9" l="1"/>
  <c r="P66" i="9"/>
  <c r="O67" i="9"/>
  <c r="P65" i="9"/>
  <c r="J32" i="9"/>
  <c r="L33" i="9"/>
  <c r="M33" i="9" s="1"/>
  <c r="G34" i="9"/>
  <c r="H34" i="9"/>
  <c r="I33" i="9"/>
  <c r="E35" i="9"/>
  <c r="F35" i="9" s="1"/>
  <c r="D32" i="9"/>
  <c r="C33" i="9"/>
  <c r="D33" i="9" s="1"/>
  <c r="B34" i="9"/>
  <c r="O69" i="9" l="1"/>
  <c r="P67" i="9"/>
  <c r="O70" i="9"/>
  <c r="P68" i="9"/>
  <c r="J33" i="9"/>
  <c r="L34" i="9"/>
  <c r="M34" i="9" s="1"/>
  <c r="G35" i="9"/>
  <c r="H35" i="9"/>
  <c r="I34" i="9"/>
  <c r="E36" i="9"/>
  <c r="F36" i="9" s="1"/>
  <c r="C34" i="9"/>
  <c r="B35" i="9"/>
  <c r="O72" i="9" l="1"/>
  <c r="P70" i="9"/>
  <c r="O71" i="9"/>
  <c r="P69" i="9"/>
  <c r="J34" i="9"/>
  <c r="L35" i="9"/>
  <c r="M35" i="9" s="1"/>
  <c r="G36" i="9"/>
  <c r="H36" i="9"/>
  <c r="I35" i="9"/>
  <c r="E37" i="9"/>
  <c r="F37" i="9" s="1"/>
  <c r="C35" i="9"/>
  <c r="D35" i="9" s="1"/>
  <c r="D34" i="9"/>
  <c r="B36" i="9"/>
  <c r="O73" i="9" l="1"/>
  <c r="P71" i="9"/>
  <c r="O74" i="9"/>
  <c r="P72" i="9"/>
  <c r="J35" i="9"/>
  <c r="L36" i="9"/>
  <c r="M36" i="9" s="1"/>
  <c r="I36" i="9"/>
  <c r="H37" i="9"/>
  <c r="G37" i="9"/>
  <c r="E38" i="9"/>
  <c r="F38" i="9" s="1"/>
  <c r="C36" i="9"/>
  <c r="D36" i="9" s="1"/>
  <c r="B37" i="9"/>
  <c r="O76" i="9" l="1"/>
  <c r="P74" i="9"/>
  <c r="O75" i="9"/>
  <c r="P73" i="9"/>
  <c r="L37" i="9"/>
  <c r="M37" i="9" s="1"/>
  <c r="J36" i="9"/>
  <c r="G38" i="9"/>
  <c r="I37" i="9"/>
  <c r="H38" i="9"/>
  <c r="E39" i="9"/>
  <c r="F39" i="9" s="1"/>
  <c r="C37" i="9"/>
  <c r="B38" i="9"/>
  <c r="O77" i="9" l="1"/>
  <c r="P75" i="9"/>
  <c r="O78" i="9"/>
  <c r="P76" i="9"/>
  <c r="J37" i="9"/>
  <c r="L38" i="9"/>
  <c r="M38" i="9" s="1"/>
  <c r="G39" i="9"/>
  <c r="I38" i="9"/>
  <c r="H39" i="9"/>
  <c r="E40" i="9"/>
  <c r="F40" i="9" s="1"/>
  <c r="C38" i="9"/>
  <c r="D38" i="9" s="1"/>
  <c r="D37" i="9"/>
  <c r="B39" i="9"/>
  <c r="O80" i="9" l="1"/>
  <c r="P78" i="9"/>
  <c r="O79" i="9"/>
  <c r="P77" i="9"/>
  <c r="L39" i="9"/>
  <c r="M39" i="9" s="1"/>
  <c r="J38" i="9"/>
  <c r="G40" i="9"/>
  <c r="H40" i="9"/>
  <c r="I39" i="9"/>
  <c r="E41" i="9"/>
  <c r="F41" i="9" s="1"/>
  <c r="C39" i="9"/>
  <c r="B40" i="9"/>
  <c r="O81" i="9" l="1"/>
  <c r="P79" i="9"/>
  <c r="O82" i="9"/>
  <c r="P80" i="9"/>
  <c r="J39" i="9"/>
  <c r="L40" i="9"/>
  <c r="M40" i="9" s="1"/>
  <c r="G41" i="9"/>
  <c r="I40" i="9"/>
  <c r="H41" i="9"/>
  <c r="E42" i="9"/>
  <c r="F42" i="9" s="1"/>
  <c r="C40" i="9"/>
  <c r="D40" i="9" s="1"/>
  <c r="D39" i="9"/>
  <c r="B41" i="9"/>
  <c r="O84" i="9" l="1"/>
  <c r="P82" i="9"/>
  <c r="O83" i="9"/>
  <c r="P81" i="9"/>
  <c r="L41" i="9"/>
  <c r="M41" i="9" s="1"/>
  <c r="J40" i="9"/>
  <c r="G42" i="9"/>
  <c r="H42" i="9"/>
  <c r="I41" i="9"/>
  <c r="E43" i="9"/>
  <c r="F43" i="9" s="1"/>
  <c r="C41" i="9"/>
  <c r="B42" i="9"/>
  <c r="O85" i="9" l="1"/>
  <c r="P83" i="9"/>
  <c r="O86" i="9"/>
  <c r="P84" i="9"/>
  <c r="J41" i="9"/>
  <c r="L42" i="9"/>
  <c r="M42" i="9" s="1"/>
  <c r="G43" i="9"/>
  <c r="H43" i="9"/>
  <c r="I42" i="9"/>
  <c r="E44" i="9"/>
  <c r="F44" i="9" s="1"/>
  <c r="D41" i="9"/>
  <c r="C42" i="9"/>
  <c r="B43" i="9"/>
  <c r="O88" i="9" l="1"/>
  <c r="P86" i="9"/>
  <c r="O87" i="9"/>
  <c r="P85" i="9"/>
  <c r="J42" i="9"/>
  <c r="L43" i="9"/>
  <c r="M43" i="9" s="1"/>
  <c r="G44" i="9"/>
  <c r="H44" i="9"/>
  <c r="I43" i="9"/>
  <c r="E45" i="9"/>
  <c r="F45" i="9" s="1"/>
  <c r="D42" i="9"/>
  <c r="C43" i="9"/>
  <c r="B44" i="9"/>
  <c r="O89" i="9" l="1"/>
  <c r="P87" i="9"/>
  <c r="O90" i="9"/>
  <c r="P88" i="9"/>
  <c r="J43" i="9"/>
  <c r="L44" i="9"/>
  <c r="M44" i="9" s="1"/>
  <c r="G45" i="9"/>
  <c r="H45" i="9"/>
  <c r="I44" i="9"/>
  <c r="E46" i="9"/>
  <c r="F46" i="9" s="1"/>
  <c r="D43" i="9"/>
  <c r="C44" i="9"/>
  <c r="B45" i="9"/>
  <c r="O92" i="9" l="1"/>
  <c r="P90" i="9"/>
  <c r="O91" i="9"/>
  <c r="P89" i="9"/>
  <c r="J44" i="9"/>
  <c r="L45" i="9"/>
  <c r="M45" i="9" s="1"/>
  <c r="G46" i="9"/>
  <c r="I45" i="9"/>
  <c r="H46" i="9"/>
  <c r="E47" i="9"/>
  <c r="F47" i="9" s="1"/>
  <c r="D44" i="9"/>
  <c r="C45" i="9"/>
  <c r="D45" i="9" s="1"/>
  <c r="B46" i="9"/>
  <c r="O93" i="9" l="1"/>
  <c r="P91" i="9"/>
  <c r="O94" i="9"/>
  <c r="P92" i="9"/>
  <c r="L46" i="9"/>
  <c r="M46" i="9" s="1"/>
  <c r="J45" i="9"/>
  <c r="G47" i="9"/>
  <c r="H47" i="9"/>
  <c r="I46" i="9"/>
  <c r="E48" i="9"/>
  <c r="F48" i="9" s="1"/>
  <c r="C46" i="9"/>
  <c r="B47" i="9"/>
  <c r="O96" i="9" l="1"/>
  <c r="P94" i="9"/>
  <c r="O95" i="9"/>
  <c r="P93" i="9"/>
  <c r="J46" i="9"/>
  <c r="L47" i="9"/>
  <c r="M47" i="9" s="1"/>
  <c r="H48" i="9"/>
  <c r="I47" i="9"/>
  <c r="G48" i="9"/>
  <c r="E49" i="9"/>
  <c r="F49" i="9" s="1"/>
  <c r="C47" i="9"/>
  <c r="D46" i="9"/>
  <c r="B48" i="9"/>
  <c r="O97" i="9" l="1"/>
  <c r="P95" i="9"/>
  <c r="O98" i="9"/>
  <c r="P96" i="9"/>
  <c r="L48" i="9"/>
  <c r="M48" i="9" s="1"/>
  <c r="J47" i="9"/>
  <c r="G49" i="9"/>
  <c r="H49" i="9"/>
  <c r="I48" i="9"/>
  <c r="E50" i="9"/>
  <c r="F50" i="9" s="1"/>
  <c r="C48" i="9"/>
  <c r="D48" i="9" s="1"/>
  <c r="D47" i="9"/>
  <c r="B49" i="9"/>
  <c r="O100" i="9" l="1"/>
  <c r="P98" i="9"/>
  <c r="O99" i="9"/>
  <c r="P97" i="9"/>
  <c r="J48" i="9"/>
  <c r="L49" i="9"/>
  <c r="M49" i="9" s="1"/>
  <c r="G50" i="9"/>
  <c r="H50" i="9"/>
  <c r="I49" i="9"/>
  <c r="E51" i="9"/>
  <c r="F51" i="9" s="1"/>
  <c r="C49" i="9"/>
  <c r="B50" i="9"/>
  <c r="O101" i="9" l="1"/>
  <c r="P99" i="9"/>
  <c r="O102" i="9"/>
  <c r="P100" i="9"/>
  <c r="J49" i="9"/>
  <c r="L50" i="9"/>
  <c r="M50" i="9" s="1"/>
  <c r="G51" i="9"/>
  <c r="H51" i="9"/>
  <c r="I50" i="9"/>
  <c r="E52" i="9"/>
  <c r="F52" i="9" s="1"/>
  <c r="C50" i="9"/>
  <c r="D50" i="9" s="1"/>
  <c r="D49" i="9"/>
  <c r="B51" i="9"/>
  <c r="O104" i="9" l="1"/>
  <c r="P102" i="9"/>
  <c r="O103" i="9"/>
  <c r="P101" i="9"/>
  <c r="J50" i="9"/>
  <c r="L51" i="9"/>
  <c r="M51" i="9" s="1"/>
  <c r="G52" i="9"/>
  <c r="H52" i="9"/>
  <c r="I51" i="9"/>
  <c r="E53" i="9"/>
  <c r="F53" i="9" s="1"/>
  <c r="C51" i="9"/>
  <c r="B52" i="9"/>
  <c r="O105" i="9" l="1"/>
  <c r="P103" i="9"/>
  <c r="O106" i="9"/>
  <c r="P104" i="9"/>
  <c r="J51" i="9"/>
  <c r="L52" i="9"/>
  <c r="M52" i="9" s="1"/>
  <c r="H53" i="9"/>
  <c r="I52" i="9"/>
  <c r="G53" i="9"/>
  <c r="E54" i="9"/>
  <c r="F54" i="9" s="1"/>
  <c r="C52" i="9"/>
  <c r="D52" i="9" s="1"/>
  <c r="D51" i="9"/>
  <c r="B53" i="9"/>
  <c r="O108" i="9" l="1"/>
  <c r="P106" i="9"/>
  <c r="O107" i="9"/>
  <c r="P105" i="9"/>
  <c r="L53" i="9"/>
  <c r="M53" i="9" s="1"/>
  <c r="J52" i="9"/>
  <c r="G54" i="9"/>
  <c r="I53" i="9"/>
  <c r="H54" i="9"/>
  <c r="E55" i="9"/>
  <c r="F55" i="9" s="1"/>
  <c r="C53" i="9"/>
  <c r="D53" i="9" s="1"/>
  <c r="B54" i="9"/>
  <c r="O109" i="9" l="1"/>
  <c r="P107" i="9"/>
  <c r="O110" i="9"/>
  <c r="P108" i="9"/>
  <c r="J53" i="9"/>
  <c r="L54" i="9"/>
  <c r="M54" i="9" s="1"/>
  <c r="G55" i="9"/>
  <c r="H55" i="9"/>
  <c r="I54" i="9"/>
  <c r="E56" i="9"/>
  <c r="F56" i="9" s="1"/>
  <c r="C54" i="9"/>
  <c r="B55" i="9"/>
  <c r="O112" i="9" l="1"/>
  <c r="P110" i="9"/>
  <c r="O111" i="9"/>
  <c r="P109" i="9"/>
  <c r="J54" i="9"/>
  <c r="L55" i="9"/>
  <c r="M55" i="9" s="1"/>
  <c r="G56" i="9"/>
  <c r="H56" i="9"/>
  <c r="I55" i="9"/>
  <c r="E57" i="9"/>
  <c r="F57" i="9" s="1"/>
  <c r="C55" i="9"/>
  <c r="D55" i="9" s="1"/>
  <c r="D54" i="9"/>
  <c r="B56" i="9"/>
  <c r="O114" i="9" l="1"/>
  <c r="P112" i="9"/>
  <c r="O113" i="9"/>
  <c r="P111" i="9"/>
  <c r="J55" i="9"/>
  <c r="L56" i="9"/>
  <c r="M56" i="9" s="1"/>
  <c r="H57" i="9"/>
  <c r="I56" i="9"/>
  <c r="G57" i="9"/>
  <c r="E58" i="9"/>
  <c r="F58" i="9" s="1"/>
  <c r="C56" i="9"/>
  <c r="B57" i="9"/>
  <c r="O115" i="9" l="1"/>
  <c r="P113" i="9"/>
  <c r="O116" i="9"/>
  <c r="P114" i="9"/>
  <c r="L57" i="9"/>
  <c r="M57" i="9" s="1"/>
  <c r="J56" i="9"/>
  <c r="G58" i="9"/>
  <c r="H58" i="9"/>
  <c r="I57" i="9"/>
  <c r="E59" i="9"/>
  <c r="F59" i="9" s="1"/>
  <c r="C57" i="9"/>
  <c r="D57" i="9" s="1"/>
  <c r="D56" i="9"/>
  <c r="B58" i="9"/>
  <c r="O118" i="9" l="1"/>
  <c r="P116" i="9"/>
  <c r="O117" i="9"/>
  <c r="P115" i="9"/>
  <c r="J57" i="9"/>
  <c r="L58" i="9"/>
  <c r="M58" i="9" s="1"/>
  <c r="G59" i="9"/>
  <c r="H59" i="9"/>
  <c r="I58" i="9"/>
  <c r="E60" i="9"/>
  <c r="F60" i="9" s="1"/>
  <c r="C58" i="9"/>
  <c r="B59" i="9"/>
  <c r="O119" i="9" l="1"/>
  <c r="P117" i="9"/>
  <c r="O120" i="9"/>
  <c r="P118" i="9"/>
  <c r="J58" i="9"/>
  <c r="L59" i="9"/>
  <c r="M59" i="9" s="1"/>
  <c r="G60" i="9"/>
  <c r="H60" i="9"/>
  <c r="I59" i="9"/>
  <c r="E61" i="9"/>
  <c r="F61" i="9" s="1"/>
  <c r="C59" i="9"/>
  <c r="D59" i="9" s="1"/>
  <c r="D58" i="9"/>
  <c r="B60" i="9"/>
  <c r="O122" i="9" l="1"/>
  <c r="P120" i="9"/>
  <c r="O121" i="9"/>
  <c r="P119" i="9"/>
  <c r="J59" i="9"/>
  <c r="L60" i="9"/>
  <c r="M60" i="9" s="1"/>
  <c r="H61" i="9"/>
  <c r="I60" i="9"/>
  <c r="G61" i="9"/>
  <c r="E62" i="9"/>
  <c r="F62" i="9" s="1"/>
  <c r="C60" i="9"/>
  <c r="B61" i="9"/>
  <c r="O123" i="9" l="1"/>
  <c r="P121" i="9"/>
  <c r="O124" i="9"/>
  <c r="P122" i="9"/>
  <c r="L61" i="9"/>
  <c r="M61" i="9" s="1"/>
  <c r="J60" i="9"/>
  <c r="G62" i="9"/>
  <c r="I61" i="9"/>
  <c r="H62" i="9"/>
  <c r="E63" i="9"/>
  <c r="F63" i="9" s="1"/>
  <c r="D60" i="9"/>
  <c r="C61" i="9"/>
  <c r="B62" i="9"/>
  <c r="O126" i="9" l="1"/>
  <c r="P124" i="9"/>
  <c r="O125" i="9"/>
  <c r="P123" i="9"/>
  <c r="J61" i="9"/>
  <c r="L62" i="9"/>
  <c r="M62" i="9" s="1"/>
  <c r="G63" i="9"/>
  <c r="H63" i="9"/>
  <c r="I62" i="9"/>
  <c r="E64" i="9"/>
  <c r="F64" i="9" s="1"/>
  <c r="D61" i="9"/>
  <c r="C62" i="9"/>
  <c r="B63" i="9"/>
  <c r="O127" i="9" l="1"/>
  <c r="P125" i="9"/>
  <c r="O128" i="9"/>
  <c r="P126" i="9"/>
  <c r="J62" i="9"/>
  <c r="L63" i="9"/>
  <c r="M63" i="9" s="1"/>
  <c r="G64" i="9"/>
  <c r="H64" i="9"/>
  <c r="I63" i="9"/>
  <c r="E65" i="9"/>
  <c r="F65" i="9" s="1"/>
  <c r="D62" i="9"/>
  <c r="C63" i="9"/>
  <c r="D63" i="9" s="1"/>
  <c r="B64" i="9"/>
  <c r="O129" i="9" l="1"/>
  <c r="P127" i="9"/>
  <c r="O130" i="9"/>
  <c r="P128" i="9"/>
  <c r="J63" i="9"/>
  <c r="L64" i="9"/>
  <c r="M64" i="9" s="1"/>
  <c r="G65" i="9"/>
  <c r="H65" i="9"/>
  <c r="I64" i="9"/>
  <c r="E66" i="9"/>
  <c r="F66" i="9" s="1"/>
  <c r="C64" i="9"/>
  <c r="B65" i="9"/>
  <c r="O131" i="9" l="1"/>
  <c r="P129" i="9"/>
  <c r="O132" i="9"/>
  <c r="P130" i="9"/>
  <c r="J64" i="9"/>
  <c r="L65" i="9"/>
  <c r="M65" i="9" s="1"/>
  <c r="G66" i="9"/>
  <c r="H66" i="9"/>
  <c r="I65" i="9"/>
  <c r="E67" i="9"/>
  <c r="F67" i="9" s="1"/>
  <c r="C65" i="9"/>
  <c r="D65" i="9" s="1"/>
  <c r="D64" i="9"/>
  <c r="B66" i="9"/>
  <c r="O134" i="9" l="1"/>
  <c r="P132" i="9"/>
  <c r="O133" i="9"/>
  <c r="P131" i="9"/>
  <c r="J65" i="9"/>
  <c r="L66" i="9"/>
  <c r="M66" i="9" s="1"/>
  <c r="G67" i="9"/>
  <c r="H67" i="9"/>
  <c r="I66" i="9"/>
  <c r="E68" i="9"/>
  <c r="F68" i="9" s="1"/>
  <c r="C66" i="9"/>
  <c r="B67" i="9"/>
  <c r="O135" i="9" l="1"/>
  <c r="P133" i="9"/>
  <c r="O136" i="9"/>
  <c r="P134" i="9"/>
  <c r="J66" i="9"/>
  <c r="L67" i="9"/>
  <c r="M67" i="9" s="1"/>
  <c r="G68" i="9"/>
  <c r="H68" i="9"/>
  <c r="I67" i="9"/>
  <c r="E69" i="9"/>
  <c r="F69" i="9" s="1"/>
  <c r="C67" i="9"/>
  <c r="D67" i="9" s="1"/>
  <c r="D66" i="9"/>
  <c r="B68" i="9"/>
  <c r="O138" i="9" l="1"/>
  <c r="P136" i="9"/>
  <c r="O137" i="9"/>
  <c r="P135" i="9"/>
  <c r="J67" i="9"/>
  <c r="L68" i="9"/>
  <c r="M68" i="9" s="1"/>
  <c r="H69" i="9"/>
  <c r="I68" i="9"/>
  <c r="G69" i="9"/>
  <c r="E70" i="9"/>
  <c r="F70" i="9" s="1"/>
  <c r="C68" i="9"/>
  <c r="D68" i="9" s="1"/>
  <c r="B69" i="9"/>
  <c r="O139" i="9" l="1"/>
  <c r="P137" i="9"/>
  <c r="O140" i="9"/>
  <c r="P138" i="9"/>
  <c r="L69" i="9"/>
  <c r="M69" i="9" s="1"/>
  <c r="J68" i="9"/>
  <c r="G70" i="9"/>
  <c r="I69" i="9"/>
  <c r="H70" i="9"/>
  <c r="E71" i="9"/>
  <c r="F71" i="9" s="1"/>
  <c r="C69" i="9"/>
  <c r="B70" i="9"/>
  <c r="O142" i="9" l="1"/>
  <c r="P140" i="9"/>
  <c r="O141" i="9"/>
  <c r="P139" i="9"/>
  <c r="J69" i="9"/>
  <c r="L70" i="9"/>
  <c r="M70" i="9" s="1"/>
  <c r="G71" i="9"/>
  <c r="H71" i="9"/>
  <c r="I70" i="9"/>
  <c r="E72" i="9"/>
  <c r="F72" i="9" s="1"/>
  <c r="C70" i="9"/>
  <c r="D70" i="9" s="1"/>
  <c r="D69" i="9"/>
  <c r="B71" i="9"/>
  <c r="O143" i="9" l="1"/>
  <c r="P141" i="9"/>
  <c r="O144" i="9"/>
  <c r="P142" i="9"/>
  <c r="J70" i="9"/>
  <c r="L71" i="9"/>
  <c r="M71" i="9" s="1"/>
  <c r="G72" i="9"/>
  <c r="H72" i="9"/>
  <c r="I71" i="9"/>
  <c r="E73" i="9"/>
  <c r="F73" i="9" s="1"/>
  <c r="C71" i="9"/>
  <c r="D71" i="9" s="1"/>
  <c r="B72" i="9"/>
  <c r="O146" i="9" l="1"/>
  <c r="P144" i="9"/>
  <c r="O145" i="9"/>
  <c r="P143" i="9"/>
  <c r="J71" i="9"/>
  <c r="L72" i="9"/>
  <c r="M72" i="9" s="1"/>
  <c r="G73" i="9"/>
  <c r="H73" i="9"/>
  <c r="I72" i="9"/>
  <c r="E74" i="9"/>
  <c r="F74" i="9" s="1"/>
  <c r="C72" i="9"/>
  <c r="B73" i="9"/>
  <c r="O147" i="9" l="1"/>
  <c r="P145" i="9"/>
  <c r="O148" i="9"/>
  <c r="P146" i="9"/>
  <c r="J72" i="9"/>
  <c r="L73" i="9"/>
  <c r="M73" i="9" s="1"/>
  <c r="G74" i="9"/>
  <c r="H74" i="9"/>
  <c r="I73" i="9"/>
  <c r="E75" i="9"/>
  <c r="F75" i="9" s="1"/>
  <c r="C73" i="9"/>
  <c r="D73" i="9" s="1"/>
  <c r="D72" i="9"/>
  <c r="B74" i="9"/>
  <c r="O150" i="9" l="1"/>
  <c r="P148" i="9"/>
  <c r="O149" i="9"/>
  <c r="P147" i="9"/>
  <c r="J73" i="9"/>
  <c r="L74" i="9"/>
  <c r="M74" i="9" s="1"/>
  <c r="G75" i="9"/>
  <c r="H75" i="9"/>
  <c r="I74" i="9"/>
  <c r="E76" i="9"/>
  <c r="F76" i="9" s="1"/>
  <c r="C74" i="9"/>
  <c r="B75" i="9"/>
  <c r="O151" i="9" l="1"/>
  <c r="P149" i="9"/>
  <c r="O152" i="9"/>
  <c r="P150" i="9"/>
  <c r="J74" i="9"/>
  <c r="L75" i="9"/>
  <c r="M75" i="9" s="1"/>
  <c r="G76" i="9"/>
  <c r="H76" i="9"/>
  <c r="I75" i="9"/>
  <c r="E77" i="9"/>
  <c r="F77" i="9" s="1"/>
  <c r="C75" i="9"/>
  <c r="D75" i="9" s="1"/>
  <c r="D74" i="9"/>
  <c r="B76" i="9"/>
  <c r="O154" i="9" l="1"/>
  <c r="P152" i="9"/>
  <c r="O153" i="9"/>
  <c r="P151" i="9"/>
  <c r="J75" i="9"/>
  <c r="L76" i="9"/>
  <c r="M76" i="9" s="1"/>
  <c r="G77" i="9"/>
  <c r="H77" i="9"/>
  <c r="I76" i="9"/>
  <c r="E78" i="9"/>
  <c r="F78" i="9" s="1"/>
  <c r="C76" i="9"/>
  <c r="D76" i="9" s="1"/>
  <c r="B77" i="9"/>
  <c r="O155" i="9" l="1"/>
  <c r="P153" i="9"/>
  <c r="O156" i="9"/>
  <c r="P154" i="9"/>
  <c r="J76" i="9"/>
  <c r="L77" i="9"/>
  <c r="M77" i="9" s="1"/>
  <c r="G78" i="9"/>
  <c r="I77" i="9"/>
  <c r="H78" i="9"/>
  <c r="E79" i="9"/>
  <c r="F79" i="9" s="1"/>
  <c r="C77" i="9"/>
  <c r="B78" i="9"/>
  <c r="O158" i="9" l="1"/>
  <c r="P156" i="9"/>
  <c r="O157" i="9"/>
  <c r="P155" i="9"/>
  <c r="L78" i="9"/>
  <c r="M78" i="9" s="1"/>
  <c r="J77" i="9"/>
  <c r="G79" i="9"/>
  <c r="H79" i="9"/>
  <c r="I78" i="9"/>
  <c r="E80" i="9"/>
  <c r="F80" i="9" s="1"/>
  <c r="D77" i="9"/>
  <c r="C78" i="9"/>
  <c r="D78" i="9" s="1"/>
  <c r="B79" i="9"/>
  <c r="O159" i="9" l="1"/>
  <c r="P157" i="9"/>
  <c r="O160" i="9"/>
  <c r="P158" i="9"/>
  <c r="J78" i="9"/>
  <c r="L79" i="9"/>
  <c r="M79" i="9" s="1"/>
  <c r="H80" i="9"/>
  <c r="I79" i="9"/>
  <c r="G80" i="9"/>
  <c r="E81" i="9"/>
  <c r="F81" i="9" s="1"/>
  <c r="C79" i="9"/>
  <c r="D79" i="9" s="1"/>
  <c r="B80" i="9"/>
  <c r="O162" i="9" l="1"/>
  <c r="P160" i="9"/>
  <c r="O161" i="9"/>
  <c r="P159" i="9"/>
  <c r="L80" i="9"/>
  <c r="M80" i="9" s="1"/>
  <c r="J79" i="9"/>
  <c r="G81" i="9"/>
  <c r="H81" i="9"/>
  <c r="I80" i="9"/>
  <c r="E82" i="9"/>
  <c r="F82" i="9" s="1"/>
  <c r="C80" i="9"/>
  <c r="B81" i="9"/>
  <c r="O163" i="9" l="1"/>
  <c r="P161" i="9"/>
  <c r="O164" i="9"/>
  <c r="P162" i="9"/>
  <c r="J80" i="9"/>
  <c r="L81" i="9"/>
  <c r="M81" i="9" s="1"/>
  <c r="G82" i="9"/>
  <c r="H82" i="9"/>
  <c r="I81" i="9"/>
  <c r="E83" i="9"/>
  <c r="F83" i="9" s="1"/>
  <c r="C81" i="9"/>
  <c r="D80" i="9"/>
  <c r="B82" i="9"/>
  <c r="O165" i="9" l="1"/>
  <c r="P163" i="9"/>
  <c r="O166" i="9"/>
  <c r="P164" i="9"/>
  <c r="J81" i="9"/>
  <c r="L82" i="9"/>
  <c r="M82" i="9" s="1"/>
  <c r="G83" i="9"/>
  <c r="H83" i="9"/>
  <c r="I82" i="9"/>
  <c r="E84" i="9"/>
  <c r="F84" i="9" s="1"/>
  <c r="D81" i="9"/>
  <c r="C82" i="9"/>
  <c r="D82" i="9" s="1"/>
  <c r="B83" i="9"/>
  <c r="O167" i="9" l="1"/>
  <c r="P165" i="9"/>
  <c r="O168" i="9"/>
  <c r="P166" i="9"/>
  <c r="J82" i="9"/>
  <c r="L83" i="9"/>
  <c r="M83" i="9" s="1"/>
  <c r="G84" i="9"/>
  <c r="H84" i="9"/>
  <c r="I83" i="9"/>
  <c r="E85" i="9"/>
  <c r="F85" i="9" s="1"/>
  <c r="C83" i="9"/>
  <c r="D83" i="9" s="1"/>
  <c r="B84" i="9"/>
  <c r="O169" i="9" l="1"/>
  <c r="P167" i="9"/>
  <c r="O170" i="9"/>
  <c r="P168" i="9"/>
  <c r="J83" i="9"/>
  <c r="L84" i="9"/>
  <c r="M84" i="9" s="1"/>
  <c r="G85" i="9"/>
  <c r="H85" i="9"/>
  <c r="I84" i="9"/>
  <c r="E86" i="9"/>
  <c r="F86" i="9" s="1"/>
  <c r="C84" i="9"/>
  <c r="D84" i="9" s="1"/>
  <c r="B85" i="9"/>
  <c r="O171" i="9" l="1"/>
  <c r="P169" i="9"/>
  <c r="O172" i="9"/>
  <c r="P170" i="9"/>
  <c r="J84" i="9"/>
  <c r="L85" i="9"/>
  <c r="M85" i="9" s="1"/>
  <c r="I85" i="9"/>
  <c r="H86" i="9"/>
  <c r="G86" i="9"/>
  <c r="E87" i="9"/>
  <c r="F87" i="9" s="1"/>
  <c r="C85" i="9"/>
  <c r="B86" i="9"/>
  <c r="O173" i="9" l="1"/>
  <c r="P171" i="9"/>
  <c r="O174" i="9"/>
  <c r="P172" i="9"/>
  <c r="L86" i="9"/>
  <c r="M86" i="9" s="1"/>
  <c r="J85" i="9"/>
  <c r="G87" i="9"/>
  <c r="H87" i="9"/>
  <c r="I86" i="9"/>
  <c r="E88" i="9"/>
  <c r="F88" i="9" s="1"/>
  <c r="C86" i="9"/>
  <c r="D86" i="9" s="1"/>
  <c r="D85" i="9"/>
  <c r="B87" i="9"/>
  <c r="O175" i="9" l="1"/>
  <c r="P173" i="9"/>
  <c r="O176" i="9"/>
  <c r="P174" i="9"/>
  <c r="J86" i="9"/>
  <c r="L87" i="9"/>
  <c r="M87" i="9" s="1"/>
  <c r="G88" i="9"/>
  <c r="H88" i="9"/>
  <c r="I87" i="9"/>
  <c r="E89" i="9"/>
  <c r="F89" i="9" s="1"/>
  <c r="C87" i="9"/>
  <c r="D87" i="9" s="1"/>
  <c r="B88" i="9"/>
  <c r="O177" i="9" l="1"/>
  <c r="P175" i="9"/>
  <c r="O178" i="9"/>
  <c r="P176" i="9"/>
  <c r="J87" i="9"/>
  <c r="L88" i="9"/>
  <c r="M88" i="9" s="1"/>
  <c r="G89" i="9"/>
  <c r="H89" i="9"/>
  <c r="I88" i="9"/>
  <c r="E90" i="9"/>
  <c r="F90" i="9" s="1"/>
  <c r="C88" i="9"/>
  <c r="D88" i="9" s="1"/>
  <c r="B89" i="9"/>
  <c r="O179" i="9" l="1"/>
  <c r="P177" i="9"/>
  <c r="O180" i="9"/>
  <c r="P178" i="9"/>
  <c r="J88" i="9"/>
  <c r="L89" i="9"/>
  <c r="M89" i="9" s="1"/>
  <c r="G90" i="9"/>
  <c r="H90" i="9"/>
  <c r="I89" i="9"/>
  <c r="E91" i="9"/>
  <c r="F91" i="9" s="1"/>
  <c r="C89" i="9"/>
  <c r="D89" i="9" s="1"/>
  <c r="B90" i="9"/>
  <c r="O181" i="9" l="1"/>
  <c r="P179" i="9"/>
  <c r="O182" i="9"/>
  <c r="P180" i="9"/>
  <c r="J89" i="9"/>
  <c r="L90" i="9"/>
  <c r="M90" i="9" s="1"/>
  <c r="G91" i="9"/>
  <c r="H91" i="9"/>
  <c r="I90" i="9"/>
  <c r="E92" i="9"/>
  <c r="F92" i="9" s="1"/>
  <c r="C90" i="9"/>
  <c r="B91" i="9"/>
  <c r="O183" i="9" l="1"/>
  <c r="P181" i="9"/>
  <c r="O184" i="9"/>
  <c r="P182" i="9"/>
  <c r="J90" i="9"/>
  <c r="L91" i="9"/>
  <c r="M91" i="9" s="1"/>
  <c r="G92" i="9"/>
  <c r="H92" i="9"/>
  <c r="I91" i="9"/>
  <c r="E93" i="9"/>
  <c r="F93" i="9" s="1"/>
  <c r="C91" i="9"/>
  <c r="D90" i="9"/>
  <c r="B92" i="9"/>
  <c r="O186" i="9" l="1"/>
  <c r="P184" i="9"/>
  <c r="O185" i="9"/>
  <c r="P183" i="9"/>
  <c r="J91" i="9"/>
  <c r="L92" i="9"/>
  <c r="M92" i="9" s="1"/>
  <c r="G93" i="9"/>
  <c r="H93" i="9"/>
  <c r="I92" i="9"/>
  <c r="E94" i="9"/>
  <c r="F94" i="9" s="1"/>
  <c r="C92" i="9"/>
  <c r="D92" i="9" s="1"/>
  <c r="D91" i="9"/>
  <c r="B93" i="9"/>
  <c r="O187" i="9" l="1"/>
  <c r="P185" i="9"/>
  <c r="O188" i="9"/>
  <c r="P186" i="9"/>
  <c r="J92" i="9"/>
  <c r="L93" i="9"/>
  <c r="M93" i="9" s="1"/>
  <c r="G94" i="9"/>
  <c r="I93" i="9"/>
  <c r="H94" i="9"/>
  <c r="E95" i="9"/>
  <c r="F95" i="9" s="1"/>
  <c r="C93" i="9"/>
  <c r="D93" i="9" s="1"/>
  <c r="B94" i="9"/>
  <c r="O190" i="9" l="1"/>
  <c r="P188" i="9"/>
  <c r="O189" i="9"/>
  <c r="P187" i="9"/>
  <c r="L94" i="9"/>
  <c r="M94" i="9" s="1"/>
  <c r="J93" i="9"/>
  <c r="G95" i="9"/>
  <c r="H95" i="9"/>
  <c r="I94" i="9"/>
  <c r="E96" i="9"/>
  <c r="F96" i="9" s="1"/>
  <c r="C94" i="9"/>
  <c r="B95" i="9"/>
  <c r="O191" i="9" l="1"/>
  <c r="P189" i="9"/>
  <c r="O192" i="9"/>
  <c r="P190" i="9"/>
  <c r="J94" i="9"/>
  <c r="L95" i="9"/>
  <c r="M95" i="9" s="1"/>
  <c r="G96" i="9"/>
  <c r="H96" i="9"/>
  <c r="I95" i="9"/>
  <c r="E97" i="9"/>
  <c r="F97" i="9" s="1"/>
  <c r="C95" i="9"/>
  <c r="D95" i="9" s="1"/>
  <c r="D94" i="9"/>
  <c r="B96" i="9"/>
  <c r="O194" i="9" l="1"/>
  <c r="P192" i="9"/>
  <c r="O193" i="9"/>
  <c r="P191" i="9"/>
  <c r="J95" i="9"/>
  <c r="L96" i="9"/>
  <c r="M96" i="9" s="1"/>
  <c r="G97" i="9"/>
  <c r="H97" i="9"/>
  <c r="I96" i="9"/>
  <c r="E98" i="9"/>
  <c r="F98" i="9" s="1"/>
  <c r="C96" i="9"/>
  <c r="D96" i="9" s="1"/>
  <c r="B97" i="9"/>
  <c r="O195" i="9" l="1"/>
  <c r="P193" i="9"/>
  <c r="O196" i="9"/>
  <c r="P194" i="9"/>
  <c r="J96" i="9"/>
  <c r="L97" i="9"/>
  <c r="M97" i="9" s="1"/>
  <c r="G98" i="9"/>
  <c r="H98" i="9"/>
  <c r="I97" i="9"/>
  <c r="E99" i="9"/>
  <c r="F99" i="9" s="1"/>
  <c r="C97" i="9"/>
  <c r="D97" i="9" s="1"/>
  <c r="B98" i="9"/>
  <c r="O198" i="9" l="1"/>
  <c r="P196" i="9"/>
  <c r="O197" i="9"/>
  <c r="P195" i="9"/>
  <c r="J97" i="9"/>
  <c r="L98" i="9"/>
  <c r="M98" i="9" s="1"/>
  <c r="G99" i="9"/>
  <c r="H99" i="9"/>
  <c r="I98" i="9"/>
  <c r="E100" i="9"/>
  <c r="F100" i="9" s="1"/>
  <c r="C98" i="9"/>
  <c r="D98" i="9" s="1"/>
  <c r="B99" i="9"/>
  <c r="O199" i="9" l="1"/>
  <c r="P197" i="9"/>
  <c r="O200" i="9"/>
  <c r="P198" i="9"/>
  <c r="J98" i="9"/>
  <c r="L99" i="9"/>
  <c r="M99" i="9" s="1"/>
  <c r="G100" i="9"/>
  <c r="H100" i="9"/>
  <c r="I99" i="9"/>
  <c r="E101" i="9"/>
  <c r="F101" i="9" s="1"/>
  <c r="C99" i="9"/>
  <c r="B100" i="9"/>
  <c r="O202" i="9" l="1"/>
  <c r="P200" i="9"/>
  <c r="O201" i="9"/>
  <c r="P199" i="9"/>
  <c r="J99" i="9"/>
  <c r="L100" i="9"/>
  <c r="M100" i="9" s="1"/>
  <c r="G101" i="9"/>
  <c r="H101" i="9"/>
  <c r="I100" i="9"/>
  <c r="E102" i="9"/>
  <c r="F102" i="9" s="1"/>
  <c r="C100" i="9"/>
  <c r="D100" i="9" s="1"/>
  <c r="D99" i="9"/>
  <c r="B101" i="9"/>
  <c r="O203" i="9" l="1"/>
  <c r="P201" i="9"/>
  <c r="O204" i="9"/>
  <c r="P202" i="9"/>
  <c r="J100" i="9"/>
  <c r="L101" i="9"/>
  <c r="M101" i="9" s="1"/>
  <c r="G102" i="9"/>
  <c r="I101" i="9"/>
  <c r="H102" i="9"/>
  <c r="E103" i="9"/>
  <c r="F103" i="9" s="1"/>
  <c r="C101" i="9"/>
  <c r="D101" i="9" s="1"/>
  <c r="B102" i="9"/>
  <c r="O206" i="9" l="1"/>
  <c r="P204" i="9"/>
  <c r="O205" i="9"/>
  <c r="P203" i="9"/>
  <c r="L102" i="9"/>
  <c r="M102" i="9" s="1"/>
  <c r="J101" i="9"/>
  <c r="G103" i="9"/>
  <c r="I102" i="9"/>
  <c r="H103" i="9"/>
  <c r="E104" i="9"/>
  <c r="F104" i="9" s="1"/>
  <c r="C102" i="9"/>
  <c r="D102" i="9" s="1"/>
  <c r="B103" i="9"/>
  <c r="O207" i="9" l="1"/>
  <c r="P205" i="9"/>
  <c r="O208" i="9"/>
  <c r="P206" i="9"/>
  <c r="J102" i="9"/>
  <c r="L103" i="9"/>
  <c r="M103" i="9" s="1"/>
  <c r="G104" i="9"/>
  <c r="H104" i="9"/>
  <c r="I103" i="9"/>
  <c r="E105" i="9"/>
  <c r="F105" i="9" s="1"/>
  <c r="C103" i="9"/>
  <c r="B104" i="9"/>
  <c r="O210" i="9" l="1"/>
  <c r="P208" i="9"/>
  <c r="O209" i="9"/>
  <c r="P207" i="9"/>
  <c r="J103" i="9"/>
  <c r="L104" i="9"/>
  <c r="M104" i="9" s="1"/>
  <c r="H105" i="9"/>
  <c r="I104" i="9"/>
  <c r="G105" i="9"/>
  <c r="E106" i="9"/>
  <c r="F106" i="9" s="1"/>
  <c r="C104" i="9"/>
  <c r="D104" i="9" s="1"/>
  <c r="D103" i="9"/>
  <c r="B105" i="9"/>
  <c r="O211" i="9" l="1"/>
  <c r="P209" i="9"/>
  <c r="O212" i="9"/>
  <c r="P210" i="9"/>
  <c r="L105" i="9"/>
  <c r="M105" i="9" s="1"/>
  <c r="J104" i="9"/>
  <c r="G106" i="9"/>
  <c r="H106" i="9"/>
  <c r="I105" i="9"/>
  <c r="E107" i="9"/>
  <c r="F107" i="9" s="1"/>
  <c r="C105" i="9"/>
  <c r="B106" i="9"/>
  <c r="O214" i="9" l="1"/>
  <c r="P212" i="9"/>
  <c r="O213" i="9"/>
  <c r="P211" i="9"/>
  <c r="J105" i="9"/>
  <c r="L106" i="9"/>
  <c r="M106" i="9" s="1"/>
  <c r="G107" i="9"/>
  <c r="H107" i="9"/>
  <c r="I106" i="9"/>
  <c r="E108" i="9"/>
  <c r="F108" i="9" s="1"/>
  <c r="C106" i="9"/>
  <c r="D105" i="9"/>
  <c r="B107" i="9"/>
  <c r="O215" i="9" l="1"/>
  <c r="P213" i="9"/>
  <c r="O216" i="9"/>
  <c r="P214" i="9"/>
  <c r="J106" i="9"/>
  <c r="L107" i="9"/>
  <c r="M107" i="9" s="1"/>
  <c r="G108" i="9"/>
  <c r="H108" i="9"/>
  <c r="I107" i="9"/>
  <c r="E109" i="9"/>
  <c r="F109" i="9" s="1"/>
  <c r="C107" i="9"/>
  <c r="D107" i="9" s="1"/>
  <c r="D106" i="9"/>
  <c r="B108" i="9"/>
  <c r="O217" i="9" l="1"/>
  <c r="P215" i="9"/>
  <c r="O218" i="9"/>
  <c r="P216" i="9"/>
  <c r="J107" i="9"/>
  <c r="L108" i="9"/>
  <c r="M108" i="9" s="1"/>
  <c r="G109" i="9"/>
  <c r="H109" i="9"/>
  <c r="I108" i="9"/>
  <c r="E110" i="9"/>
  <c r="F110" i="9" s="1"/>
  <c r="C108" i="9"/>
  <c r="B109" i="9"/>
  <c r="O219" i="9" l="1"/>
  <c r="P217" i="9"/>
  <c r="O220" i="9"/>
  <c r="P218" i="9"/>
  <c r="J108" i="9"/>
  <c r="L109" i="9"/>
  <c r="M109" i="9" s="1"/>
  <c r="G110" i="9"/>
  <c r="I109" i="9"/>
  <c r="H110" i="9"/>
  <c r="E111" i="9"/>
  <c r="F111" i="9" s="1"/>
  <c r="C109" i="9"/>
  <c r="D109" i="9" s="1"/>
  <c r="D108" i="9"/>
  <c r="B110" i="9"/>
  <c r="O221" i="9" l="1"/>
  <c r="P219" i="9"/>
  <c r="O222" i="9"/>
  <c r="P220" i="9"/>
  <c r="L110" i="9"/>
  <c r="M110" i="9" s="1"/>
  <c r="J109" i="9"/>
  <c r="G111" i="9"/>
  <c r="H111" i="9"/>
  <c r="I110" i="9"/>
  <c r="E112" i="9"/>
  <c r="F112" i="9" s="1"/>
  <c r="C110" i="9"/>
  <c r="D110" i="9" s="1"/>
  <c r="B111" i="9"/>
  <c r="O223" i="9" l="1"/>
  <c r="P221" i="9"/>
  <c r="O224" i="9"/>
  <c r="P222" i="9"/>
  <c r="J110" i="9"/>
  <c r="L111" i="9"/>
  <c r="M111" i="9" s="1"/>
  <c r="G112" i="9"/>
  <c r="H112" i="9"/>
  <c r="I111" i="9"/>
  <c r="E113" i="9"/>
  <c r="F113" i="9" s="1"/>
  <c r="C111" i="9"/>
  <c r="D111" i="9" s="1"/>
  <c r="B112" i="9"/>
  <c r="O225" i="9" l="1"/>
  <c r="P223" i="9"/>
  <c r="O226" i="9"/>
  <c r="P224" i="9"/>
  <c r="J111" i="9"/>
  <c r="L112" i="9"/>
  <c r="M112" i="9" s="1"/>
  <c r="H113" i="9"/>
  <c r="I112" i="9"/>
  <c r="G113" i="9"/>
  <c r="E114" i="9"/>
  <c r="F114" i="9" s="1"/>
  <c r="C112" i="9"/>
  <c r="B113" i="9"/>
  <c r="O228" i="9" l="1"/>
  <c r="P226" i="9"/>
  <c r="O227" i="9"/>
  <c r="P225" i="9"/>
  <c r="L113" i="9"/>
  <c r="M113" i="9" s="1"/>
  <c r="J112" i="9"/>
  <c r="G114" i="9"/>
  <c r="H114" i="9"/>
  <c r="I113" i="9"/>
  <c r="E115" i="9"/>
  <c r="F115" i="9" s="1"/>
  <c r="C113" i="9"/>
  <c r="D113" i="9" s="1"/>
  <c r="D112" i="9"/>
  <c r="B114" i="9"/>
  <c r="O229" i="9" l="1"/>
  <c r="P227" i="9"/>
  <c r="O230" i="9"/>
  <c r="P228" i="9"/>
  <c r="J113" i="9"/>
  <c r="L114" i="9"/>
  <c r="M114" i="9" s="1"/>
  <c r="H115" i="9"/>
  <c r="I114" i="9"/>
  <c r="G115" i="9"/>
  <c r="E116" i="9"/>
  <c r="F116" i="9" s="1"/>
  <c r="C114" i="9"/>
  <c r="D114" i="9" s="1"/>
  <c r="B115" i="9"/>
  <c r="O232" i="9" l="1"/>
  <c r="P230" i="9"/>
  <c r="O231" i="9"/>
  <c r="P229" i="9"/>
  <c r="L115" i="9"/>
  <c r="M115" i="9" s="1"/>
  <c r="J114" i="9"/>
  <c r="G116" i="9"/>
  <c r="H116" i="9"/>
  <c r="I115" i="9"/>
  <c r="E117" i="9"/>
  <c r="F117" i="9" s="1"/>
  <c r="C115" i="9"/>
  <c r="B116" i="9"/>
  <c r="O233" i="9" l="1"/>
  <c r="P231" i="9"/>
  <c r="O234" i="9"/>
  <c r="P232" i="9"/>
  <c r="J115" i="9"/>
  <c r="L116" i="9"/>
  <c r="M116" i="9" s="1"/>
  <c r="G117" i="9"/>
  <c r="I116" i="9"/>
  <c r="H117" i="9"/>
  <c r="E118" i="9"/>
  <c r="C116" i="9"/>
  <c r="D116" i="9" s="1"/>
  <c r="D115" i="9"/>
  <c r="B117" i="9"/>
  <c r="O236" i="9" l="1"/>
  <c r="P234" i="9"/>
  <c r="O235" i="9"/>
  <c r="P233" i="9"/>
  <c r="J116" i="9"/>
  <c r="L117" i="9"/>
  <c r="M117" i="9" s="1"/>
  <c r="I117" i="9"/>
  <c r="H118" i="9"/>
  <c r="E119" i="9"/>
  <c r="F119" i="9" s="1"/>
  <c r="F118" i="9"/>
  <c r="C117" i="9"/>
  <c r="B118" i="9"/>
  <c r="O237" i="9" l="1"/>
  <c r="P235" i="9"/>
  <c r="O238" i="9"/>
  <c r="P236" i="9"/>
  <c r="L118" i="9"/>
  <c r="M118" i="9" s="1"/>
  <c r="J117" i="9"/>
  <c r="G119" i="9"/>
  <c r="G118" i="9"/>
  <c r="H119" i="9"/>
  <c r="I118" i="9"/>
  <c r="E120" i="9"/>
  <c r="F120" i="9"/>
  <c r="C118" i="9"/>
  <c r="D118" i="9" s="1"/>
  <c r="D117" i="9"/>
  <c r="B119" i="9"/>
  <c r="O240" i="9" l="1"/>
  <c r="P238" i="9"/>
  <c r="O239" i="9"/>
  <c r="P237" i="9"/>
  <c r="J118" i="9"/>
  <c r="L119" i="9"/>
  <c r="M119" i="9" s="1"/>
  <c r="G120" i="9"/>
  <c r="H120" i="9"/>
  <c r="I119" i="9"/>
  <c r="E121" i="9"/>
  <c r="F121" i="9" s="1"/>
  <c r="C119" i="9"/>
  <c r="B120" i="9"/>
  <c r="O241" i="9" l="1"/>
  <c r="P239" i="9"/>
  <c r="O242" i="9"/>
  <c r="P240" i="9"/>
  <c r="J119" i="9"/>
  <c r="L120" i="9"/>
  <c r="M120" i="9" s="1"/>
  <c r="I120" i="9"/>
  <c r="H121" i="9"/>
  <c r="G121" i="9"/>
  <c r="E122" i="9"/>
  <c r="F122" i="9" s="1"/>
  <c r="C120" i="9"/>
  <c r="D119" i="9"/>
  <c r="B121" i="9"/>
  <c r="O244" i="9" l="1"/>
  <c r="P242" i="9"/>
  <c r="O243" i="9"/>
  <c r="P241" i="9"/>
  <c r="L121" i="9"/>
  <c r="M121" i="9" s="1"/>
  <c r="J120" i="9"/>
  <c r="H122" i="9"/>
  <c r="I121" i="9"/>
  <c r="G122" i="9"/>
  <c r="E123" i="9"/>
  <c r="F123" i="9" s="1"/>
  <c r="C121" i="9"/>
  <c r="D121" i="9" s="1"/>
  <c r="D120" i="9"/>
  <c r="B122" i="9"/>
  <c r="O245" i="9" l="1"/>
  <c r="P243" i="9"/>
  <c r="O246" i="9"/>
  <c r="P244" i="9"/>
  <c r="J121" i="9"/>
  <c r="L122" i="9"/>
  <c r="M122" i="9" s="1"/>
  <c r="G123" i="9"/>
  <c r="H123" i="9"/>
  <c r="I122" i="9"/>
  <c r="E124" i="9"/>
  <c r="F124" i="9" s="1"/>
  <c r="C122" i="9"/>
  <c r="D122" i="9" s="1"/>
  <c r="B123" i="9"/>
  <c r="O248" i="9" l="1"/>
  <c r="P246" i="9"/>
  <c r="O247" i="9"/>
  <c r="P245" i="9"/>
  <c r="J122" i="9"/>
  <c r="L123" i="9"/>
  <c r="M123" i="9" s="1"/>
  <c r="H124" i="9"/>
  <c r="I123" i="9"/>
  <c r="G124" i="9"/>
  <c r="E125" i="9"/>
  <c r="F125" i="9" s="1"/>
  <c r="C123" i="9"/>
  <c r="D123" i="9" s="1"/>
  <c r="B124" i="9"/>
  <c r="O249" i="9" l="1"/>
  <c r="P247" i="9"/>
  <c r="O250" i="9"/>
  <c r="P248" i="9"/>
  <c r="L124" i="9"/>
  <c r="M124" i="9" s="1"/>
  <c r="J123" i="9"/>
  <c r="G125" i="9"/>
  <c r="H125" i="9"/>
  <c r="I124" i="9"/>
  <c r="E126" i="9"/>
  <c r="F126" i="9" s="1"/>
  <c r="C124" i="9"/>
  <c r="D124" i="9" s="1"/>
  <c r="B125" i="9"/>
  <c r="O252" i="9" l="1"/>
  <c r="P250" i="9"/>
  <c r="O251" i="9"/>
  <c r="P249" i="9"/>
  <c r="J124" i="9"/>
  <c r="L125" i="9"/>
  <c r="M125" i="9" s="1"/>
  <c r="G126" i="9"/>
  <c r="I125" i="9"/>
  <c r="H126" i="9"/>
  <c r="E127" i="9"/>
  <c r="F127" i="9" s="1"/>
  <c r="C125" i="9"/>
  <c r="B126" i="9"/>
  <c r="O253" i="9" l="1"/>
  <c r="P251" i="9"/>
  <c r="O254" i="9"/>
  <c r="P252" i="9"/>
  <c r="L126" i="9"/>
  <c r="M126" i="9" s="1"/>
  <c r="J125" i="9"/>
  <c r="G127" i="9"/>
  <c r="H127" i="9"/>
  <c r="I126" i="9"/>
  <c r="E128" i="9"/>
  <c r="F128" i="9" s="1"/>
  <c r="C126" i="9"/>
  <c r="D126" i="9" s="1"/>
  <c r="D125" i="9"/>
  <c r="B127" i="9"/>
  <c r="O256" i="9" l="1"/>
  <c r="P254" i="9"/>
  <c r="O255" i="9"/>
  <c r="P253" i="9"/>
  <c r="J126" i="9"/>
  <c r="L127" i="9"/>
  <c r="M127" i="9" s="1"/>
  <c r="G128" i="9"/>
  <c r="H128" i="9"/>
  <c r="I127" i="9"/>
  <c r="E129" i="9"/>
  <c r="C127" i="9"/>
  <c r="B128" i="9"/>
  <c r="O257" i="9" l="1"/>
  <c r="P255" i="9"/>
  <c r="O258" i="9"/>
  <c r="P256" i="9"/>
  <c r="J127" i="9"/>
  <c r="L128" i="9"/>
  <c r="M128" i="9" s="1"/>
  <c r="H129" i="9"/>
  <c r="I128" i="9"/>
  <c r="E130" i="9"/>
  <c r="F129" i="9"/>
  <c r="C128" i="9"/>
  <c r="D128" i="9" s="1"/>
  <c r="D127" i="9"/>
  <c r="B129" i="9"/>
  <c r="O260" i="9" l="1"/>
  <c r="P258" i="9"/>
  <c r="O259" i="9"/>
  <c r="P257" i="9"/>
  <c r="L129" i="9"/>
  <c r="M129" i="9" s="1"/>
  <c r="J128" i="9"/>
  <c r="G129" i="9"/>
  <c r="H130" i="9"/>
  <c r="I129" i="9"/>
  <c r="E131" i="9"/>
  <c r="F131" i="9" s="1"/>
  <c r="F130" i="9"/>
  <c r="C129" i="9"/>
  <c r="B130" i="9"/>
  <c r="O261" i="9" l="1"/>
  <c r="P259" i="9"/>
  <c r="O262" i="9"/>
  <c r="P260" i="9"/>
  <c r="J129" i="9"/>
  <c r="L130" i="9"/>
  <c r="M130" i="9" s="1"/>
  <c r="G131" i="9"/>
  <c r="H131" i="9"/>
  <c r="I130" i="9"/>
  <c r="G130" i="9"/>
  <c r="E132" i="9"/>
  <c r="F132" i="9" s="1"/>
  <c r="C130" i="9"/>
  <c r="D130" i="9" s="1"/>
  <c r="D129" i="9"/>
  <c r="B131" i="9"/>
  <c r="O264" i="9" l="1"/>
  <c r="P262" i="9"/>
  <c r="O263" i="9"/>
  <c r="P261" i="9"/>
  <c r="J130" i="9"/>
  <c r="L131" i="9"/>
  <c r="M131" i="9" s="1"/>
  <c r="G132" i="9"/>
  <c r="H132" i="9"/>
  <c r="I131" i="9"/>
  <c r="E133" i="9"/>
  <c r="C131" i="9"/>
  <c r="B132" i="9"/>
  <c r="O265" i="9" l="1"/>
  <c r="P263" i="9"/>
  <c r="O266" i="9"/>
  <c r="P264" i="9"/>
  <c r="J131" i="9"/>
  <c r="L132" i="9"/>
  <c r="M132" i="9" s="1"/>
  <c r="H133" i="9"/>
  <c r="I132" i="9"/>
  <c r="E134" i="9"/>
  <c r="F133" i="9"/>
  <c r="C132" i="9"/>
  <c r="D132" i="9" s="1"/>
  <c r="D131" i="9"/>
  <c r="B133" i="9"/>
  <c r="O268" i="9" l="1"/>
  <c r="P266" i="9"/>
  <c r="O267" i="9"/>
  <c r="P265" i="9"/>
  <c r="L133" i="9"/>
  <c r="M133" i="9" s="1"/>
  <c r="J132" i="9"/>
  <c r="G133" i="9"/>
  <c r="I133" i="9"/>
  <c r="H134" i="9"/>
  <c r="E135" i="9"/>
  <c r="F135" i="9" s="1"/>
  <c r="F134" i="9"/>
  <c r="C133" i="9"/>
  <c r="D133" i="9" s="1"/>
  <c r="B134" i="9"/>
  <c r="O269" i="9" l="1"/>
  <c r="P267" i="9"/>
  <c r="O270" i="9"/>
  <c r="P268" i="9"/>
  <c r="J133" i="9"/>
  <c r="L134" i="9"/>
  <c r="M134" i="9" s="1"/>
  <c r="G135" i="9"/>
  <c r="G134" i="9"/>
  <c r="H135" i="9"/>
  <c r="I134" i="9"/>
  <c r="E136" i="9"/>
  <c r="F136" i="9" s="1"/>
  <c r="C134" i="9"/>
  <c r="D134" i="9" s="1"/>
  <c r="B135" i="9"/>
  <c r="O272" i="9" l="1"/>
  <c r="P270" i="9"/>
  <c r="O271" i="9"/>
  <c r="P269" i="9"/>
  <c r="J134" i="9"/>
  <c r="L135" i="9"/>
  <c r="M135" i="9" s="1"/>
  <c r="G136" i="9"/>
  <c r="H136" i="9"/>
  <c r="I135" i="9"/>
  <c r="E137" i="9"/>
  <c r="F137" i="9" s="1"/>
  <c r="C135" i="9"/>
  <c r="B136" i="9"/>
  <c r="O273" i="9" l="1"/>
  <c r="P271" i="9"/>
  <c r="O274" i="9"/>
  <c r="P272" i="9"/>
  <c r="J135" i="9"/>
  <c r="L136" i="9"/>
  <c r="M136" i="9" s="1"/>
  <c r="H137" i="9"/>
  <c r="I136" i="9"/>
  <c r="G137" i="9"/>
  <c r="E138" i="9"/>
  <c r="F138" i="9" s="1"/>
  <c r="C136" i="9"/>
  <c r="D136" i="9" s="1"/>
  <c r="D135" i="9"/>
  <c r="B137" i="9"/>
  <c r="O276" i="9" l="1"/>
  <c r="P274" i="9"/>
  <c r="O275" i="9"/>
  <c r="P273" i="9"/>
  <c r="L137" i="9"/>
  <c r="M137" i="9" s="1"/>
  <c r="J136" i="9"/>
  <c r="G138" i="9"/>
  <c r="H138" i="9"/>
  <c r="I137" i="9"/>
  <c r="E139" i="9"/>
  <c r="F139" i="9" s="1"/>
  <c r="C137" i="9"/>
  <c r="B138" i="9"/>
  <c r="O277" i="9" l="1"/>
  <c r="P275" i="9"/>
  <c r="O278" i="9"/>
  <c r="P276" i="9"/>
  <c r="J137" i="9"/>
  <c r="L138" i="9"/>
  <c r="M138" i="9" s="1"/>
  <c r="G139" i="9"/>
  <c r="H139" i="9"/>
  <c r="I138" i="9"/>
  <c r="E140" i="9"/>
  <c r="F140" i="9" s="1"/>
  <c r="C138" i="9"/>
  <c r="D137" i="9"/>
  <c r="B139" i="9"/>
  <c r="O280" i="9" l="1"/>
  <c r="P278" i="9"/>
  <c r="O279" i="9"/>
  <c r="P277" i="9"/>
  <c r="J138" i="9"/>
  <c r="L139" i="9"/>
  <c r="M139" i="9" s="1"/>
  <c r="G140" i="9"/>
  <c r="H140" i="9"/>
  <c r="I139" i="9"/>
  <c r="E141" i="9"/>
  <c r="F141" i="9" s="1"/>
  <c r="C139" i="9"/>
  <c r="D139" i="9" s="1"/>
  <c r="D138" i="9"/>
  <c r="B140" i="9"/>
  <c r="O281" i="9" l="1"/>
  <c r="P279" i="9"/>
  <c r="O282" i="9"/>
  <c r="P280" i="9"/>
  <c r="J139" i="9"/>
  <c r="L140" i="9"/>
  <c r="M140" i="9" s="1"/>
  <c r="G141" i="9"/>
  <c r="H141" i="9"/>
  <c r="I140" i="9"/>
  <c r="E142" i="9"/>
  <c r="F142" i="9" s="1"/>
  <c r="C140" i="9"/>
  <c r="B141" i="9"/>
  <c r="O284" i="9" l="1"/>
  <c r="P282" i="9"/>
  <c r="O283" i="9"/>
  <c r="P281" i="9"/>
  <c r="J140" i="9"/>
  <c r="L141" i="9"/>
  <c r="M141" i="9" s="1"/>
  <c r="G142" i="9"/>
  <c r="I141" i="9"/>
  <c r="H142" i="9"/>
  <c r="E143" i="9"/>
  <c r="F143" i="9" s="1"/>
  <c r="C141" i="9"/>
  <c r="D140" i="9"/>
  <c r="B142" i="9"/>
  <c r="O285" i="9" l="1"/>
  <c r="P283" i="9"/>
  <c r="O286" i="9"/>
  <c r="P284" i="9"/>
  <c r="L142" i="9"/>
  <c r="M142" i="9" s="1"/>
  <c r="J141" i="9"/>
  <c r="G143" i="9"/>
  <c r="H143" i="9"/>
  <c r="I142" i="9"/>
  <c r="E144" i="9"/>
  <c r="F144" i="9" s="1"/>
  <c r="C142" i="9"/>
  <c r="D142" i="9" s="1"/>
  <c r="D141" i="9"/>
  <c r="B143" i="9"/>
  <c r="O288" i="9" l="1"/>
  <c r="P286" i="9"/>
  <c r="O287" i="9"/>
  <c r="P285" i="9"/>
  <c r="J142" i="9"/>
  <c r="L143" i="9"/>
  <c r="M143" i="9" s="1"/>
  <c r="G144" i="9"/>
  <c r="H144" i="9"/>
  <c r="I143" i="9"/>
  <c r="E145" i="9"/>
  <c r="F145" i="9" s="1"/>
  <c r="C143" i="9"/>
  <c r="D143" i="9" s="1"/>
  <c r="B144" i="9"/>
  <c r="O289" i="9" l="1"/>
  <c r="P287" i="9"/>
  <c r="O290" i="9"/>
  <c r="P288" i="9"/>
  <c r="J143" i="9"/>
  <c r="L144" i="9"/>
  <c r="M144" i="9" s="1"/>
  <c r="G145" i="9"/>
  <c r="H145" i="9"/>
  <c r="I144" i="9"/>
  <c r="E146" i="9"/>
  <c r="F146" i="9" s="1"/>
  <c r="C144" i="9"/>
  <c r="B145" i="9"/>
  <c r="O292" i="9" l="1"/>
  <c r="P290" i="9"/>
  <c r="O291" i="9"/>
  <c r="P289" i="9"/>
  <c r="J144" i="9"/>
  <c r="L145" i="9"/>
  <c r="M145" i="9" s="1"/>
  <c r="H146" i="9"/>
  <c r="I145" i="9"/>
  <c r="G146" i="9"/>
  <c r="E147" i="9"/>
  <c r="F147" i="9" s="1"/>
  <c r="D144" i="9"/>
  <c r="C145" i="9"/>
  <c r="D145" i="9" s="1"/>
  <c r="B146" i="9"/>
  <c r="O293" i="9" l="1"/>
  <c r="P291" i="9"/>
  <c r="O294" i="9"/>
  <c r="P292" i="9"/>
  <c r="L146" i="9"/>
  <c r="M146" i="9" s="1"/>
  <c r="J145" i="9"/>
  <c r="G147" i="9"/>
  <c r="H147" i="9"/>
  <c r="I146" i="9"/>
  <c r="E148" i="9"/>
  <c r="F148" i="9" s="1"/>
  <c r="C146" i="9"/>
  <c r="D146" i="9" s="1"/>
  <c r="B147" i="9"/>
  <c r="O296" i="9" l="1"/>
  <c r="P294" i="9"/>
  <c r="O295" i="9"/>
  <c r="P293" i="9"/>
  <c r="J146" i="9"/>
  <c r="L147" i="9"/>
  <c r="M147" i="9" s="1"/>
  <c r="G148" i="9"/>
  <c r="H148" i="9"/>
  <c r="I147" i="9"/>
  <c r="E149" i="9"/>
  <c r="F149" i="9" s="1"/>
  <c r="C147" i="9"/>
  <c r="B148" i="9"/>
  <c r="O297" i="9" l="1"/>
  <c r="P295" i="9"/>
  <c r="O298" i="9"/>
  <c r="P296" i="9"/>
  <c r="J147" i="9"/>
  <c r="L148" i="9"/>
  <c r="M148" i="9" s="1"/>
  <c r="H149" i="9"/>
  <c r="I148" i="9"/>
  <c r="G149" i="9"/>
  <c r="E150" i="9"/>
  <c r="F150" i="9" s="1"/>
  <c r="C148" i="9"/>
  <c r="D147" i="9"/>
  <c r="B149" i="9"/>
  <c r="O300" i="9" l="1"/>
  <c r="P298" i="9"/>
  <c r="O299" i="9"/>
  <c r="P297" i="9"/>
  <c r="L149" i="9"/>
  <c r="M149" i="9" s="1"/>
  <c r="J148" i="9"/>
  <c r="G150" i="9"/>
  <c r="I149" i="9"/>
  <c r="H150" i="9"/>
  <c r="E151" i="9"/>
  <c r="F151" i="9" s="1"/>
  <c r="C149" i="9"/>
  <c r="D149" i="9" s="1"/>
  <c r="D148" i="9"/>
  <c r="B150" i="9"/>
  <c r="O301" i="9" l="1"/>
  <c r="P299" i="9"/>
  <c r="O302" i="9"/>
  <c r="P300" i="9"/>
  <c r="J149" i="9"/>
  <c r="L150" i="9"/>
  <c r="M150" i="9" s="1"/>
  <c r="G151" i="9"/>
  <c r="H151" i="9"/>
  <c r="I150" i="9"/>
  <c r="E152" i="9"/>
  <c r="F152" i="9" s="1"/>
  <c r="C150" i="9"/>
  <c r="D150" i="9" s="1"/>
  <c r="B151" i="9"/>
  <c r="O304" i="9" l="1"/>
  <c r="P302" i="9"/>
  <c r="O303" i="9"/>
  <c r="P301" i="9"/>
  <c r="J150" i="9"/>
  <c r="L151" i="9"/>
  <c r="M151" i="9" s="1"/>
  <c r="G152" i="9"/>
  <c r="H152" i="9"/>
  <c r="I151" i="9"/>
  <c r="E153" i="9"/>
  <c r="F153" i="9" s="1"/>
  <c r="C151" i="9"/>
  <c r="D151" i="9" s="1"/>
  <c r="B152" i="9"/>
  <c r="O305" i="9" l="1"/>
  <c r="P303" i="9"/>
  <c r="O306" i="9"/>
  <c r="P304" i="9"/>
  <c r="J151" i="9"/>
  <c r="L152" i="9"/>
  <c r="M152" i="9" s="1"/>
  <c r="G153" i="9"/>
  <c r="H153" i="9"/>
  <c r="I152" i="9"/>
  <c r="E154" i="9"/>
  <c r="C152" i="9"/>
  <c r="D152" i="9" s="1"/>
  <c r="B153" i="9"/>
  <c r="O308" i="9" l="1"/>
  <c r="P306" i="9"/>
  <c r="O307" i="9"/>
  <c r="P305" i="9"/>
  <c r="J152" i="9"/>
  <c r="L153" i="9"/>
  <c r="M153" i="9" s="1"/>
  <c r="H154" i="9"/>
  <c r="I153" i="9"/>
  <c r="E155" i="9"/>
  <c r="F155" i="9" s="1"/>
  <c r="F154" i="9"/>
  <c r="C153" i="9"/>
  <c r="B154" i="9"/>
  <c r="O309" i="9" l="1"/>
  <c r="P307" i="9"/>
  <c r="O310" i="9"/>
  <c r="P308" i="9"/>
  <c r="L154" i="9"/>
  <c r="M154" i="9" s="1"/>
  <c r="J153" i="9"/>
  <c r="G154" i="9"/>
  <c r="G155" i="9"/>
  <c r="H155" i="9"/>
  <c r="I154" i="9"/>
  <c r="E156" i="9"/>
  <c r="F156" i="9"/>
  <c r="C154" i="9"/>
  <c r="D154" i="9" s="1"/>
  <c r="D153" i="9"/>
  <c r="B155" i="9"/>
  <c r="O312" i="9" l="1"/>
  <c r="P310" i="9"/>
  <c r="O311" i="9"/>
  <c r="P309" i="9"/>
  <c r="J154" i="9"/>
  <c r="L155" i="9"/>
  <c r="M155" i="9" s="1"/>
  <c r="G156" i="9"/>
  <c r="H156" i="9"/>
  <c r="I155" i="9"/>
  <c r="E157" i="9"/>
  <c r="F157" i="9" s="1"/>
  <c r="C155" i="9"/>
  <c r="B156" i="9"/>
  <c r="O313" i="9" l="1"/>
  <c r="P311" i="9"/>
  <c r="O314" i="9"/>
  <c r="P312" i="9"/>
  <c r="J155" i="9"/>
  <c r="L156" i="9"/>
  <c r="M156" i="9" s="1"/>
  <c r="G157" i="9"/>
  <c r="I156" i="9"/>
  <c r="H157" i="9"/>
  <c r="E158" i="9"/>
  <c r="F158" i="9" s="1"/>
  <c r="C156" i="9"/>
  <c r="D156" i="9" s="1"/>
  <c r="D155" i="9"/>
  <c r="B157" i="9"/>
  <c r="O316" i="9" l="1"/>
  <c r="P314" i="9"/>
  <c r="O315" i="9"/>
  <c r="P313" i="9"/>
  <c r="L157" i="9"/>
  <c r="M157" i="9" s="1"/>
  <c r="J156" i="9"/>
  <c r="G158" i="9"/>
  <c r="I157" i="9"/>
  <c r="H158" i="9"/>
  <c r="E159" i="9"/>
  <c r="F159" i="9" s="1"/>
  <c r="C157" i="9"/>
  <c r="B158" i="9"/>
  <c r="O317" i="9" l="1"/>
  <c r="P315" i="9"/>
  <c r="O318" i="9"/>
  <c r="P316" i="9"/>
  <c r="J157" i="9"/>
  <c r="L158" i="9"/>
  <c r="M158" i="9" s="1"/>
  <c r="G159" i="9"/>
  <c r="H159" i="9"/>
  <c r="I158" i="9"/>
  <c r="E160" i="9"/>
  <c r="F160" i="9" s="1"/>
  <c r="C158" i="9"/>
  <c r="D158" i="9" s="1"/>
  <c r="D157" i="9"/>
  <c r="B159" i="9"/>
  <c r="O320" i="9" l="1"/>
  <c r="P318" i="9"/>
  <c r="O319" i="9"/>
  <c r="P317" i="9"/>
  <c r="J158" i="9"/>
  <c r="L159" i="9"/>
  <c r="M159" i="9" s="1"/>
  <c r="G160" i="9"/>
  <c r="H160" i="9"/>
  <c r="I159" i="9"/>
  <c r="E161" i="9"/>
  <c r="F161" i="9" s="1"/>
  <c r="C159" i="9"/>
  <c r="D159" i="9" s="1"/>
  <c r="B160" i="9"/>
  <c r="O321" i="9" l="1"/>
  <c r="P319" i="9"/>
  <c r="O322" i="9"/>
  <c r="P320" i="9"/>
  <c r="J159" i="9"/>
  <c r="L160" i="9"/>
  <c r="M160" i="9" s="1"/>
  <c r="G161" i="9"/>
  <c r="H161" i="9"/>
  <c r="I160" i="9"/>
  <c r="E162" i="9"/>
  <c r="F162" i="9" s="1"/>
  <c r="C160" i="9"/>
  <c r="D160" i="9" s="1"/>
  <c r="B161" i="9"/>
  <c r="O324" i="9" l="1"/>
  <c r="P324" i="9" s="1"/>
  <c r="P322" i="9"/>
  <c r="O323" i="9"/>
  <c r="P323" i="9" s="1"/>
  <c r="P321" i="9"/>
  <c r="J160" i="9"/>
  <c r="L161" i="9"/>
  <c r="M161" i="9" s="1"/>
  <c r="G162" i="9"/>
  <c r="H162" i="9"/>
  <c r="I161" i="9"/>
  <c r="E163" i="9"/>
  <c r="F163" i="9" s="1"/>
  <c r="C161" i="9"/>
  <c r="B162" i="9"/>
  <c r="J161" i="9" l="1"/>
  <c r="L162" i="9"/>
  <c r="M162" i="9" s="1"/>
  <c r="G163" i="9"/>
  <c r="H163" i="9"/>
  <c r="I162" i="9"/>
  <c r="E164" i="9"/>
  <c r="F164" i="9" s="1"/>
  <c r="C162" i="9"/>
  <c r="D162" i="9" s="1"/>
  <c r="D161" i="9"/>
  <c r="B163" i="9"/>
  <c r="J162" i="9" l="1"/>
  <c r="L163" i="9"/>
  <c r="M163" i="9" s="1"/>
  <c r="G164" i="9"/>
  <c r="H164" i="9"/>
  <c r="I163" i="9"/>
  <c r="E165" i="9"/>
  <c r="F165" i="9" s="1"/>
  <c r="C163" i="9"/>
  <c r="B164" i="9"/>
  <c r="J163" i="9" l="1"/>
  <c r="L164" i="9"/>
  <c r="M164" i="9" s="1"/>
  <c r="G165" i="9"/>
  <c r="I164" i="9"/>
  <c r="H165" i="9"/>
  <c r="E166" i="9"/>
  <c r="F166" i="9" s="1"/>
  <c r="C164" i="9"/>
  <c r="D164" i="9" s="1"/>
  <c r="D163" i="9"/>
  <c r="B165" i="9"/>
  <c r="L165" i="9" l="1"/>
  <c r="M165" i="9" s="1"/>
  <c r="J164" i="9"/>
  <c r="G166" i="9"/>
  <c r="I165" i="9"/>
  <c r="H166" i="9"/>
  <c r="E167" i="9"/>
  <c r="F167" i="9" s="1"/>
  <c r="C165" i="9"/>
  <c r="B166" i="9"/>
  <c r="J165" i="9" l="1"/>
  <c r="L166" i="9"/>
  <c r="M166" i="9" s="1"/>
  <c r="G167" i="9"/>
  <c r="H167" i="9"/>
  <c r="I166" i="9"/>
  <c r="E168" i="9"/>
  <c r="F168" i="9" s="1"/>
  <c r="C166" i="9"/>
  <c r="D165" i="9"/>
  <c r="B167" i="9"/>
  <c r="J166" i="9" l="1"/>
  <c r="L167" i="9"/>
  <c r="M167" i="9" s="1"/>
  <c r="G168" i="9"/>
  <c r="I167" i="9"/>
  <c r="H168" i="9"/>
  <c r="E169" i="9"/>
  <c r="F169" i="9" s="1"/>
  <c r="D166" i="9"/>
  <c r="C167" i="9"/>
  <c r="D167" i="9" s="1"/>
  <c r="B168" i="9"/>
  <c r="L168" i="9" l="1"/>
  <c r="M168" i="9" s="1"/>
  <c r="J167" i="9"/>
  <c r="G169" i="9"/>
  <c r="H169" i="9"/>
  <c r="I168" i="9"/>
  <c r="E170" i="9"/>
  <c r="C168" i="9"/>
  <c r="D168" i="9" s="1"/>
  <c r="B169" i="9"/>
  <c r="J168" i="9" l="1"/>
  <c r="L169" i="9"/>
  <c r="M169" i="9" s="1"/>
  <c r="H170" i="9"/>
  <c r="I169" i="9"/>
  <c r="E171" i="9"/>
  <c r="F171" i="9" s="1"/>
  <c r="F170" i="9"/>
  <c r="C169" i="9"/>
  <c r="B170" i="9"/>
  <c r="L170" i="9" l="1"/>
  <c r="M170" i="9" s="1"/>
  <c r="J169" i="9"/>
  <c r="G171" i="9"/>
  <c r="G170" i="9"/>
  <c r="H171" i="9"/>
  <c r="I170" i="9"/>
  <c r="E172" i="9"/>
  <c r="F172" i="9"/>
  <c r="C170" i="9"/>
  <c r="D170" i="9" s="1"/>
  <c r="D169" i="9"/>
  <c r="B171" i="9"/>
  <c r="J170" i="9" l="1"/>
  <c r="L171" i="9"/>
  <c r="M171" i="9" s="1"/>
  <c r="G172" i="9"/>
  <c r="H172" i="9"/>
  <c r="I171" i="9"/>
  <c r="E173" i="9"/>
  <c r="F173" i="9" s="1"/>
  <c r="C171" i="9"/>
  <c r="B172" i="9"/>
  <c r="J171" i="9" l="1"/>
  <c r="L172" i="9"/>
  <c r="M172" i="9" s="1"/>
  <c r="G173" i="9"/>
  <c r="H173" i="9"/>
  <c r="I172" i="9"/>
  <c r="E174" i="9"/>
  <c r="F174" i="9" s="1"/>
  <c r="C172" i="9"/>
  <c r="D172" i="9" s="1"/>
  <c r="D171" i="9"/>
  <c r="B173" i="9"/>
  <c r="J172" i="9" l="1"/>
  <c r="L173" i="9"/>
  <c r="M173" i="9" s="1"/>
  <c r="G174" i="9"/>
  <c r="I173" i="9"/>
  <c r="H174" i="9"/>
  <c r="E175" i="9"/>
  <c r="F175" i="9" s="1"/>
  <c r="C173" i="9"/>
  <c r="D173" i="9" s="1"/>
  <c r="B174" i="9"/>
  <c r="L174" i="9" l="1"/>
  <c r="M174" i="9" s="1"/>
  <c r="J173" i="9"/>
  <c r="G175" i="9"/>
  <c r="H175" i="9"/>
  <c r="I174" i="9"/>
  <c r="E176" i="9"/>
  <c r="F176" i="9" s="1"/>
  <c r="C174" i="9"/>
  <c r="D174" i="9" s="1"/>
  <c r="B175" i="9"/>
  <c r="J174" i="9" l="1"/>
  <c r="L175" i="9"/>
  <c r="M175" i="9" s="1"/>
  <c r="G176" i="9"/>
  <c r="H176" i="9"/>
  <c r="I175" i="9"/>
  <c r="E177" i="9"/>
  <c r="F177" i="9" s="1"/>
  <c r="C175" i="9"/>
  <c r="D175" i="9" s="1"/>
  <c r="B176" i="9"/>
  <c r="J175" i="9" l="1"/>
  <c r="L176" i="9"/>
  <c r="M176" i="9" s="1"/>
  <c r="G177" i="9"/>
  <c r="H177" i="9"/>
  <c r="I176" i="9"/>
  <c r="E178" i="9"/>
  <c r="F178" i="9" s="1"/>
  <c r="C176" i="9"/>
  <c r="D176" i="9" s="1"/>
  <c r="B177" i="9"/>
  <c r="L177" i="9" l="1"/>
  <c r="M177" i="9" s="1"/>
  <c r="J176" i="9"/>
  <c r="G178" i="9"/>
  <c r="H178" i="9"/>
  <c r="I177" i="9"/>
  <c r="E179" i="9"/>
  <c r="F179" i="9" s="1"/>
  <c r="C177" i="9"/>
  <c r="D177" i="9" s="1"/>
  <c r="B178" i="9"/>
  <c r="J177" i="9" l="1"/>
  <c r="L178" i="9"/>
  <c r="M178" i="9" s="1"/>
  <c r="G179" i="9"/>
  <c r="H179" i="9"/>
  <c r="I178" i="9"/>
  <c r="E180" i="9"/>
  <c r="F180" i="9" s="1"/>
  <c r="C178" i="9"/>
  <c r="B179" i="9"/>
  <c r="J178" i="9" l="1"/>
  <c r="L179" i="9"/>
  <c r="M179" i="9" s="1"/>
  <c r="G180" i="9"/>
  <c r="H180" i="9"/>
  <c r="I179" i="9"/>
  <c r="E181" i="9"/>
  <c r="C179" i="9"/>
  <c r="D179" i="9" s="1"/>
  <c r="D178" i="9"/>
  <c r="B180" i="9"/>
  <c r="J179" i="9" l="1"/>
  <c r="L180" i="9"/>
  <c r="M180" i="9" s="1"/>
  <c r="H181" i="9"/>
  <c r="I180" i="9"/>
  <c r="E182" i="9"/>
  <c r="F181" i="9"/>
  <c r="C180" i="9"/>
  <c r="B181" i="9"/>
  <c r="L181" i="9" l="1"/>
  <c r="M181" i="9" s="1"/>
  <c r="J180" i="9"/>
  <c r="G181" i="9"/>
  <c r="I181" i="9"/>
  <c r="H182" i="9"/>
  <c r="E183" i="9"/>
  <c r="F182" i="9"/>
  <c r="C181" i="9"/>
  <c r="D181" i="9" s="1"/>
  <c r="D180" i="9"/>
  <c r="B182" i="9"/>
  <c r="J181" i="9" l="1"/>
  <c r="L182" i="9"/>
  <c r="M182" i="9" s="1"/>
  <c r="G182" i="9"/>
  <c r="H183" i="9"/>
  <c r="I182" i="9"/>
  <c r="E184" i="9"/>
  <c r="F183" i="9"/>
  <c r="C182" i="9"/>
  <c r="B183" i="9"/>
  <c r="J182" i="9" l="1"/>
  <c r="L183" i="9"/>
  <c r="M183" i="9" s="1"/>
  <c r="G183" i="9"/>
  <c r="H184" i="9"/>
  <c r="I183" i="9"/>
  <c r="E185" i="9"/>
  <c r="F185" i="9" s="1"/>
  <c r="F184" i="9"/>
  <c r="C183" i="9"/>
  <c r="D183" i="9" s="1"/>
  <c r="D182" i="9"/>
  <c r="B184" i="9"/>
  <c r="J183" i="9" l="1"/>
  <c r="L184" i="9"/>
  <c r="M184" i="9" s="1"/>
  <c r="G184" i="9"/>
  <c r="H185" i="9"/>
  <c r="I184" i="9"/>
  <c r="G185" i="9"/>
  <c r="E186" i="9"/>
  <c r="C184" i="9"/>
  <c r="D184" i="9" s="1"/>
  <c r="B185" i="9"/>
  <c r="J184" i="9" l="1"/>
  <c r="L185" i="9"/>
  <c r="M185" i="9" s="1"/>
  <c r="H186" i="9"/>
  <c r="I185" i="9"/>
  <c r="E187" i="9"/>
  <c r="F186" i="9"/>
  <c r="C185" i="9"/>
  <c r="B186" i="9"/>
  <c r="L186" i="9" l="1"/>
  <c r="M186" i="9" s="1"/>
  <c r="J185" i="9"/>
  <c r="G186" i="9"/>
  <c r="H187" i="9"/>
  <c r="I186" i="9"/>
  <c r="E188" i="9"/>
  <c r="F187" i="9"/>
  <c r="C186" i="9"/>
  <c r="D186" i="9" s="1"/>
  <c r="D185" i="9"/>
  <c r="B187" i="9"/>
  <c r="L187" i="9" l="1"/>
  <c r="M187" i="9" s="1"/>
  <c r="J186" i="9"/>
  <c r="G187" i="9"/>
  <c r="H188" i="9"/>
  <c r="I187" i="9"/>
  <c r="E189" i="9"/>
  <c r="F189" i="9" s="1"/>
  <c r="F188" i="9"/>
  <c r="C187" i="9"/>
  <c r="B188" i="9"/>
  <c r="L188" i="9" l="1"/>
  <c r="M188" i="9" s="1"/>
  <c r="J187" i="9"/>
  <c r="G188" i="9"/>
  <c r="I188" i="9"/>
  <c r="H189" i="9"/>
  <c r="G189" i="9"/>
  <c r="E190" i="9"/>
  <c r="C188" i="9"/>
  <c r="D187" i="9"/>
  <c r="B189" i="9"/>
  <c r="J188" i="9" l="1"/>
  <c r="L189" i="9"/>
  <c r="M189" i="9" s="1"/>
  <c r="I189" i="9"/>
  <c r="H190" i="9"/>
  <c r="E191" i="9"/>
  <c r="F190" i="9"/>
  <c r="C189" i="9"/>
  <c r="D188" i="9"/>
  <c r="B190" i="9"/>
  <c r="J189" i="9" l="1"/>
  <c r="L190" i="9"/>
  <c r="M190" i="9" s="1"/>
  <c r="G190" i="9"/>
  <c r="H191" i="9"/>
  <c r="I190" i="9"/>
  <c r="E192" i="9"/>
  <c r="F191" i="9"/>
  <c r="C190" i="9"/>
  <c r="D189" i="9"/>
  <c r="B191" i="9"/>
  <c r="J190" i="9" l="1"/>
  <c r="L191" i="9"/>
  <c r="M191" i="9" s="1"/>
  <c r="G191" i="9"/>
  <c r="H192" i="9"/>
  <c r="I191" i="9"/>
  <c r="E193" i="9"/>
  <c r="F192" i="9"/>
  <c r="C191" i="9"/>
  <c r="D190" i="9"/>
  <c r="B192" i="9"/>
  <c r="J191" i="9" l="1"/>
  <c r="L192" i="9"/>
  <c r="M192" i="9" s="1"/>
  <c r="G192" i="9"/>
  <c r="H193" i="9"/>
  <c r="I192" i="9"/>
  <c r="E194" i="9"/>
  <c r="F193" i="9"/>
  <c r="C192" i="9"/>
  <c r="D192" i="9" s="1"/>
  <c r="D191" i="9"/>
  <c r="B193" i="9"/>
  <c r="J192" i="9" l="1"/>
  <c r="L193" i="9"/>
  <c r="M193" i="9" s="1"/>
  <c r="G193" i="9"/>
  <c r="H194" i="9"/>
  <c r="I193" i="9"/>
  <c r="E195" i="9"/>
  <c r="F195" i="9" s="1"/>
  <c r="F194" i="9"/>
  <c r="C193" i="9"/>
  <c r="B194" i="9"/>
  <c r="J193" i="9" l="1"/>
  <c r="L194" i="9"/>
  <c r="M194" i="9" s="1"/>
  <c r="G194" i="9"/>
  <c r="H195" i="9"/>
  <c r="I194" i="9"/>
  <c r="G195" i="9"/>
  <c r="E196" i="9"/>
  <c r="F196" i="9" s="1"/>
  <c r="C194" i="9"/>
  <c r="D194" i="9" s="1"/>
  <c r="D193" i="9"/>
  <c r="B195" i="9"/>
  <c r="J194" i="9" l="1"/>
  <c r="L195" i="9"/>
  <c r="M195" i="9" s="1"/>
  <c r="H196" i="9"/>
  <c r="I195" i="9"/>
  <c r="G196" i="9"/>
  <c r="E197" i="9"/>
  <c r="F197" i="9" s="1"/>
  <c r="C195" i="9"/>
  <c r="B196" i="9"/>
  <c r="L196" i="9" l="1"/>
  <c r="M196" i="9" s="1"/>
  <c r="J195" i="9"/>
  <c r="G197" i="9"/>
  <c r="H197" i="9"/>
  <c r="I196" i="9"/>
  <c r="E198" i="9"/>
  <c r="F198" i="9" s="1"/>
  <c r="C196" i="9"/>
  <c r="D196" i="9" s="1"/>
  <c r="D195" i="9"/>
  <c r="B197" i="9"/>
  <c r="J196" i="9" l="1"/>
  <c r="L197" i="9"/>
  <c r="M197" i="9" s="1"/>
  <c r="G198" i="9"/>
  <c r="I197" i="9"/>
  <c r="H198" i="9"/>
  <c r="E199" i="9"/>
  <c r="F199" i="9" s="1"/>
  <c r="C197" i="9"/>
  <c r="B198" i="9"/>
  <c r="L198" i="9" l="1"/>
  <c r="M198" i="9" s="1"/>
  <c r="J197" i="9"/>
  <c r="G199" i="9"/>
  <c r="H199" i="9"/>
  <c r="I198" i="9"/>
  <c r="E200" i="9"/>
  <c r="F200" i="9" s="1"/>
  <c r="C198" i="9"/>
  <c r="D198" i="9" s="1"/>
  <c r="D197" i="9"/>
  <c r="B199" i="9"/>
  <c r="L199" i="9" l="1"/>
  <c r="M199" i="9" s="1"/>
  <c r="J198" i="9"/>
  <c r="G200" i="9"/>
  <c r="H200" i="9"/>
  <c r="I199" i="9"/>
  <c r="E201" i="9"/>
  <c r="F201" i="9" s="1"/>
  <c r="C199" i="9"/>
  <c r="B200" i="9"/>
  <c r="J199" i="9" l="1"/>
  <c r="L200" i="9"/>
  <c r="M200" i="9" s="1"/>
  <c r="G201" i="9"/>
  <c r="H201" i="9"/>
  <c r="I200" i="9"/>
  <c r="E202" i="9"/>
  <c r="F202" i="9" s="1"/>
  <c r="C200" i="9"/>
  <c r="D199" i="9"/>
  <c r="B201" i="9"/>
  <c r="J200" i="9" l="1"/>
  <c r="L201" i="9"/>
  <c r="M201" i="9" s="1"/>
  <c r="G202" i="9"/>
  <c r="H202" i="9"/>
  <c r="I201" i="9"/>
  <c r="E203" i="9"/>
  <c r="F203" i="9" s="1"/>
  <c r="C201" i="9"/>
  <c r="D201" i="9" s="1"/>
  <c r="D200" i="9"/>
  <c r="B202" i="9"/>
  <c r="J201" i="9" l="1"/>
  <c r="L202" i="9"/>
  <c r="M202" i="9" s="1"/>
  <c r="G203" i="9"/>
  <c r="H203" i="9"/>
  <c r="I202" i="9"/>
  <c r="E204" i="9"/>
  <c r="F204" i="9" s="1"/>
  <c r="C202" i="9"/>
  <c r="B203" i="9"/>
  <c r="J202" i="9" l="1"/>
  <c r="L203" i="9"/>
  <c r="M203" i="9" s="1"/>
  <c r="G204" i="9"/>
  <c r="H204" i="9"/>
  <c r="I203" i="9"/>
  <c r="E205" i="9"/>
  <c r="F205" i="9" s="1"/>
  <c r="C203" i="9"/>
  <c r="D203" i="9" s="1"/>
  <c r="D202" i="9"/>
  <c r="B204" i="9"/>
  <c r="J203" i="9" l="1"/>
  <c r="L204" i="9"/>
  <c r="M204" i="9" s="1"/>
  <c r="G205" i="9"/>
  <c r="H205" i="9"/>
  <c r="I204" i="9"/>
  <c r="E206" i="9"/>
  <c r="F206" i="9" s="1"/>
  <c r="C204" i="9"/>
  <c r="B205" i="9"/>
  <c r="J204" i="9" l="1"/>
  <c r="L205" i="9"/>
  <c r="M205" i="9" s="1"/>
  <c r="G206" i="9"/>
  <c r="H206" i="9"/>
  <c r="I205" i="9"/>
  <c r="E207" i="9"/>
  <c r="F207" i="9" s="1"/>
  <c r="C205" i="9"/>
  <c r="D205" i="9" s="1"/>
  <c r="D204" i="9"/>
  <c r="B206" i="9"/>
  <c r="J205" i="9" l="1"/>
  <c r="L206" i="9"/>
  <c r="M206" i="9" s="1"/>
  <c r="G207" i="9"/>
  <c r="H207" i="9"/>
  <c r="I206" i="9"/>
  <c r="E208" i="9"/>
  <c r="F208" i="9" s="1"/>
  <c r="C206" i="9"/>
  <c r="D206" i="9" s="1"/>
  <c r="B207" i="9"/>
  <c r="L207" i="9" l="1"/>
  <c r="M207" i="9" s="1"/>
  <c r="J206" i="9"/>
  <c r="G208" i="9"/>
  <c r="H208" i="9"/>
  <c r="I207" i="9"/>
  <c r="E209" i="9"/>
  <c r="F209" i="9" s="1"/>
  <c r="C207" i="9"/>
  <c r="B208" i="9"/>
  <c r="J207" i="9" l="1"/>
  <c r="L208" i="9"/>
  <c r="M208" i="9" s="1"/>
  <c r="G209" i="9"/>
  <c r="H209" i="9"/>
  <c r="I208" i="9"/>
  <c r="E210" i="9"/>
  <c r="F210" i="9" s="1"/>
  <c r="C208" i="9"/>
  <c r="D208" i="9" s="1"/>
  <c r="D207" i="9"/>
  <c r="B209" i="9"/>
  <c r="J208" i="9" l="1"/>
  <c r="L209" i="9"/>
  <c r="M209" i="9" s="1"/>
  <c r="G210" i="9"/>
  <c r="H210" i="9"/>
  <c r="I209" i="9"/>
  <c r="E211" i="9"/>
  <c r="F211" i="9" s="1"/>
  <c r="C209" i="9"/>
  <c r="B210" i="9"/>
  <c r="J209" i="9" l="1"/>
  <c r="L210" i="9"/>
  <c r="M210" i="9" s="1"/>
  <c r="G211" i="9"/>
  <c r="H211" i="9"/>
  <c r="I210" i="9"/>
  <c r="E212" i="9"/>
  <c r="F212" i="9" s="1"/>
  <c r="C210" i="9"/>
  <c r="D209" i="9"/>
  <c r="B211" i="9"/>
  <c r="J210" i="9" l="1"/>
  <c r="L211" i="9"/>
  <c r="M211" i="9" s="1"/>
  <c r="G212" i="9"/>
  <c r="H212" i="9"/>
  <c r="I211" i="9"/>
  <c r="E213" i="9"/>
  <c r="F213" i="9" s="1"/>
  <c r="D210" i="9"/>
  <c r="C211" i="9"/>
  <c r="D211" i="9" s="1"/>
  <c r="B212" i="9"/>
  <c r="J211" i="9" l="1"/>
  <c r="L212" i="9"/>
  <c r="M212" i="9" s="1"/>
  <c r="G213" i="9"/>
  <c r="H213" i="9"/>
  <c r="I212" i="9"/>
  <c r="E214" i="9"/>
  <c r="F214" i="9" s="1"/>
  <c r="C212" i="9"/>
  <c r="D212" i="9" s="1"/>
  <c r="B213" i="9"/>
  <c r="J212" i="9" l="1"/>
  <c r="L213" i="9"/>
  <c r="M213" i="9" s="1"/>
  <c r="G214" i="9"/>
  <c r="I213" i="9"/>
  <c r="H214" i="9"/>
  <c r="E215" i="9"/>
  <c r="F215" i="9" s="1"/>
  <c r="C213" i="9"/>
  <c r="B214" i="9"/>
  <c r="L214" i="9" l="1"/>
  <c r="M214" i="9" s="1"/>
  <c r="J213" i="9"/>
  <c r="G215" i="9"/>
  <c r="H215" i="9"/>
  <c r="I214" i="9"/>
  <c r="E216" i="9"/>
  <c r="F216" i="9" s="1"/>
  <c r="C214" i="9"/>
  <c r="D213" i="9"/>
  <c r="B215" i="9"/>
  <c r="J214" i="9" l="1"/>
  <c r="L215" i="9"/>
  <c r="M215" i="9" s="1"/>
  <c r="G216" i="9"/>
  <c r="H216" i="9"/>
  <c r="I215" i="9"/>
  <c r="E217" i="9"/>
  <c r="F217" i="9" s="1"/>
  <c r="C215" i="9"/>
  <c r="D215" i="9" s="1"/>
  <c r="D214" i="9"/>
  <c r="B216" i="9"/>
  <c r="J215" i="9" l="1"/>
  <c r="L216" i="9"/>
  <c r="M216" i="9" s="1"/>
  <c r="G217" i="9"/>
  <c r="H217" i="9"/>
  <c r="I216" i="9"/>
  <c r="E218" i="9"/>
  <c r="F218" i="9" s="1"/>
  <c r="C216" i="9"/>
  <c r="B217" i="9"/>
  <c r="J216" i="9" l="1"/>
  <c r="L217" i="9"/>
  <c r="M217" i="9" s="1"/>
  <c r="G218" i="9"/>
  <c r="H218" i="9"/>
  <c r="I217" i="9"/>
  <c r="E219" i="9"/>
  <c r="F219" i="9" s="1"/>
  <c r="C217" i="9"/>
  <c r="D217" i="9" s="1"/>
  <c r="D216" i="9"/>
  <c r="B218" i="9"/>
  <c r="J217" i="9" l="1"/>
  <c r="L218" i="9"/>
  <c r="M218" i="9" s="1"/>
  <c r="G219" i="9"/>
  <c r="H219" i="9"/>
  <c r="I218" i="9"/>
  <c r="E220" i="9"/>
  <c r="F220" i="9" s="1"/>
  <c r="C218" i="9"/>
  <c r="B219" i="9"/>
  <c r="J218" i="9" l="1"/>
  <c r="L219" i="9"/>
  <c r="M219" i="9" s="1"/>
  <c r="G220" i="9"/>
  <c r="H220" i="9"/>
  <c r="I219" i="9"/>
  <c r="E221" i="9"/>
  <c r="F221" i="9" s="1"/>
  <c r="C219" i="9"/>
  <c r="D219" i="9" s="1"/>
  <c r="D218" i="9"/>
  <c r="B220" i="9"/>
  <c r="J219" i="9" l="1"/>
  <c r="L220" i="9"/>
  <c r="M220" i="9" s="1"/>
  <c r="G221" i="9"/>
  <c r="H221" i="9"/>
  <c r="I220" i="9"/>
  <c r="E222" i="9"/>
  <c r="F222" i="9" s="1"/>
  <c r="C220" i="9"/>
  <c r="D220" i="9" s="1"/>
  <c r="B221" i="9"/>
  <c r="J220" i="9" l="1"/>
  <c r="L221" i="9"/>
  <c r="M221" i="9" s="1"/>
  <c r="G222" i="9"/>
  <c r="H222" i="9"/>
  <c r="I221" i="9"/>
  <c r="E223" i="9"/>
  <c r="F223" i="9" s="1"/>
  <c r="C221" i="9"/>
  <c r="D221" i="9" s="1"/>
  <c r="B222" i="9"/>
  <c r="J221" i="9" l="1"/>
  <c r="L222" i="9"/>
  <c r="M222" i="9" s="1"/>
  <c r="G223" i="9"/>
  <c r="H223" i="9"/>
  <c r="I222" i="9"/>
  <c r="E224" i="9"/>
  <c r="F224" i="9" s="1"/>
  <c r="C222" i="9"/>
  <c r="B223" i="9"/>
  <c r="J222" i="9" l="1"/>
  <c r="L223" i="9"/>
  <c r="M223" i="9" s="1"/>
  <c r="G224" i="9"/>
  <c r="H224" i="9"/>
  <c r="I223" i="9"/>
  <c r="E225" i="9"/>
  <c r="F225" i="9" s="1"/>
  <c r="C223" i="9"/>
  <c r="D223" i="9" s="1"/>
  <c r="D222" i="9"/>
  <c r="B224" i="9"/>
  <c r="J223" i="9" l="1"/>
  <c r="L224" i="9"/>
  <c r="M224" i="9" s="1"/>
  <c r="G225" i="9"/>
  <c r="H225" i="9"/>
  <c r="I224" i="9"/>
  <c r="E226" i="9"/>
  <c r="F226" i="9" s="1"/>
  <c r="C224" i="9"/>
  <c r="B225" i="9"/>
  <c r="J224" i="9" l="1"/>
  <c r="L225" i="9"/>
  <c r="M225" i="9" s="1"/>
  <c r="G226" i="9"/>
  <c r="H226" i="9"/>
  <c r="I225" i="9"/>
  <c r="E227" i="9"/>
  <c r="F227" i="9" s="1"/>
  <c r="C225" i="9"/>
  <c r="D225" i="9" s="1"/>
  <c r="D224" i="9"/>
  <c r="B226" i="9"/>
  <c r="L226" i="9" l="1"/>
  <c r="M226" i="9" s="1"/>
  <c r="J225" i="9"/>
  <c r="G227" i="9"/>
  <c r="H227" i="9"/>
  <c r="I226" i="9"/>
  <c r="E228" i="9"/>
  <c r="F228" i="9" s="1"/>
  <c r="C226" i="9"/>
  <c r="B227" i="9"/>
  <c r="J226" i="9" l="1"/>
  <c r="L227" i="9"/>
  <c r="M227" i="9" s="1"/>
  <c r="G228" i="9"/>
  <c r="H228" i="9"/>
  <c r="I227" i="9"/>
  <c r="E229" i="9"/>
  <c r="F229" i="9" s="1"/>
  <c r="C227" i="9"/>
  <c r="D227" i="9" s="1"/>
  <c r="D226" i="9"/>
  <c r="B228" i="9"/>
  <c r="J227" i="9" l="1"/>
  <c r="L228" i="9"/>
  <c r="M228" i="9" s="1"/>
  <c r="G229" i="9"/>
  <c r="I228" i="9"/>
  <c r="H229" i="9"/>
  <c r="E230" i="9"/>
  <c r="F230" i="9" s="1"/>
  <c r="C228" i="9"/>
  <c r="D228" i="9" s="1"/>
  <c r="B229" i="9"/>
  <c r="L229" i="9" l="1"/>
  <c r="M229" i="9" s="1"/>
  <c r="J228" i="9"/>
  <c r="G230" i="9"/>
  <c r="I229" i="9"/>
  <c r="H230" i="9"/>
  <c r="E231" i="9"/>
  <c r="F231" i="9" s="1"/>
  <c r="C229" i="9"/>
  <c r="B230" i="9"/>
  <c r="J229" i="9" l="1"/>
  <c r="L230" i="9"/>
  <c r="M230" i="9" s="1"/>
  <c r="G231" i="9"/>
  <c r="H231" i="9"/>
  <c r="I230" i="9"/>
  <c r="E232" i="9"/>
  <c r="F232" i="9" s="1"/>
  <c r="C230" i="9"/>
  <c r="D230" i="9" s="1"/>
  <c r="D229" i="9"/>
  <c r="B231" i="9"/>
  <c r="J230" i="9" l="1"/>
  <c r="L231" i="9"/>
  <c r="M231" i="9" s="1"/>
  <c r="G232" i="9"/>
  <c r="H232" i="9"/>
  <c r="I231" i="9"/>
  <c r="E233" i="9"/>
  <c r="F233" i="9" s="1"/>
  <c r="C231" i="9"/>
  <c r="D231" i="9" s="1"/>
  <c r="B232" i="9"/>
  <c r="J231" i="9" l="1"/>
  <c r="L232" i="9"/>
  <c r="M232" i="9" s="1"/>
  <c r="G233" i="9"/>
  <c r="H233" i="9"/>
  <c r="I232" i="9"/>
  <c r="E234" i="9"/>
  <c r="F234" i="9" s="1"/>
  <c r="C232" i="9"/>
  <c r="B233" i="9"/>
  <c r="J232" i="9" l="1"/>
  <c r="L233" i="9"/>
  <c r="M233" i="9" s="1"/>
  <c r="G234" i="9"/>
  <c r="H234" i="9"/>
  <c r="I233" i="9"/>
  <c r="E235" i="9"/>
  <c r="F235" i="9" s="1"/>
  <c r="C233" i="9"/>
  <c r="D233" i="9" s="1"/>
  <c r="D232" i="9"/>
  <c r="B234" i="9"/>
  <c r="J233" i="9" l="1"/>
  <c r="L234" i="9"/>
  <c r="M234" i="9" s="1"/>
  <c r="G235" i="9"/>
  <c r="H235" i="9"/>
  <c r="I234" i="9"/>
  <c r="E236" i="9"/>
  <c r="F236" i="9" s="1"/>
  <c r="C234" i="9"/>
  <c r="D234" i="9" s="1"/>
  <c r="B235" i="9"/>
  <c r="J234" i="9" l="1"/>
  <c r="L235" i="9"/>
  <c r="M235" i="9" s="1"/>
  <c r="G236" i="9"/>
  <c r="H236" i="9"/>
  <c r="I235" i="9"/>
  <c r="E237" i="9"/>
  <c r="F237" i="9" s="1"/>
  <c r="C235" i="9"/>
  <c r="D235" i="9" s="1"/>
  <c r="B236" i="9"/>
  <c r="J235" i="9" l="1"/>
  <c r="L236" i="9"/>
  <c r="M236" i="9" s="1"/>
  <c r="G237" i="9"/>
  <c r="H237" i="9"/>
  <c r="I236" i="9"/>
  <c r="E238" i="9"/>
  <c r="F238" i="9" s="1"/>
  <c r="C236" i="9"/>
  <c r="B237" i="9"/>
  <c r="J236" i="9" l="1"/>
  <c r="L237" i="9"/>
  <c r="M237" i="9" s="1"/>
  <c r="G238" i="9"/>
  <c r="H238" i="9"/>
  <c r="I237" i="9"/>
  <c r="E239" i="9"/>
  <c r="F239" i="9" s="1"/>
  <c r="C237" i="9"/>
  <c r="D237" i="9" s="1"/>
  <c r="D236" i="9"/>
  <c r="B238" i="9"/>
  <c r="J237" i="9" l="1"/>
  <c r="L238" i="9"/>
  <c r="M238" i="9" s="1"/>
  <c r="G239" i="9"/>
  <c r="H239" i="9"/>
  <c r="I238" i="9"/>
  <c r="E240" i="9"/>
  <c r="F240" i="9" s="1"/>
  <c r="C238" i="9"/>
  <c r="D238" i="9" s="1"/>
  <c r="B239" i="9"/>
  <c r="J238" i="9" l="1"/>
  <c r="L239" i="9"/>
  <c r="M239" i="9" s="1"/>
  <c r="G240" i="9"/>
  <c r="H240" i="9"/>
  <c r="I239" i="9"/>
  <c r="E241" i="9"/>
  <c r="F241" i="9" s="1"/>
  <c r="C239" i="9"/>
  <c r="B240" i="9"/>
  <c r="J239" i="9" l="1"/>
  <c r="L240" i="9"/>
  <c r="M240" i="9" s="1"/>
  <c r="G241" i="9"/>
  <c r="H241" i="9"/>
  <c r="I240" i="9"/>
  <c r="E242" i="9"/>
  <c r="F242" i="9" s="1"/>
  <c r="C240" i="9"/>
  <c r="D240" i="9" s="1"/>
  <c r="D239" i="9"/>
  <c r="B241" i="9"/>
  <c r="J240" i="9" l="1"/>
  <c r="L241" i="9"/>
  <c r="M241" i="9" s="1"/>
  <c r="G242" i="9"/>
  <c r="H242" i="9"/>
  <c r="I241" i="9"/>
  <c r="E243" i="9"/>
  <c r="F243" i="9" s="1"/>
  <c r="C241" i="9"/>
  <c r="B242" i="9"/>
  <c r="J241" i="9" l="1"/>
  <c r="L242" i="9"/>
  <c r="M242" i="9" s="1"/>
  <c r="G243" i="9"/>
  <c r="H243" i="9"/>
  <c r="I242" i="9"/>
  <c r="E244" i="9"/>
  <c r="F244" i="9" s="1"/>
  <c r="C242" i="9"/>
  <c r="D241" i="9"/>
  <c r="B243" i="9"/>
  <c r="J242" i="9" l="1"/>
  <c r="L243" i="9"/>
  <c r="M243" i="9" s="1"/>
  <c r="G244" i="9"/>
  <c r="H244" i="9"/>
  <c r="I243" i="9"/>
  <c r="E245" i="9"/>
  <c r="F245" i="9" s="1"/>
  <c r="D242" i="9"/>
  <c r="C243" i="9"/>
  <c r="B244" i="9"/>
  <c r="J243" i="9" l="1"/>
  <c r="L244" i="9"/>
  <c r="M244" i="9" s="1"/>
  <c r="G245" i="9"/>
  <c r="H245" i="9"/>
  <c r="I244" i="9"/>
  <c r="E246" i="9"/>
  <c r="D243" i="9"/>
  <c r="C244" i="9"/>
  <c r="B245" i="9"/>
  <c r="J244" i="9" l="1"/>
  <c r="L245" i="9"/>
  <c r="M245" i="9" s="1"/>
  <c r="I245" i="9"/>
  <c r="H246" i="9"/>
  <c r="E247" i="9"/>
  <c r="F247" i="9" s="1"/>
  <c r="F246" i="9"/>
  <c r="D244" i="9"/>
  <c r="C245" i="9"/>
  <c r="B246" i="9"/>
  <c r="L246" i="9" l="1"/>
  <c r="M246" i="9" s="1"/>
  <c r="J245" i="9"/>
  <c r="G247" i="9"/>
  <c r="G246" i="9"/>
  <c r="H247" i="9"/>
  <c r="I246" i="9"/>
  <c r="E248" i="9"/>
  <c r="F248" i="9"/>
  <c r="D245" i="9"/>
  <c r="C246" i="9"/>
  <c r="D246" i="9" s="1"/>
  <c r="B247" i="9"/>
  <c r="J246" i="9" l="1"/>
  <c r="L247" i="9"/>
  <c r="M247" i="9" s="1"/>
  <c r="G248" i="9"/>
  <c r="H248" i="9"/>
  <c r="I247" i="9"/>
  <c r="E249" i="9"/>
  <c r="F249" i="9" s="1"/>
  <c r="C247" i="9"/>
  <c r="B248" i="9"/>
  <c r="J247" i="9" l="1"/>
  <c r="L248" i="9"/>
  <c r="M248" i="9" s="1"/>
  <c r="G249" i="9"/>
  <c r="H249" i="9"/>
  <c r="I248" i="9"/>
  <c r="E250" i="9"/>
  <c r="F250" i="9" s="1"/>
  <c r="C248" i="9"/>
  <c r="D248" i="9" s="1"/>
  <c r="D247" i="9"/>
  <c r="B249" i="9"/>
  <c r="J248" i="9" l="1"/>
  <c r="L249" i="9"/>
  <c r="M249" i="9" s="1"/>
  <c r="G250" i="9"/>
  <c r="H250" i="9"/>
  <c r="I249" i="9"/>
  <c r="E251" i="9"/>
  <c r="F251" i="9" s="1"/>
  <c r="C249" i="9"/>
  <c r="B250" i="9"/>
  <c r="J249" i="9" l="1"/>
  <c r="L250" i="9"/>
  <c r="M250" i="9" s="1"/>
  <c r="G251" i="9"/>
  <c r="H251" i="9"/>
  <c r="I250" i="9"/>
  <c r="E252" i="9"/>
  <c r="F252" i="9" s="1"/>
  <c r="D249" i="9"/>
  <c r="C250" i="9"/>
  <c r="D250" i="9" s="1"/>
  <c r="B251" i="9"/>
  <c r="J250" i="9" l="1"/>
  <c r="L251" i="9"/>
  <c r="M251" i="9" s="1"/>
  <c r="G252" i="9"/>
  <c r="H252" i="9"/>
  <c r="I251" i="9"/>
  <c r="E253" i="9"/>
  <c r="F253" i="9" s="1"/>
  <c r="C251" i="9"/>
  <c r="D251" i="9" s="1"/>
  <c r="B252" i="9"/>
  <c r="J251" i="9" l="1"/>
  <c r="L252" i="9"/>
  <c r="M252" i="9" s="1"/>
  <c r="G253" i="9"/>
  <c r="I252" i="9"/>
  <c r="H253" i="9"/>
  <c r="E254" i="9"/>
  <c r="F254" i="9" s="1"/>
  <c r="C252" i="9"/>
  <c r="B253" i="9"/>
  <c r="L253" i="9" l="1"/>
  <c r="M253" i="9" s="1"/>
  <c r="J252" i="9"/>
  <c r="G254" i="9"/>
  <c r="H254" i="9"/>
  <c r="I253" i="9"/>
  <c r="E255" i="9"/>
  <c r="F255" i="9" s="1"/>
  <c r="C253" i="9"/>
  <c r="D253" i="9" s="1"/>
  <c r="D252" i="9"/>
  <c r="B254" i="9"/>
  <c r="J253" i="9" l="1"/>
  <c r="L254" i="9"/>
  <c r="M254" i="9" s="1"/>
  <c r="G255" i="9"/>
  <c r="H255" i="9"/>
  <c r="I254" i="9"/>
  <c r="E256" i="9"/>
  <c r="F256" i="9" s="1"/>
  <c r="C254" i="9"/>
  <c r="D254" i="9" s="1"/>
  <c r="B255" i="9"/>
  <c r="J254" i="9" l="1"/>
  <c r="L255" i="9"/>
  <c r="M255" i="9" s="1"/>
  <c r="G256" i="9"/>
  <c r="H256" i="9"/>
  <c r="I255" i="9"/>
  <c r="E257" i="9"/>
  <c r="F257" i="9" s="1"/>
  <c r="C255" i="9"/>
  <c r="B256" i="9"/>
  <c r="J255" i="9" l="1"/>
  <c r="L256" i="9"/>
  <c r="M256" i="9" s="1"/>
  <c r="G257" i="9"/>
  <c r="H257" i="9"/>
  <c r="I256" i="9"/>
  <c r="E258" i="9"/>
  <c r="C256" i="9"/>
  <c r="D256" i="9" s="1"/>
  <c r="D255" i="9"/>
  <c r="B257" i="9"/>
  <c r="J256" i="9" l="1"/>
  <c r="L257" i="9"/>
  <c r="M257" i="9" s="1"/>
  <c r="H258" i="9"/>
  <c r="I257" i="9"/>
  <c r="E259" i="9"/>
  <c r="F258" i="9"/>
  <c r="C257" i="9"/>
  <c r="D257" i="9" s="1"/>
  <c r="B258" i="9"/>
  <c r="J257" i="9" l="1"/>
  <c r="L258" i="9"/>
  <c r="M258" i="9" s="1"/>
  <c r="G258" i="9"/>
  <c r="H259" i="9"/>
  <c r="I258" i="9"/>
  <c r="E260" i="9"/>
  <c r="F259" i="9"/>
  <c r="C258" i="9"/>
  <c r="D258" i="9" s="1"/>
  <c r="B259" i="9"/>
  <c r="J258" i="9" l="1"/>
  <c r="L259" i="9"/>
  <c r="M259" i="9" s="1"/>
  <c r="G259" i="9"/>
  <c r="H260" i="9"/>
  <c r="I259" i="9"/>
  <c r="E261" i="9"/>
  <c r="F261" i="9" s="1"/>
  <c r="F260" i="9"/>
  <c r="C259" i="9"/>
  <c r="B260" i="9"/>
  <c r="J259" i="9" l="1"/>
  <c r="L260" i="9"/>
  <c r="M260" i="9" s="1"/>
  <c r="G260" i="9"/>
  <c r="H261" i="9"/>
  <c r="I260" i="9"/>
  <c r="G261" i="9"/>
  <c r="E262" i="9"/>
  <c r="F262" i="9"/>
  <c r="C260" i="9"/>
  <c r="D260" i="9" s="1"/>
  <c r="D259" i="9"/>
  <c r="B261" i="9"/>
  <c r="J260" i="9" l="1"/>
  <c r="L261" i="9"/>
  <c r="M261" i="9" s="1"/>
  <c r="I261" i="9"/>
  <c r="H262" i="9"/>
  <c r="G262" i="9"/>
  <c r="E263" i="9"/>
  <c r="F263" i="9"/>
  <c r="C261" i="9"/>
  <c r="B262" i="9"/>
  <c r="L262" i="9" l="1"/>
  <c r="M262" i="9" s="1"/>
  <c r="J261" i="9"/>
  <c r="G263" i="9"/>
  <c r="H263" i="9"/>
  <c r="I262" i="9"/>
  <c r="E264" i="9"/>
  <c r="F264" i="9" s="1"/>
  <c r="C262" i="9"/>
  <c r="D262" i="9" s="1"/>
  <c r="D261" i="9"/>
  <c r="B263" i="9"/>
  <c r="J262" i="9" l="1"/>
  <c r="L263" i="9"/>
  <c r="M263" i="9" s="1"/>
  <c r="G264" i="9"/>
  <c r="H264" i="9"/>
  <c r="I263" i="9"/>
  <c r="E265" i="9"/>
  <c r="F265" i="9" s="1"/>
  <c r="C263" i="9"/>
  <c r="B264" i="9"/>
  <c r="J263" i="9" l="1"/>
  <c r="L264" i="9"/>
  <c r="M264" i="9" s="1"/>
  <c r="G265" i="9"/>
  <c r="H265" i="9"/>
  <c r="I264" i="9"/>
  <c r="E266" i="9"/>
  <c r="F266" i="9" s="1"/>
  <c r="C264" i="9"/>
  <c r="D264" i="9" s="1"/>
  <c r="D263" i="9"/>
  <c r="B265" i="9"/>
  <c r="J264" i="9" l="1"/>
  <c r="L265" i="9"/>
  <c r="M265" i="9" s="1"/>
  <c r="G266" i="9"/>
  <c r="H266" i="9"/>
  <c r="I265" i="9"/>
  <c r="E267" i="9"/>
  <c r="F267" i="9" s="1"/>
  <c r="C265" i="9"/>
  <c r="D265" i="9" s="1"/>
  <c r="B266" i="9"/>
  <c r="J265" i="9" l="1"/>
  <c r="L266" i="9"/>
  <c r="M266" i="9" s="1"/>
  <c r="H267" i="9"/>
  <c r="I266" i="9"/>
  <c r="G267" i="9"/>
  <c r="E268" i="9"/>
  <c r="F268" i="9" s="1"/>
  <c r="C266" i="9"/>
  <c r="B267" i="9"/>
  <c r="J266" i="9" l="1"/>
  <c r="L267" i="9"/>
  <c r="M267" i="9" s="1"/>
  <c r="G268" i="9"/>
  <c r="H268" i="9"/>
  <c r="I267" i="9"/>
  <c r="E269" i="9"/>
  <c r="F269" i="9" s="1"/>
  <c r="C267" i="9"/>
  <c r="D267" i="9" s="1"/>
  <c r="D266" i="9"/>
  <c r="B268" i="9"/>
  <c r="J267" i="9" l="1"/>
  <c r="L268" i="9"/>
  <c r="M268" i="9" s="1"/>
  <c r="G269" i="9"/>
  <c r="H269" i="9"/>
  <c r="I268" i="9"/>
  <c r="E270" i="9"/>
  <c r="F270" i="9" s="1"/>
  <c r="C268" i="9"/>
  <c r="D268" i="9" s="1"/>
  <c r="B269" i="9"/>
  <c r="J268" i="9" l="1"/>
  <c r="L269" i="9"/>
  <c r="M269" i="9" s="1"/>
  <c r="G270" i="9"/>
  <c r="H270" i="9"/>
  <c r="I269" i="9"/>
  <c r="E271" i="9"/>
  <c r="F271" i="9" s="1"/>
  <c r="C269" i="9"/>
  <c r="D269" i="9" s="1"/>
  <c r="B270" i="9"/>
  <c r="J269" i="9" l="1"/>
  <c r="L270" i="9"/>
  <c r="M270" i="9" s="1"/>
  <c r="G271" i="9"/>
  <c r="H271" i="9"/>
  <c r="I270" i="9"/>
  <c r="E272" i="9"/>
  <c r="F272" i="9" s="1"/>
  <c r="C270" i="9"/>
  <c r="B271" i="9"/>
  <c r="J270" i="9" l="1"/>
  <c r="L271" i="9"/>
  <c r="M271" i="9" s="1"/>
  <c r="G272" i="9"/>
  <c r="H272" i="9"/>
  <c r="I271" i="9"/>
  <c r="E273" i="9"/>
  <c r="F273" i="9" s="1"/>
  <c r="C271" i="9"/>
  <c r="D271" i="9" s="1"/>
  <c r="D270" i="9"/>
  <c r="B272" i="9"/>
  <c r="J271" i="9" l="1"/>
  <c r="L272" i="9"/>
  <c r="M272" i="9" s="1"/>
  <c r="H273" i="9"/>
  <c r="I272" i="9"/>
  <c r="G273" i="9"/>
  <c r="E274" i="9"/>
  <c r="F274" i="9" s="1"/>
  <c r="C272" i="9"/>
  <c r="B273" i="9"/>
  <c r="L273" i="9" l="1"/>
  <c r="M273" i="9" s="1"/>
  <c r="J272" i="9"/>
  <c r="G274" i="9"/>
  <c r="H274" i="9"/>
  <c r="I273" i="9"/>
  <c r="E275" i="9"/>
  <c r="F275" i="9" s="1"/>
  <c r="C273" i="9"/>
  <c r="D273" i="9" s="1"/>
  <c r="D272" i="9"/>
  <c r="B274" i="9"/>
  <c r="J273" i="9" l="1"/>
  <c r="L274" i="9"/>
  <c r="M274" i="9" s="1"/>
  <c r="G275" i="9"/>
  <c r="H275" i="9"/>
  <c r="I274" i="9"/>
  <c r="E276" i="9"/>
  <c r="F276" i="9" s="1"/>
  <c r="C274" i="9"/>
  <c r="D274" i="9" s="1"/>
  <c r="B275" i="9"/>
  <c r="J274" i="9" l="1"/>
  <c r="L275" i="9"/>
  <c r="M275" i="9" s="1"/>
  <c r="G276" i="9"/>
  <c r="H276" i="9"/>
  <c r="I275" i="9"/>
  <c r="E277" i="9"/>
  <c r="F277" i="9" s="1"/>
  <c r="C275" i="9"/>
  <c r="D275" i="9" s="1"/>
  <c r="B276" i="9"/>
  <c r="J275" i="9" l="1"/>
  <c r="L276" i="9"/>
  <c r="M276" i="9" s="1"/>
  <c r="G277" i="9"/>
  <c r="I276" i="9"/>
  <c r="H277" i="9"/>
  <c r="E278" i="9"/>
  <c r="F278" i="9" s="1"/>
  <c r="C276" i="9"/>
  <c r="B277" i="9"/>
  <c r="J276" i="9" l="1"/>
  <c r="L277" i="9"/>
  <c r="M277" i="9" s="1"/>
  <c r="G278" i="9"/>
  <c r="I277" i="9"/>
  <c r="H278" i="9"/>
  <c r="E279" i="9"/>
  <c r="F279" i="9" s="1"/>
  <c r="C277" i="9"/>
  <c r="D277" i="9" s="1"/>
  <c r="D276" i="9"/>
  <c r="B278" i="9"/>
  <c r="J277" i="9" l="1"/>
  <c r="L278" i="9"/>
  <c r="M278" i="9" s="1"/>
  <c r="G279" i="9"/>
  <c r="H279" i="9"/>
  <c r="I278" i="9"/>
  <c r="E280" i="9"/>
  <c r="F280" i="9" s="1"/>
  <c r="C278" i="9"/>
  <c r="D278" i="9" s="1"/>
  <c r="B279" i="9"/>
  <c r="J278" i="9" l="1"/>
  <c r="L279" i="9"/>
  <c r="M279" i="9" s="1"/>
  <c r="G280" i="9"/>
  <c r="H280" i="9"/>
  <c r="I279" i="9"/>
  <c r="E281" i="9"/>
  <c r="F281" i="9" s="1"/>
  <c r="C279" i="9"/>
  <c r="B280" i="9"/>
  <c r="J279" i="9" l="1"/>
  <c r="L280" i="9"/>
  <c r="M280" i="9" s="1"/>
  <c r="G281" i="9"/>
  <c r="H281" i="9"/>
  <c r="I280" i="9"/>
  <c r="E282" i="9"/>
  <c r="F282" i="9" s="1"/>
  <c r="C280" i="9"/>
  <c r="D280" i="9" s="1"/>
  <c r="D279" i="9"/>
  <c r="B281" i="9"/>
  <c r="J280" i="9" l="1"/>
  <c r="L281" i="9"/>
  <c r="M281" i="9" s="1"/>
  <c r="G282" i="9"/>
  <c r="H282" i="9"/>
  <c r="I281" i="9"/>
  <c r="E283" i="9"/>
  <c r="F283" i="9" s="1"/>
  <c r="C281" i="9"/>
  <c r="B282" i="9"/>
  <c r="J281" i="9" l="1"/>
  <c r="L282" i="9"/>
  <c r="M282" i="9" s="1"/>
  <c r="G283" i="9"/>
  <c r="H283" i="9"/>
  <c r="I282" i="9"/>
  <c r="E284" i="9"/>
  <c r="F284" i="9" s="1"/>
  <c r="C282" i="9"/>
  <c r="D282" i="9" s="1"/>
  <c r="D281" i="9"/>
  <c r="B283" i="9"/>
  <c r="J282" i="9" l="1"/>
  <c r="L283" i="9"/>
  <c r="M283" i="9" s="1"/>
  <c r="G284" i="9"/>
  <c r="H284" i="9"/>
  <c r="I283" i="9"/>
  <c r="E285" i="9"/>
  <c r="F285" i="9" s="1"/>
  <c r="C283" i="9"/>
  <c r="D283" i="9" s="1"/>
  <c r="B284" i="9"/>
  <c r="J283" i="9" l="1"/>
  <c r="L284" i="9"/>
  <c r="M284" i="9" s="1"/>
  <c r="G285" i="9"/>
  <c r="I284" i="9"/>
  <c r="H285" i="9"/>
  <c r="E286" i="9"/>
  <c r="F286" i="9" s="1"/>
  <c r="C284" i="9"/>
  <c r="D284" i="9" s="1"/>
  <c r="B285" i="9"/>
  <c r="J284" i="9" l="1"/>
  <c r="L285" i="9"/>
  <c r="M285" i="9" s="1"/>
  <c r="G286" i="9"/>
  <c r="H286" i="9"/>
  <c r="I285" i="9"/>
  <c r="E287" i="9"/>
  <c r="F287" i="9" s="1"/>
  <c r="C285" i="9"/>
  <c r="B286" i="9"/>
  <c r="J285" i="9" l="1"/>
  <c r="L286" i="9"/>
  <c r="M286" i="9" s="1"/>
  <c r="G287" i="9"/>
  <c r="H287" i="9"/>
  <c r="I286" i="9"/>
  <c r="E288" i="9"/>
  <c r="F288" i="9" s="1"/>
  <c r="C286" i="9"/>
  <c r="D286" i="9" s="1"/>
  <c r="D285" i="9"/>
  <c r="B287" i="9"/>
  <c r="J286" i="9" l="1"/>
  <c r="L287" i="9"/>
  <c r="M287" i="9" s="1"/>
  <c r="G288" i="9"/>
  <c r="H288" i="9"/>
  <c r="I287" i="9"/>
  <c r="E289" i="9"/>
  <c r="F289" i="9" s="1"/>
  <c r="C287" i="9"/>
  <c r="D287" i="9" s="1"/>
  <c r="B288" i="9"/>
  <c r="J287" i="9" l="1"/>
  <c r="L288" i="9"/>
  <c r="M288" i="9" s="1"/>
  <c r="G289" i="9"/>
  <c r="H289" i="9"/>
  <c r="I288" i="9"/>
  <c r="E290" i="9"/>
  <c r="F290" i="9" s="1"/>
  <c r="C288" i="9"/>
  <c r="B289" i="9"/>
  <c r="J288" i="9" l="1"/>
  <c r="L289" i="9"/>
  <c r="M289" i="9" s="1"/>
  <c r="G290" i="9"/>
  <c r="H290" i="9"/>
  <c r="I289" i="9"/>
  <c r="E291" i="9"/>
  <c r="F291" i="9" s="1"/>
  <c r="C289" i="9"/>
  <c r="D288" i="9"/>
  <c r="B290" i="9"/>
  <c r="J289" i="9" l="1"/>
  <c r="L290" i="9"/>
  <c r="M290" i="9" s="1"/>
  <c r="G291" i="9"/>
  <c r="H291" i="9"/>
  <c r="I290" i="9"/>
  <c r="E292" i="9"/>
  <c r="F292" i="9" s="1"/>
  <c r="D289" i="9"/>
  <c r="C290" i="9"/>
  <c r="B291" i="9"/>
  <c r="J290" i="9" l="1"/>
  <c r="L291" i="9"/>
  <c r="M291" i="9" s="1"/>
  <c r="G292" i="9"/>
  <c r="H292" i="9"/>
  <c r="I291" i="9"/>
  <c r="E293" i="9"/>
  <c r="F293" i="9" s="1"/>
  <c r="D290" i="9"/>
  <c r="C291" i="9"/>
  <c r="B292" i="9"/>
  <c r="J291" i="9" l="1"/>
  <c r="L292" i="9"/>
  <c r="M292" i="9" s="1"/>
  <c r="G293" i="9"/>
  <c r="H293" i="9"/>
  <c r="I292" i="9"/>
  <c r="E294" i="9"/>
  <c r="F294" i="9" s="1"/>
  <c r="D291" i="9"/>
  <c r="C292" i="9"/>
  <c r="B293" i="9"/>
  <c r="J292" i="9" l="1"/>
  <c r="L293" i="9"/>
  <c r="M293" i="9" s="1"/>
  <c r="G294" i="9"/>
  <c r="I293" i="9"/>
  <c r="H294" i="9"/>
  <c r="E295" i="9"/>
  <c r="F295" i="9" s="1"/>
  <c r="D292" i="9"/>
  <c r="C293" i="9"/>
  <c r="D293" i="9" s="1"/>
  <c r="B294" i="9"/>
  <c r="L294" i="9" l="1"/>
  <c r="M294" i="9" s="1"/>
  <c r="J293" i="9"/>
  <c r="G295" i="9"/>
  <c r="H295" i="9"/>
  <c r="I294" i="9"/>
  <c r="E296" i="9"/>
  <c r="F296" i="9" s="1"/>
  <c r="C294" i="9"/>
  <c r="B295" i="9"/>
  <c r="J294" i="9" l="1"/>
  <c r="L295" i="9"/>
  <c r="M295" i="9" s="1"/>
  <c r="G296" i="9"/>
  <c r="H296" i="9"/>
  <c r="I295" i="9"/>
  <c r="E297" i="9"/>
  <c r="F297" i="9" s="1"/>
  <c r="C295" i="9"/>
  <c r="D294" i="9"/>
  <c r="B296" i="9"/>
  <c r="J295" i="9" l="1"/>
  <c r="L296" i="9"/>
  <c r="M296" i="9" s="1"/>
  <c r="G297" i="9"/>
  <c r="H297" i="9"/>
  <c r="I296" i="9"/>
  <c r="E298" i="9"/>
  <c r="F298" i="9" s="1"/>
  <c r="C296" i="9"/>
  <c r="D296" i="9" s="1"/>
  <c r="D295" i="9"/>
  <c r="B297" i="9"/>
  <c r="J296" i="9" l="1"/>
  <c r="L297" i="9"/>
  <c r="M297" i="9" s="1"/>
  <c r="G298" i="9"/>
  <c r="H298" i="9"/>
  <c r="I297" i="9"/>
  <c r="E299" i="9"/>
  <c r="F299" i="9" s="1"/>
  <c r="C297" i="9"/>
  <c r="D297" i="9" s="1"/>
  <c r="B298" i="9"/>
  <c r="J297" i="9" l="1"/>
  <c r="L298" i="9"/>
  <c r="M298" i="9" s="1"/>
  <c r="G299" i="9"/>
  <c r="H299" i="9"/>
  <c r="I298" i="9"/>
  <c r="E300" i="9"/>
  <c r="F300" i="9" s="1"/>
  <c r="C298" i="9"/>
  <c r="D298" i="9" s="1"/>
  <c r="B299" i="9"/>
  <c r="J298" i="9" l="1"/>
  <c r="L299" i="9"/>
  <c r="M299" i="9" s="1"/>
  <c r="G300" i="9"/>
  <c r="H300" i="9"/>
  <c r="I299" i="9"/>
  <c r="E301" i="9"/>
  <c r="F301" i="9" s="1"/>
  <c r="C299" i="9"/>
  <c r="D299" i="9" s="1"/>
  <c r="B300" i="9"/>
  <c r="J299" i="9" l="1"/>
  <c r="L300" i="9"/>
  <c r="M300" i="9" s="1"/>
  <c r="G301" i="9"/>
  <c r="H301" i="9"/>
  <c r="I300" i="9"/>
  <c r="E302" i="9"/>
  <c r="F302" i="9" s="1"/>
  <c r="C300" i="9"/>
  <c r="B301" i="9"/>
  <c r="J300" i="9" l="1"/>
  <c r="L301" i="9"/>
  <c r="M301" i="9" s="1"/>
  <c r="G302" i="9"/>
  <c r="H302" i="9"/>
  <c r="I301" i="9"/>
  <c r="E303" i="9"/>
  <c r="F303" i="9" s="1"/>
  <c r="C301" i="9"/>
  <c r="D300" i="9"/>
  <c r="B302" i="9"/>
  <c r="J301" i="9" l="1"/>
  <c r="L302" i="9"/>
  <c r="M302" i="9" s="1"/>
  <c r="G303" i="9"/>
  <c r="H303" i="9"/>
  <c r="I302" i="9"/>
  <c r="E304" i="9"/>
  <c r="F304" i="9" s="1"/>
  <c r="C302" i="9"/>
  <c r="D302" i="9" s="1"/>
  <c r="D301" i="9"/>
  <c r="B303" i="9"/>
  <c r="J302" i="9" l="1"/>
  <c r="L303" i="9"/>
  <c r="M303" i="9" s="1"/>
  <c r="G304" i="9"/>
  <c r="H304" i="9"/>
  <c r="I303" i="9"/>
  <c r="E305" i="9"/>
  <c r="F305" i="9" s="1"/>
  <c r="C303" i="9"/>
  <c r="D303" i="9" s="1"/>
  <c r="B304" i="9"/>
  <c r="J303" i="9" l="1"/>
  <c r="L304" i="9"/>
  <c r="M304" i="9" s="1"/>
  <c r="G305" i="9"/>
  <c r="H305" i="9"/>
  <c r="I304" i="9"/>
  <c r="E306" i="9"/>
  <c r="F306" i="9" s="1"/>
  <c r="C304" i="9"/>
  <c r="D304" i="9" s="1"/>
  <c r="B305" i="9"/>
  <c r="J304" i="9" l="1"/>
  <c r="L305" i="9"/>
  <c r="M305" i="9" s="1"/>
  <c r="G306" i="9"/>
  <c r="H306" i="9"/>
  <c r="I305" i="9"/>
  <c r="E307" i="9"/>
  <c r="F307" i="9" s="1"/>
  <c r="C305" i="9"/>
  <c r="D305" i="9" s="1"/>
  <c r="B306" i="9"/>
  <c r="J305" i="9" l="1"/>
  <c r="L306" i="9"/>
  <c r="M306" i="9" s="1"/>
  <c r="G307" i="9"/>
  <c r="H307" i="9"/>
  <c r="I306" i="9"/>
  <c r="E308" i="9"/>
  <c r="F308" i="9" s="1"/>
  <c r="C306" i="9"/>
  <c r="D306" i="9" s="1"/>
  <c r="B307" i="9"/>
  <c r="J306" i="9" l="1"/>
  <c r="L307" i="9"/>
  <c r="M307" i="9" s="1"/>
  <c r="G308" i="9"/>
  <c r="H308" i="9"/>
  <c r="I307" i="9"/>
  <c r="E309" i="9"/>
  <c r="F309" i="9" s="1"/>
  <c r="C307" i="9"/>
  <c r="D307" i="9" s="1"/>
  <c r="B308" i="9"/>
  <c r="J307" i="9" l="1"/>
  <c r="L308" i="9"/>
  <c r="M308" i="9" s="1"/>
  <c r="G309" i="9"/>
  <c r="H309" i="9"/>
  <c r="I308" i="9"/>
  <c r="E310" i="9"/>
  <c r="F310" i="9" s="1"/>
  <c r="C308" i="9"/>
  <c r="D308" i="9" s="1"/>
  <c r="B309" i="9"/>
  <c r="J308" i="9" l="1"/>
  <c r="L309" i="9"/>
  <c r="M309" i="9" s="1"/>
  <c r="G310" i="9"/>
  <c r="I309" i="9"/>
  <c r="H310" i="9"/>
  <c r="E311" i="9"/>
  <c r="F311" i="9" s="1"/>
  <c r="C309" i="9"/>
  <c r="D309" i="9" s="1"/>
  <c r="B310" i="9"/>
  <c r="L310" i="9" l="1"/>
  <c r="M310" i="9" s="1"/>
  <c r="J309" i="9"/>
  <c r="G311" i="9"/>
  <c r="H311" i="9"/>
  <c r="I310" i="9"/>
  <c r="E312" i="9"/>
  <c r="F312" i="9" s="1"/>
  <c r="C310" i="9"/>
  <c r="D310" i="9" s="1"/>
  <c r="B311" i="9"/>
  <c r="J310" i="9" l="1"/>
  <c r="L311" i="9"/>
  <c r="M311" i="9" s="1"/>
  <c r="G312" i="9"/>
  <c r="H312" i="9"/>
  <c r="I311" i="9"/>
  <c r="E313" i="9"/>
  <c r="F313" i="9" s="1"/>
  <c r="C311" i="9"/>
  <c r="D311" i="9" s="1"/>
  <c r="B312" i="9"/>
  <c r="J311" i="9" l="1"/>
  <c r="L312" i="9"/>
  <c r="M312" i="9" s="1"/>
  <c r="H313" i="9"/>
  <c r="I312" i="9"/>
  <c r="G313" i="9"/>
  <c r="E314" i="9"/>
  <c r="F314" i="9" s="1"/>
  <c r="C312" i="9"/>
  <c r="B313" i="9"/>
  <c r="L313" i="9" l="1"/>
  <c r="M313" i="9" s="1"/>
  <c r="J312" i="9"/>
  <c r="G314" i="9"/>
  <c r="H314" i="9"/>
  <c r="I313" i="9"/>
  <c r="E315" i="9"/>
  <c r="F315" i="9" s="1"/>
  <c r="C313" i="9"/>
  <c r="D312" i="9"/>
  <c r="B314" i="9"/>
  <c r="J313" i="9" l="1"/>
  <c r="L314" i="9"/>
  <c r="M314" i="9" s="1"/>
  <c r="G315" i="9"/>
  <c r="H315" i="9"/>
  <c r="I314" i="9"/>
  <c r="E316" i="9"/>
  <c r="F316" i="9" s="1"/>
  <c r="C314" i="9"/>
  <c r="D314" i="9" s="1"/>
  <c r="D313" i="9"/>
  <c r="B315" i="9"/>
  <c r="J314" i="9" l="1"/>
  <c r="L315" i="9"/>
  <c r="M315" i="9" s="1"/>
  <c r="H316" i="9"/>
  <c r="I315" i="9"/>
  <c r="G316" i="9"/>
  <c r="E317" i="9"/>
  <c r="F317" i="9" s="1"/>
  <c r="C315" i="9"/>
  <c r="D315" i="9" s="1"/>
  <c r="B316" i="9"/>
  <c r="L316" i="9" l="1"/>
  <c r="M316" i="9" s="1"/>
  <c r="J315" i="9"/>
  <c r="G317" i="9"/>
  <c r="H317" i="9"/>
  <c r="I316" i="9"/>
  <c r="E318" i="9"/>
  <c r="F318" i="9" s="1"/>
  <c r="C316" i="9"/>
  <c r="D316" i="9" s="1"/>
  <c r="B317" i="9"/>
  <c r="J316" i="9" l="1"/>
  <c r="L317" i="9"/>
  <c r="M317" i="9" s="1"/>
  <c r="H318" i="9"/>
  <c r="I317" i="9"/>
  <c r="G318" i="9"/>
  <c r="E319" i="9"/>
  <c r="F319" i="9" s="1"/>
  <c r="C317" i="9"/>
  <c r="B318" i="9"/>
  <c r="L318" i="9" l="1"/>
  <c r="M318" i="9" s="1"/>
  <c r="J317" i="9"/>
  <c r="G319" i="9"/>
  <c r="H319" i="9"/>
  <c r="I318" i="9"/>
  <c r="E320" i="9"/>
  <c r="F320" i="9" s="1"/>
  <c r="C318" i="9"/>
  <c r="D317" i="9"/>
  <c r="B319" i="9"/>
  <c r="J318" i="9" l="1"/>
  <c r="L319" i="9"/>
  <c r="M319" i="9" s="1"/>
  <c r="H320" i="9"/>
  <c r="I319" i="9"/>
  <c r="G320" i="9"/>
  <c r="E321" i="9"/>
  <c r="F321" i="9" s="1"/>
  <c r="C319" i="9"/>
  <c r="D318" i="9"/>
  <c r="B320" i="9"/>
  <c r="L320" i="9" l="1"/>
  <c r="M320" i="9" s="1"/>
  <c r="J319" i="9"/>
  <c r="G321" i="9"/>
  <c r="H321" i="9"/>
  <c r="I320" i="9"/>
  <c r="E322" i="9"/>
  <c r="F322" i="9" s="1"/>
  <c r="C320" i="9"/>
  <c r="D319" i="9"/>
  <c r="B321" i="9"/>
  <c r="J320" i="9" l="1"/>
  <c r="L321" i="9"/>
  <c r="M321" i="9" s="1"/>
  <c r="G322" i="9"/>
  <c r="H322" i="9"/>
  <c r="I321" i="9"/>
  <c r="E323" i="9"/>
  <c r="F323" i="9" s="1"/>
  <c r="C321" i="9"/>
  <c r="D320" i="9"/>
  <c r="B322" i="9"/>
  <c r="J321" i="9" l="1"/>
  <c r="L322" i="9"/>
  <c r="M322" i="9" s="1"/>
  <c r="G323" i="9"/>
  <c r="H323" i="9"/>
  <c r="I322" i="9"/>
  <c r="E324" i="9"/>
  <c r="C322" i="9"/>
  <c r="D321" i="9"/>
  <c r="B323" i="9"/>
  <c r="J322" i="9" l="1"/>
  <c r="L324" i="9"/>
  <c r="M324" i="9" s="1"/>
  <c r="M325" i="9" s="1"/>
  <c r="L323" i="9"/>
  <c r="M323" i="9" s="1"/>
  <c r="H324" i="9"/>
  <c r="I324" i="9" s="1"/>
  <c r="I323" i="9"/>
  <c r="F324" i="9"/>
  <c r="C323" i="9"/>
  <c r="D322" i="9"/>
  <c r="B324" i="9"/>
  <c r="J323" i="9" l="1"/>
  <c r="J324" i="9"/>
  <c r="J325" i="9" s="1"/>
  <c r="G324" i="9"/>
  <c r="G325" i="9" s="1"/>
  <c r="C324" i="9"/>
  <c r="D324" i="9" s="1"/>
  <c r="D323" i="9"/>
  <c r="D325" i="9" l="1"/>
  <c r="C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310764-1A7D-4621-AD07-789441B37C10}" keepAlive="1" name="Query - aoc-01-input" description="Connection to the 'aoc-01-input' query in the workbook." type="5" refreshedVersion="6" background="1" saveData="1">
    <dbPr connection="Provider=Microsoft.Mashup.OleDb.1;Data Source=$Workbook$;Location=aoc-01-input;Extended Properties=&quot;&quot;" command="SELECT * FROM [aoc-01-input]"/>
  </connection>
  <connection id="2" xr16:uid="{9810D701-DC2C-493B-AB87-305B7C120528}" keepAlive="1" name="Query - aoc-02-input" description="Connection to the 'aoc-02-input' query in the workbook." type="5" refreshedVersion="6" background="1" saveData="1">
    <dbPr connection="Provider=Microsoft.Mashup.OleDb.1;Data Source=$Workbook$;Location=aoc-02-input;Extended Properties=&quot;&quot;" command="SELECT * FROM [aoc-02-input]"/>
  </connection>
  <connection id="3" xr16:uid="{97BA6737-A5EE-41BB-B93B-780E6994B94C}" keepAlive="1" name="Query - aoc-03-input" description="Connection to the 'aoc-03-input' query in the workbook." type="5" refreshedVersion="6" background="1" saveData="1">
    <dbPr connection="Provider=Microsoft.Mashup.OleDb.1;Data Source=$Workbook$;Location=aoc-03-input;Extended Properties=&quot;&quot;" command="SELECT * FROM [aoc-03-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<sst xmlns="http://schemas.openxmlformats.org/spreadsheetml/2006/main" count="3564" uniqueCount="1725">
  <si>
    <t>1567</t>
  </si>
  <si>
    <t>1223</t>
  </si>
  <si>
    <t>1758</t>
  </si>
  <si>
    <t>1842</t>
  </si>
  <si>
    <t>1933</t>
  </si>
  <si>
    <t>1898</t>
  </si>
  <si>
    <t>1409</t>
  </si>
  <si>
    <t>1058</t>
  </si>
  <si>
    <t>1533</t>
  </si>
  <si>
    <t>1417</t>
  </si>
  <si>
    <t>1032</t>
  </si>
  <si>
    <t>1634</t>
  </si>
  <si>
    <t>1477</t>
  </si>
  <si>
    <t>1394</t>
  </si>
  <si>
    <t>1888</t>
  </si>
  <si>
    <t>1972</t>
  </si>
  <si>
    <t>1237</t>
  </si>
  <si>
    <t>1390</t>
  </si>
  <si>
    <t>1677</t>
  </si>
  <si>
    <t>1546</t>
  </si>
  <si>
    <t>1302</t>
  </si>
  <si>
    <t>1070</t>
  </si>
  <si>
    <t>1369</t>
  </si>
  <si>
    <t>1455</t>
  </si>
  <si>
    <t>1065</t>
  </si>
  <si>
    <t>1924</t>
  </si>
  <si>
    <t>1593</t>
  </si>
  <si>
    <t>1131</t>
  </si>
  <si>
    <t>1064</t>
  </si>
  <si>
    <t>1346</t>
  </si>
  <si>
    <t>1914</t>
  </si>
  <si>
    <t>1129</t>
  </si>
  <si>
    <t>1830</t>
  </si>
  <si>
    <t>1450</t>
  </si>
  <si>
    <t>1278</t>
  </si>
  <si>
    <t>1740</t>
  </si>
  <si>
    <t>1809</t>
  </si>
  <si>
    <t>1176</t>
  </si>
  <si>
    <t>1734</t>
  </si>
  <si>
    <t>1102</t>
  </si>
  <si>
    <t>1807</t>
  </si>
  <si>
    <t>1982</t>
  </si>
  <si>
    <t>1603</t>
  </si>
  <si>
    <t>1736</t>
  </si>
  <si>
    <t>2008</t>
  </si>
  <si>
    <t>1980</t>
  </si>
  <si>
    <t>1905</t>
  </si>
  <si>
    <t>1633</t>
  </si>
  <si>
    <t>1732</t>
  </si>
  <si>
    <t>1350</t>
  </si>
  <si>
    <t>1865</t>
  </si>
  <si>
    <t>1988</t>
  </si>
  <si>
    <t>1805</t>
  </si>
  <si>
    <t>1998</t>
  </si>
  <si>
    <t>1152</t>
  </si>
  <si>
    <t>1046</t>
  </si>
  <si>
    <t>1870</t>
  </si>
  <si>
    <t>1557</t>
  </si>
  <si>
    <t>1789</t>
  </si>
  <si>
    <t>1766</t>
  </si>
  <si>
    <t>1945</t>
  </si>
  <si>
    <t>1359</t>
  </si>
  <si>
    <t>1002</t>
  </si>
  <si>
    <t>1126</t>
  </si>
  <si>
    <t>1719</t>
  </si>
  <si>
    <t>1497</t>
  </si>
  <si>
    <t>1296</t>
  </si>
  <si>
    <t>1560</t>
  </si>
  <si>
    <t>1936</t>
  </si>
  <si>
    <t>1929</t>
  </si>
  <si>
    <t>1464</t>
  </si>
  <si>
    <t>2005</t>
  </si>
  <si>
    <t>1281</t>
  </si>
  <si>
    <t>618</t>
  </si>
  <si>
    <t>1257</t>
  </si>
  <si>
    <t>1107</t>
  </si>
  <si>
    <t>1632</t>
  </si>
  <si>
    <t>1688</t>
  </si>
  <si>
    <t>1964</t>
  </si>
  <si>
    <t>1803</t>
  </si>
  <si>
    <t>1360</t>
  </si>
  <si>
    <t>1384</t>
  </si>
  <si>
    <t>1889</t>
  </si>
  <si>
    <t>1411</t>
  </si>
  <si>
    <t>1328</t>
  </si>
  <si>
    <t>1452</t>
  </si>
  <si>
    <t>1868</t>
  </si>
  <si>
    <t>1515</t>
  </si>
  <si>
    <t>1586</t>
  </si>
  <si>
    <t>1631</t>
  </si>
  <si>
    <t>1618</t>
  </si>
  <si>
    <t>1087</t>
  </si>
  <si>
    <t>1710</t>
  </si>
  <si>
    <t>1094</t>
  </si>
  <si>
    <t>1774</t>
  </si>
  <si>
    <t>1295</t>
  </si>
  <si>
    <t>1700</t>
  </si>
  <si>
    <t>1636</t>
  </si>
  <si>
    <t>1230</t>
  </si>
  <si>
    <t>1421</t>
  </si>
  <si>
    <t>1910</t>
  </si>
  <si>
    <t>1522</t>
  </si>
  <si>
    <t>1366</t>
  </si>
  <si>
    <t>1144</t>
  </si>
  <si>
    <t>1757</t>
  </si>
  <si>
    <t>1493</t>
  </si>
  <si>
    <t>1316</t>
  </si>
  <si>
    <t>1103</t>
  </si>
  <si>
    <t>687</t>
  </si>
  <si>
    <t>1371</t>
  </si>
  <si>
    <t>1720</t>
  </si>
  <si>
    <t>1155</t>
  </si>
  <si>
    <t>1559</t>
  </si>
  <si>
    <t>1900</t>
  </si>
  <si>
    <t>989</t>
  </si>
  <si>
    <t>1367</t>
  </si>
  <si>
    <t>1999</t>
  </si>
  <si>
    <t>1066</t>
  </si>
  <si>
    <t>1773</t>
  </si>
  <si>
    <t>1787</t>
  </si>
  <si>
    <t>1402</t>
  </si>
  <si>
    <t>1047</t>
  </si>
  <si>
    <t>1806</t>
  </si>
  <si>
    <t>1956</t>
  </si>
  <si>
    <t>1219</t>
  </si>
  <si>
    <t>1555</t>
  </si>
  <si>
    <t>1307</t>
  </si>
  <si>
    <t>1419</t>
  </si>
  <si>
    <t>1706</t>
  </si>
  <si>
    <t>1884</t>
  </si>
  <si>
    <t>1109</t>
  </si>
  <si>
    <t>1181</t>
  </si>
  <si>
    <t>2010</t>
  </si>
  <si>
    <t>1298</t>
  </si>
  <si>
    <t>1730</t>
  </si>
  <si>
    <t>1078</t>
  </si>
  <si>
    <t>1848</t>
  </si>
  <si>
    <t>1398</t>
  </si>
  <si>
    <t>1687</t>
  </si>
  <si>
    <t>2007</t>
  </si>
  <si>
    <t>1550</t>
  </si>
  <si>
    <t>1664</t>
  </si>
  <si>
    <t>1225</t>
  </si>
  <si>
    <t>1079</t>
  </si>
  <si>
    <t>1698</t>
  </si>
  <si>
    <t>350</t>
  </si>
  <si>
    <t>1222</t>
  </si>
  <si>
    <t>1377</t>
  </si>
  <si>
    <t>1977</t>
  </si>
  <si>
    <t>1510</t>
  </si>
  <si>
    <t>1571</t>
  </si>
  <si>
    <t>1630</t>
  </si>
  <si>
    <t>1029</t>
  </si>
  <si>
    <t>1379</t>
  </si>
  <si>
    <t>1942</t>
  </si>
  <si>
    <t>1949</t>
  </si>
  <si>
    <t>1249</t>
  </si>
  <si>
    <t>1829</t>
  </si>
  <si>
    <t>1297</t>
  </si>
  <si>
    <t>1530</t>
  </si>
  <si>
    <t>1607</t>
  </si>
  <si>
    <t>1324</t>
  </si>
  <si>
    <t>1069</t>
  </si>
  <si>
    <t>1476</t>
  </si>
  <si>
    <t>928</t>
  </si>
  <si>
    <t>1039</t>
  </si>
  <si>
    <t>1855</t>
  </si>
  <si>
    <t>1644</t>
  </si>
  <si>
    <t>1454</t>
  </si>
  <si>
    <t>1310</t>
  </si>
  <si>
    <t>1172</t>
  </si>
  <si>
    <t>547</t>
  </si>
  <si>
    <t>1034</t>
  </si>
  <si>
    <t>1878</t>
  </si>
  <si>
    <t>1479</t>
  </si>
  <si>
    <t>1457</t>
  </si>
  <si>
    <t>1319</t>
  </si>
  <si>
    <t>1810</t>
  </si>
  <si>
    <t>1759</t>
  </si>
  <si>
    <t>1439</t>
  </si>
  <si>
    <t>1851</t>
  </si>
  <si>
    <t>545</t>
  </si>
  <si>
    <t>1470</t>
  </si>
  <si>
    <t>2003</t>
  </si>
  <si>
    <t>1908</t>
  </si>
  <si>
    <t>1564</t>
  </si>
  <si>
    <t>1491</t>
  </si>
  <si>
    <t>1174</t>
  </si>
  <si>
    <t>1301</t>
  </si>
  <si>
    <t>1689</t>
  </si>
  <si>
    <t>1276</t>
  </si>
  <si>
    <t>1781</t>
  </si>
  <si>
    <t>1392</t>
  </si>
  <si>
    <t>1499</t>
  </si>
  <si>
    <t>1962</t>
  </si>
  <si>
    <t>1653</t>
  </si>
  <si>
    <t>1823</t>
  </si>
  <si>
    <t>1381</t>
  </si>
  <si>
    <t>1827</t>
  </si>
  <si>
    <t>1974</t>
  </si>
  <si>
    <t>Solution 1:</t>
  </si>
  <si>
    <t>Solution 2:</t>
  </si>
  <si>
    <t xml:space="preserve">Min value in input: </t>
  </si>
  <si>
    <t>Input</t>
  </si>
  <si>
    <t>InputAsNumber</t>
  </si>
  <si>
    <t>Max value to consider:</t>
  </si>
  <si>
    <t>1-14</t>
  </si>
  <si>
    <t>b:</t>
  </si>
  <si>
    <t>bbbbbbbbbbbbbbbbbbb</t>
  </si>
  <si>
    <t>3-14</t>
  </si>
  <si>
    <t>v:</t>
  </si>
  <si>
    <t>vvpvvvmvvvvvvvv</t>
  </si>
  <si>
    <t>2-5</t>
  </si>
  <si>
    <t>m:</t>
  </si>
  <si>
    <t>mfvxmmm</t>
  </si>
  <si>
    <t>15-20</t>
  </si>
  <si>
    <t>z:</t>
  </si>
  <si>
    <t>zdzzzrjzzzdpzzdzzzzz</t>
  </si>
  <si>
    <t>6-8</t>
  </si>
  <si>
    <t>g:</t>
  </si>
  <si>
    <t>tggjggggrg</t>
  </si>
  <si>
    <t>2-3</t>
  </si>
  <si>
    <t>l:</t>
  </si>
  <si>
    <t>nlllw</t>
  </si>
  <si>
    <t>1-5</t>
  </si>
  <si>
    <t>j:</t>
  </si>
  <si>
    <t>jjjjj</t>
  </si>
  <si>
    <t>4-5</t>
  </si>
  <si>
    <t>t:</t>
  </si>
  <si>
    <t>prttt</t>
  </si>
  <si>
    <t>2-4</t>
  </si>
  <si>
    <t>vvrqzp</t>
  </si>
  <si>
    <t>4-6</t>
  </si>
  <si>
    <t>vvvvvqvvv</t>
  </si>
  <si>
    <t>7-8</t>
  </si>
  <si>
    <t>d:</t>
  </si>
  <si>
    <t>mpntdwkd</t>
  </si>
  <si>
    <t>2-12</t>
  </si>
  <si>
    <t>w:</t>
  </si>
  <si>
    <t>jwkfktkbthcwvfrkwgz</t>
  </si>
  <si>
    <t>12-16</t>
  </si>
  <si>
    <t>jjjjpjjmdhjjdjjjjjjj</t>
  </si>
  <si>
    <t>10-11</t>
  </si>
  <si>
    <t>f:</t>
  </si>
  <si>
    <t>fffffffffff</t>
  </si>
  <si>
    <t>3-20</t>
  </si>
  <si>
    <t>n:</t>
  </si>
  <si>
    <t>pbclshqmxtkmgsmztjlm</t>
  </si>
  <si>
    <t>11-12</t>
  </si>
  <si>
    <t>q:</t>
  </si>
  <si>
    <t>qqqqxqqqqqqqwqrxqs</t>
  </si>
  <si>
    <t>5-6</t>
  </si>
  <si>
    <t>p:</t>
  </si>
  <si>
    <t>hppvnppcvqf</t>
  </si>
  <si>
    <t>k:</t>
  </si>
  <si>
    <t>kckkrbkxtknhkkkk</t>
  </si>
  <si>
    <t>5-7</t>
  </si>
  <si>
    <t>kmmgxgmnnpzrzmgsbm</t>
  </si>
  <si>
    <t>10-17</t>
  </si>
  <si>
    <t>bbbbbbbbbbbbbbbbrbbb</t>
  </si>
  <si>
    <t>vvvvtqvvvv</t>
  </si>
  <si>
    <t>gggggpglgzgg</t>
  </si>
  <si>
    <t>8-16</t>
  </si>
  <si>
    <t>fqtqqqqxqqzgzfqq</t>
  </si>
  <si>
    <t>9-11</t>
  </si>
  <si>
    <t>r:</t>
  </si>
  <si>
    <t>rrrrprjrwrrrm</t>
  </si>
  <si>
    <t>4-13</t>
  </si>
  <si>
    <t>rnlzzqptmhgvk</t>
  </si>
  <si>
    <t>4-9</t>
  </si>
  <si>
    <t>rkrzscrrvrtkhrrzvwvs</t>
  </si>
  <si>
    <t>9-10</t>
  </si>
  <si>
    <t>qqmkffffrs</t>
  </si>
  <si>
    <t>6-11</t>
  </si>
  <si>
    <t>zzkzpzzzwzf</t>
  </si>
  <si>
    <t>10-19</t>
  </si>
  <si>
    <t>nnnnnnnnnnnnnnnnnnnn</t>
  </si>
  <si>
    <t>7-12</t>
  </si>
  <si>
    <t>x:</t>
  </si>
  <si>
    <t>xmpxbxxxzxxxsxxsxn</t>
  </si>
  <si>
    <t>17-19</t>
  </si>
  <si>
    <t>ffffffffffffffffffff</t>
  </si>
  <si>
    <t>nnns</t>
  </si>
  <si>
    <t>3-4</t>
  </si>
  <si>
    <t>xhzskzqp</t>
  </si>
  <si>
    <t>sllljllll</t>
  </si>
  <si>
    <t>8-13</t>
  </si>
  <si>
    <t>ffwsllhmlxcllnr</t>
  </si>
  <si>
    <t>1-4</t>
  </si>
  <si>
    <t>jztj</t>
  </si>
  <si>
    <t>8-10</t>
  </si>
  <si>
    <t>dbzkwdpcss</t>
  </si>
  <si>
    <t>7-9</t>
  </si>
  <si>
    <t>kpckkkkfktkv</t>
  </si>
  <si>
    <t>7-11</t>
  </si>
  <si>
    <t>c:</t>
  </si>
  <si>
    <t>mnzhpxcxxccshcnb</t>
  </si>
  <si>
    <t>llllll</t>
  </si>
  <si>
    <t>wnjzhrrxchm</t>
  </si>
  <si>
    <t>1-2</t>
  </si>
  <si>
    <t>btttlttttt</t>
  </si>
  <si>
    <t>14-19</t>
  </si>
  <si>
    <t>lvgmmmwmmmmmmmlmmmz</t>
  </si>
  <si>
    <t>xlxg</t>
  </si>
  <si>
    <t>2-16</t>
  </si>
  <si>
    <t>s:</t>
  </si>
  <si>
    <t>jxkwvhwzxwcxhtvss</t>
  </si>
  <si>
    <t>3-5</t>
  </si>
  <si>
    <t>rxswsszs</t>
  </si>
  <si>
    <t>8-11</t>
  </si>
  <si>
    <t>ddqdkddddddddds</t>
  </si>
  <si>
    <t>3-6</t>
  </si>
  <si>
    <t>vpswxv</t>
  </si>
  <si>
    <t>8-17</t>
  </si>
  <si>
    <t>h:</t>
  </si>
  <si>
    <t>hhhhhhhqhhhhhhhdthh</t>
  </si>
  <si>
    <t>1-6</t>
  </si>
  <si>
    <t>jjjjjjjjj</t>
  </si>
  <si>
    <t>zgzzzzzczzz</t>
  </si>
  <si>
    <t>kwzkkdkzfptslvg</t>
  </si>
  <si>
    <t>6-7</t>
  </si>
  <si>
    <t>fpmgmmb</t>
  </si>
  <si>
    <t>5-13</t>
  </si>
  <si>
    <t>kkkkkkrwkfkkkxkkhkz</t>
  </si>
  <si>
    <t>1-3</t>
  </si>
  <si>
    <t>mjggbqgqpqxdwrkwj</t>
  </si>
  <si>
    <t>10-12</t>
  </si>
  <si>
    <t>bggggggggggfgg</t>
  </si>
  <si>
    <t>nnnnnnnnn</t>
  </si>
  <si>
    <t>ppppppppppppppppcpv</t>
  </si>
  <si>
    <t>13-14</t>
  </si>
  <si>
    <t>pjkphnpjsgppkfpppmr</t>
  </si>
  <si>
    <t>lllllllllllmll</t>
  </si>
  <si>
    <t>1-8</t>
  </si>
  <si>
    <t>vzvjhbgvvnzvnt</t>
  </si>
  <si>
    <t>vwxmrfwwltswwtcw</t>
  </si>
  <si>
    <t>lssdx</t>
  </si>
  <si>
    <t>10-13</t>
  </si>
  <si>
    <t>sfffffffffffbffff</t>
  </si>
  <si>
    <t>6-10</t>
  </si>
  <si>
    <t>zzzzzzzzzdz</t>
  </si>
  <si>
    <t>5-8</t>
  </si>
  <si>
    <t>mmjgmhwm</t>
  </si>
  <si>
    <t>mmqmm</t>
  </si>
  <si>
    <t>cccrwctcws</t>
  </si>
  <si>
    <t>8-15</t>
  </si>
  <si>
    <t>fffffffffffffftffff</t>
  </si>
  <si>
    <t>rkddknvp</t>
  </si>
  <si>
    <t>pwlw</t>
  </si>
  <si>
    <t>7-16</t>
  </si>
  <si>
    <t>pppppppppppppppppp</t>
  </si>
  <si>
    <t>fvcszzvdwnbk</t>
  </si>
  <si>
    <t>15-16</t>
  </si>
  <si>
    <t>bkkkkkkkkkkkkkkk</t>
  </si>
  <si>
    <t>gggggg</t>
  </si>
  <si>
    <t>tjhjjfphjjjjjjjjjj</t>
  </si>
  <si>
    <t>zhzzpzz</t>
  </si>
  <si>
    <t>13-15</t>
  </si>
  <si>
    <t>wwvwwwwcwwwwwkb</t>
  </si>
  <si>
    <t>5-19</t>
  </si>
  <si>
    <t>zzzltwskszzrzztkpzd</t>
  </si>
  <si>
    <t>2-7</t>
  </si>
  <si>
    <t>rjcmqkwjwx</t>
  </si>
  <si>
    <t>11-16</t>
  </si>
  <si>
    <t>ttfttrtmptbttttt</t>
  </si>
  <si>
    <t>6-9</t>
  </si>
  <si>
    <t>kkkkkhkkkk</t>
  </si>
  <si>
    <t>lllllllllltlllll</t>
  </si>
  <si>
    <t>xxxxxgxxx</t>
  </si>
  <si>
    <t>jqxlbw</t>
  </si>
  <si>
    <t>kdjkkkpzk</t>
  </si>
  <si>
    <t>hhhhhhhhhg</t>
  </si>
  <si>
    <t>htmrtktcv</t>
  </si>
  <si>
    <t>mbxrkbbbzbbpbbbb</t>
  </si>
  <si>
    <t>ssrssltsssssssssssss</t>
  </si>
  <si>
    <t>3-13</t>
  </si>
  <si>
    <t>hhhjhbhthtblqj</t>
  </si>
  <si>
    <t>ddddddddddwwpddkdtd</t>
  </si>
  <si>
    <t>18-19</t>
  </si>
  <si>
    <t>hhhhhhhhhhhhhhhhhhh</t>
  </si>
  <si>
    <t>3-7</t>
  </si>
  <si>
    <t>vgggggg</t>
  </si>
  <si>
    <t>hhhhpkphhtwhhh</t>
  </si>
  <si>
    <t>pffffvgqff</t>
  </si>
  <si>
    <t>wldszzzz</t>
  </si>
  <si>
    <t>6-14</t>
  </si>
  <si>
    <t>vvvvvvrvvvvvvwvv</t>
  </si>
  <si>
    <t>qknsgbfsmclhhbrdqg</t>
  </si>
  <si>
    <t>bbktbhbpbb</t>
  </si>
  <si>
    <t>10-18</t>
  </si>
  <si>
    <t>zljvjwjwjszqjjgvtj</t>
  </si>
  <si>
    <t>pppnpnppppppwpz</t>
  </si>
  <si>
    <t>8-9</t>
  </si>
  <si>
    <t>ttxtmttntptt</t>
  </si>
  <si>
    <t>4-7</t>
  </si>
  <si>
    <t>pwstbrttx</t>
  </si>
  <si>
    <t>rwpwwcww</t>
  </si>
  <si>
    <t>jjjjjjchmj</t>
  </si>
  <si>
    <t>zpxzczzjzz</t>
  </si>
  <si>
    <t>mlzjxpjxdxdxx</t>
  </si>
  <si>
    <t>dddddkdddmd</t>
  </si>
  <si>
    <t>qfpdfhfffffff</t>
  </si>
  <si>
    <t>nnnhnncnnngn</t>
  </si>
  <si>
    <t>nnnd</t>
  </si>
  <si>
    <t>wwwwwwrvwwwwww</t>
  </si>
  <si>
    <t>jtpmjnfjzg</t>
  </si>
  <si>
    <t>zdzzzf</t>
  </si>
  <si>
    <t>xxtxxsx</t>
  </si>
  <si>
    <t>hhhhhhhhh</t>
  </si>
  <si>
    <t>xsxs</t>
  </si>
  <si>
    <t>5-9</t>
  </si>
  <si>
    <t>zlnllqllpl</t>
  </si>
  <si>
    <t>16-17</t>
  </si>
  <si>
    <t>jzzgsjwxnklzzxmtz</t>
  </si>
  <si>
    <t>zzzzzzztzzsszqmqx</t>
  </si>
  <si>
    <t>lldllkl</t>
  </si>
  <si>
    <t>sgtggmvwhm</t>
  </si>
  <si>
    <t>12-13</t>
  </si>
  <si>
    <t>mmmmmmnmmmmmmb</t>
  </si>
  <si>
    <t>hxhdlxxj</t>
  </si>
  <si>
    <t>11-17</t>
  </si>
  <si>
    <t>cjccccsccccfccccj</t>
  </si>
  <si>
    <t>xxxxsxtxgdxrhvxr</t>
  </si>
  <si>
    <t>dbbql</t>
  </si>
  <si>
    <t>3-9</t>
  </si>
  <si>
    <t>wwswwwwwbw</t>
  </si>
  <si>
    <t>qqqml</t>
  </si>
  <si>
    <t>3-8</t>
  </si>
  <si>
    <t>dhsdprvcg</t>
  </si>
  <si>
    <t>rhvzxnmwm</t>
  </si>
  <si>
    <t>4-11</t>
  </si>
  <si>
    <t>mcncqssmmtj</t>
  </si>
  <si>
    <t>btgzt</t>
  </si>
  <si>
    <t>ggjgsg</t>
  </si>
  <si>
    <t>lmwjhh</t>
  </si>
  <si>
    <t>2-10</t>
  </si>
  <si>
    <t>pqnqqqqtzlcqlmgk</t>
  </si>
  <si>
    <t>cvmqc</t>
  </si>
  <si>
    <t>7-14</t>
  </si>
  <si>
    <t>lzcwzccchgbvcc</t>
  </si>
  <si>
    <t>rrrrrrrrcrrrrrrd</t>
  </si>
  <si>
    <t>11-13</t>
  </si>
  <si>
    <t>gggpgggwggggj</t>
  </si>
  <si>
    <t>10-16</t>
  </si>
  <si>
    <t>mpgtppppfvpptppp</t>
  </si>
  <si>
    <t>17-18</t>
  </si>
  <si>
    <t>ggggggggrgggggggqgf</t>
  </si>
  <si>
    <t>lpgbgggm</t>
  </si>
  <si>
    <t>dddcds</t>
  </si>
  <si>
    <t>rbktcqrjvcb</t>
  </si>
  <si>
    <t>wgfvgdpgm</t>
  </si>
  <si>
    <t>knnhnnfdnknnghnxxsr</t>
  </si>
  <si>
    <t>14-15</t>
  </si>
  <si>
    <t>znsbblhbxsxljgb</t>
  </si>
  <si>
    <t>lrgwrhdmrwvwwwjc</t>
  </si>
  <si>
    <t>gcgjcnc</t>
  </si>
  <si>
    <t>fhhnhpshhhhpfhhbhwxh</t>
  </si>
  <si>
    <t>sssssbs</t>
  </si>
  <si>
    <t>9-12</t>
  </si>
  <si>
    <t>kkkkkkvktkzkw</t>
  </si>
  <si>
    <t>skjxkckkk</t>
  </si>
  <si>
    <t>kkkkkdkkkkkknp</t>
  </si>
  <si>
    <t>4-8</t>
  </si>
  <si>
    <t>mztxblxxxxmcxnljzwqc</t>
  </si>
  <si>
    <t>lnbnnznnfn</t>
  </si>
  <si>
    <t>khmkkkspkkk</t>
  </si>
  <si>
    <t>1-9</t>
  </si>
  <si>
    <t>jbrxjjnvgwkfjwj</t>
  </si>
  <si>
    <t>14-16</t>
  </si>
  <si>
    <t>gsfvlhjqkwqrtftvvwlv</t>
  </si>
  <si>
    <t>ttrttttttt</t>
  </si>
  <si>
    <t>xqqjq</t>
  </si>
  <si>
    <t>nnnnnnnnnnnzn</t>
  </si>
  <si>
    <t>2-6</t>
  </si>
  <si>
    <t>msfffff</t>
  </si>
  <si>
    <t>ksxsssnslss</t>
  </si>
  <si>
    <t>fffspfffwsf</t>
  </si>
  <si>
    <t>fmqqnqqqq</t>
  </si>
  <si>
    <t>kssssssss</t>
  </si>
  <si>
    <t>9-18</t>
  </si>
  <si>
    <t>zfqlflvcmlgdwlnlfql</t>
  </si>
  <si>
    <t>sssssslsstm</t>
  </si>
  <si>
    <t>rmxqmndnrzxrqcrwfmd</t>
  </si>
  <si>
    <t>jcjlzcjzjpzjjqjcj</t>
  </si>
  <si>
    <t>rrrrrrrrfrrxqrqr</t>
  </si>
  <si>
    <t>nnnnznncnnkklqn</t>
  </si>
  <si>
    <t>csdpmzztklzzvzmf</t>
  </si>
  <si>
    <t>zzzd</t>
  </si>
  <si>
    <t>dddpjdfdmjxjddd</t>
  </si>
  <si>
    <t>3-11</t>
  </si>
  <si>
    <t>ssshsslfmsspslsxsss</t>
  </si>
  <si>
    <t>srwmf</t>
  </si>
  <si>
    <t>llllld</t>
  </si>
  <si>
    <t>ccdcccczvcbcrrsw</t>
  </si>
  <si>
    <t>7-10</t>
  </si>
  <si>
    <t>hhhfhhkhhhhh</t>
  </si>
  <si>
    <t>hbpjfwzj</t>
  </si>
  <si>
    <t>ldlllllllwn</t>
  </si>
  <si>
    <t>jptlp</t>
  </si>
  <si>
    <t>hhkzphw</t>
  </si>
  <si>
    <t>14-17</t>
  </si>
  <si>
    <t>bbbbtbbbbbbnbrbbz</t>
  </si>
  <si>
    <t>14-18</t>
  </si>
  <si>
    <t>hnpzxjzxglxncqldxznf</t>
  </si>
  <si>
    <t>qhqqqq</t>
  </si>
  <si>
    <t>jwjjjjjjx</t>
  </si>
  <si>
    <t>czgpwwfl</t>
  </si>
  <si>
    <t>tznttztsctvvttptjt</t>
  </si>
  <si>
    <t>gxzxxlxxxxtjxx</t>
  </si>
  <si>
    <t>13-17</t>
  </si>
  <si>
    <t>wwwwwwwwwwwwqwwwr</t>
  </si>
  <si>
    <t>ddddddddddd</t>
  </si>
  <si>
    <t>hqwhhhkqqhnmngl</t>
  </si>
  <si>
    <t>mmjmmmj</t>
  </si>
  <si>
    <t>13-19</t>
  </si>
  <si>
    <t>jdmfffkfbfnffbffcfxf</t>
  </si>
  <si>
    <t>bgbdbgtbbdbjb</t>
  </si>
  <si>
    <t>svvvvhvv</t>
  </si>
  <si>
    <t>mmmmdm</t>
  </si>
  <si>
    <t>nnnnnnnnnrnnnnn</t>
  </si>
  <si>
    <t>tttnzxtqrpktgtmzm</t>
  </si>
  <si>
    <t>dccccc</t>
  </si>
  <si>
    <t>9-17</t>
  </si>
  <si>
    <t>lkqllllllllkllsfj</t>
  </si>
  <si>
    <t>zrrrrkrdfrwwr</t>
  </si>
  <si>
    <t>ccdjtcc</t>
  </si>
  <si>
    <t>13-20</t>
  </si>
  <si>
    <t>pppppppppppppppppppp</t>
  </si>
  <si>
    <t>qqwcgfqgfm</t>
  </si>
  <si>
    <t>qzdqpzqqqqqhgqkqtnq</t>
  </si>
  <si>
    <t>crzpcgqwpd</t>
  </si>
  <si>
    <t>ttttttttttttttttttx</t>
  </si>
  <si>
    <t>mkjjxjsfxpmqjplhwn</t>
  </si>
  <si>
    <t>pzppdqppppprd</t>
  </si>
  <si>
    <t>10-14</t>
  </si>
  <si>
    <t>kkkkkxqktkkkkkkkhkk</t>
  </si>
  <si>
    <t>srpplgnpjp</t>
  </si>
  <si>
    <t>rbbzcbbbjflbbbbxxwbc</t>
  </si>
  <si>
    <t>11-14</t>
  </si>
  <si>
    <t>nndngqnnpnnncn</t>
  </si>
  <si>
    <t>bhjzjrczkzxzzfgf</t>
  </si>
  <si>
    <t>dxptddcddwdd</t>
  </si>
  <si>
    <t>fxrhrrtlr</t>
  </si>
  <si>
    <t>hmmmmmmmt</t>
  </si>
  <si>
    <t>kkfgggvpgzv</t>
  </si>
  <si>
    <t>13-18</t>
  </si>
  <si>
    <t>znlllvkzllzrzzzrrl</t>
  </si>
  <si>
    <t>nnnnnnnn</t>
  </si>
  <si>
    <t>zdptjdd</t>
  </si>
  <si>
    <t>xxxxxxxxxxxxxxxlx</t>
  </si>
  <si>
    <t>cdbrghhdwhhhh</t>
  </si>
  <si>
    <t>ttttxjtttttstttw</t>
  </si>
  <si>
    <t>jjjjrsjjjjjjjjjj</t>
  </si>
  <si>
    <t>ffflf</t>
  </si>
  <si>
    <t>ctpktwjttttttt</t>
  </si>
  <si>
    <t>1-10</t>
  </si>
  <si>
    <t>xncxxwqwxxxp</t>
  </si>
  <si>
    <t>xxxxxx</t>
  </si>
  <si>
    <t>tttttttttttttttth</t>
  </si>
  <si>
    <t>wwwwwwwwwwlwcwwkwx</t>
  </si>
  <si>
    <t>vlwvvvlvbvtbvv</t>
  </si>
  <si>
    <t>4-14</t>
  </si>
  <si>
    <t>ffffsfzffskffffff</t>
  </si>
  <si>
    <t>jcqbh</t>
  </si>
  <si>
    <t>fjmwjzkfrjprrjj</t>
  </si>
  <si>
    <t>fffffffffffffffff</t>
  </si>
  <si>
    <t>bjmbpncrpw</t>
  </si>
  <si>
    <t>kxzzzzzcrsz</t>
  </si>
  <si>
    <t>zzzzzzzzztzzzzzzzztz</t>
  </si>
  <si>
    <t>nngnnnnnnnn</t>
  </si>
  <si>
    <t>1-15</t>
  </si>
  <si>
    <t>bgxdbrbggnbhjbj</t>
  </si>
  <si>
    <t>wddd</t>
  </si>
  <si>
    <t>jjjjjjnjlj</t>
  </si>
  <si>
    <t>qqgqqwqqqqqqqqqqqql</t>
  </si>
  <si>
    <t>tddzt</t>
  </si>
  <si>
    <t>qjvkvckgnklmglrxpmpw</t>
  </si>
  <si>
    <t>lllllllllllllllll</t>
  </si>
  <si>
    <t>9-14</t>
  </si>
  <si>
    <t>nppppphpmpsppp</t>
  </si>
  <si>
    <t>ffscssqwssj</t>
  </si>
  <si>
    <t>7-17</t>
  </si>
  <si>
    <t>xsbskfwmhsksmxhkkm</t>
  </si>
  <si>
    <t>vvvvvv</t>
  </si>
  <si>
    <t>bbbbbgbncbbbbbbg</t>
  </si>
  <si>
    <t>vwfnmfkxmzgxztlncxk</t>
  </si>
  <si>
    <t>lpppb</t>
  </si>
  <si>
    <t>dwnzx</t>
  </si>
  <si>
    <t>7-13</t>
  </si>
  <si>
    <t>vrdxdcldpddbdv</t>
  </si>
  <si>
    <t>12-17</t>
  </si>
  <si>
    <t>cxxxxjdxxxxqxxxxx</t>
  </si>
  <si>
    <t>mjwqw</t>
  </si>
  <si>
    <t>bwrcwwwsvjwdlsnw</t>
  </si>
  <si>
    <t>gbbrx</t>
  </si>
  <si>
    <t>bgbbbbbbbbbbbbfbkb</t>
  </si>
  <si>
    <t>mmmr</t>
  </si>
  <si>
    <t>tkhffrflhzfjf</t>
  </si>
  <si>
    <t>fvjjjj</t>
  </si>
  <si>
    <t>nnnnnnnnhcnn</t>
  </si>
  <si>
    <t>5-14</t>
  </si>
  <si>
    <t>dqnkvqnccqwsnmqmgjq</t>
  </si>
  <si>
    <t>ppxt</t>
  </si>
  <si>
    <t>bbbbbbb</t>
  </si>
  <si>
    <t>ccccqcc</t>
  </si>
  <si>
    <t>11-15</t>
  </si>
  <si>
    <t>rfkkgkkkknkkfkkkk</t>
  </si>
  <si>
    <t>jjjjmjjjjjqjjjl</t>
  </si>
  <si>
    <t>bhhhhh</t>
  </si>
  <si>
    <t>ppqpmjppvp</t>
  </si>
  <si>
    <t>vhhhvwhnhhhhhh</t>
  </si>
  <si>
    <t>mnnnn</t>
  </si>
  <si>
    <t>8-14</t>
  </si>
  <si>
    <t>zjpdpjpxzzwqts</t>
  </si>
  <si>
    <t>bbbbbbf</t>
  </si>
  <si>
    <t>spsscssssgssbsss</t>
  </si>
  <si>
    <t>8-12</t>
  </si>
  <si>
    <t>sggggggxgggk</t>
  </si>
  <si>
    <t>fjfx</t>
  </si>
  <si>
    <t>hgllllll</t>
  </si>
  <si>
    <t>znqpzslgsfxrzms</t>
  </si>
  <si>
    <t>btbnb</t>
  </si>
  <si>
    <t>bnqpbbgrkbstrbj</t>
  </si>
  <si>
    <t>xxxxxxxqmxqxd</t>
  </si>
  <si>
    <t>jtcctkh</t>
  </si>
  <si>
    <t>hvvspvhqv</t>
  </si>
  <si>
    <t>bqcklzzpzzk</t>
  </si>
  <si>
    <t>tkkvdzxpgkdbrmxmxw</t>
  </si>
  <si>
    <t>lmsbqwwwwxlwgwwrbz</t>
  </si>
  <si>
    <t>bbbnbbbqbbkbbbnkb</t>
  </si>
  <si>
    <t>llkllllgpljlgglrqll</t>
  </si>
  <si>
    <t>6-15</t>
  </si>
  <si>
    <t>jwzqwlpjjgjtjjrhjj</t>
  </si>
  <si>
    <t>khnrkvlprggwhzlfrkbk</t>
  </si>
  <si>
    <t>vghwwvvvvvx</t>
  </si>
  <si>
    <t>1-7</t>
  </si>
  <si>
    <t>dpphzmwptpsptrrzdpg</t>
  </si>
  <si>
    <t>lkbxk</t>
  </si>
  <si>
    <t>qhhcrjzqvqdhfrjxz</t>
  </si>
  <si>
    <t>kkkkklkkkkkkk</t>
  </si>
  <si>
    <t>12-15</t>
  </si>
  <si>
    <t>ckgkcdcvgcxbcrbz</t>
  </si>
  <si>
    <t>zjjljrlj</t>
  </si>
  <si>
    <t>rxrntss</t>
  </si>
  <si>
    <t>18-20</t>
  </si>
  <si>
    <t>mhvlzntnfvndrpmczwkm</t>
  </si>
  <si>
    <t>13-16</t>
  </si>
  <si>
    <t>zzzzzzzzzzzzwzzz</t>
  </si>
  <si>
    <t>pgftmlvpvlt</t>
  </si>
  <si>
    <t>pvvxxsvhzvzbhwvwz</t>
  </si>
  <si>
    <t>jjjjjj</t>
  </si>
  <si>
    <t>rhrxgwfhgjkmqtbbs</t>
  </si>
  <si>
    <t>11-18</t>
  </si>
  <si>
    <t>qnzwlfgddnhqpxxwsgd</t>
  </si>
  <si>
    <t>2-9</t>
  </si>
  <si>
    <t>pqvpnphjm</t>
  </si>
  <si>
    <t>wclhgh</t>
  </si>
  <si>
    <t>2-14</t>
  </si>
  <si>
    <t>tnkcfsnnknmnndnvntp</t>
  </si>
  <si>
    <t>sswxsfsksssswj</t>
  </si>
  <si>
    <t>4-12</t>
  </si>
  <si>
    <t>wnhfjgsdfkjwvn</t>
  </si>
  <si>
    <t>qxggfhlgfhhtvznxhh</t>
  </si>
  <si>
    <t>rrrrrrzrrrr</t>
  </si>
  <si>
    <t>1-11</t>
  </si>
  <si>
    <t>fddtjqvqljqqqqprqqs</t>
  </si>
  <si>
    <t>ddndddddkddtddddl</t>
  </si>
  <si>
    <t>dddddqddk</t>
  </si>
  <si>
    <t>lxnzrtjzfzndbbdss</t>
  </si>
  <si>
    <t>wwzfmwww</t>
  </si>
  <si>
    <t>bgsszwmfbssnmzts</t>
  </si>
  <si>
    <t>9-16</t>
  </si>
  <si>
    <t>wtqqqqwqqsqqqpqdqqc</t>
  </si>
  <si>
    <t>kkkxkkkkkxkgkkk</t>
  </si>
  <si>
    <t>jjjzjj</t>
  </si>
  <si>
    <t>15-17</t>
  </si>
  <si>
    <t>ntpqgqzkhvlwqcwpkml</t>
  </si>
  <si>
    <t>sssssssss</t>
  </si>
  <si>
    <t>phpppwpph</t>
  </si>
  <si>
    <t>nlflllc</t>
  </si>
  <si>
    <t>qctqqqnq</t>
  </si>
  <si>
    <t>qqqqzqtqq</t>
  </si>
  <si>
    <t>jgkkbkkkbg</t>
  </si>
  <si>
    <t>mzbbc</t>
  </si>
  <si>
    <t>qswfwtnfwsw</t>
  </si>
  <si>
    <t>zzzzzzzzzzzzz</t>
  </si>
  <si>
    <t>nrkn</t>
  </si>
  <si>
    <t>ntssnqhwnhfpbsnn</t>
  </si>
  <si>
    <t>wsdnjv</t>
  </si>
  <si>
    <t>gwsqsgj</t>
  </si>
  <si>
    <t>pppppjlpbmhrkp</t>
  </si>
  <si>
    <t>zwzpblnrln</t>
  </si>
  <si>
    <t>bgstvvn</t>
  </si>
  <si>
    <t>tnnnnnnmnnnnnjn</t>
  </si>
  <si>
    <t>vvmvvj</t>
  </si>
  <si>
    <t>dddqdwd</t>
  </si>
  <si>
    <t>xjhwbj</t>
  </si>
  <si>
    <t>lqqq</t>
  </si>
  <si>
    <t>5-10</t>
  </si>
  <si>
    <t>jgtgplmgggghzsgwgngb</t>
  </si>
  <si>
    <t>xxxxxxxjxjx</t>
  </si>
  <si>
    <t>mddddddddddm</t>
  </si>
  <si>
    <t>rrrrrrrrl</t>
  </si>
  <si>
    <t>swwwww</t>
  </si>
  <si>
    <t>xwjlb</t>
  </si>
  <si>
    <t>kkfkhsqkkkkmpfdbdfb</t>
  </si>
  <si>
    <t>kkkkjkkkpfkc</t>
  </si>
  <si>
    <t>dstwsss</t>
  </si>
  <si>
    <t>6-13</t>
  </si>
  <si>
    <t>tmtrtpttnmtcjk</t>
  </si>
  <si>
    <t>qgqqqqqqqqqjqqqqq</t>
  </si>
  <si>
    <t>zjzzzzqf</t>
  </si>
  <si>
    <t>tttttttttthtq</t>
  </si>
  <si>
    <t>hmmmncqmmmmmmm</t>
  </si>
  <si>
    <t>qqqqqqqqmq</t>
  </si>
  <si>
    <t>qtqtt</t>
  </si>
  <si>
    <t>ndkwggwtm</t>
  </si>
  <si>
    <t>nnnzcn</t>
  </si>
  <si>
    <t>llmllll</t>
  </si>
  <si>
    <t>vptl</t>
  </si>
  <si>
    <t>lwwwwcwwdwj</t>
  </si>
  <si>
    <t>8-18</t>
  </si>
  <si>
    <t>qqqqqqqhqqqqqqqqqqq</t>
  </si>
  <si>
    <t>ttttttttwt</t>
  </si>
  <si>
    <t>12-14</t>
  </si>
  <si>
    <t>gpprpppwfnpppbgspdpp</t>
  </si>
  <si>
    <t>fffffffffffffqf</t>
  </si>
  <si>
    <t>hhhhhhhhhhhhhhgh</t>
  </si>
  <si>
    <t>mmmmmmmmmvmmm</t>
  </si>
  <si>
    <t>bbbbbbbkbbwfb</t>
  </si>
  <si>
    <t>hhhmhhbhnhrh</t>
  </si>
  <si>
    <t>4-10</t>
  </si>
  <si>
    <t>tvcpfrfvmvczvvwj</t>
  </si>
  <si>
    <t>jjjjjjjjjjfjjpj</t>
  </si>
  <si>
    <t>cqqqqfq</t>
  </si>
  <si>
    <t>ppppppppppppppkppppx</t>
  </si>
  <si>
    <t>llllllrllslllllllllv</t>
  </si>
  <si>
    <t>17-20</t>
  </si>
  <si>
    <t>txkgsxxxfgcjwxhdxqxt</t>
  </si>
  <si>
    <t>bjbb</t>
  </si>
  <si>
    <t>hhhhhhhhvhzhhcgthqh</t>
  </si>
  <si>
    <t>mmmmmmmmmmmmmmnp</t>
  </si>
  <si>
    <t>drvtprzmzjrrmjzrr</t>
  </si>
  <si>
    <t>ddddddddddddddc</t>
  </si>
  <si>
    <t>zxthgdmsdqqln</t>
  </si>
  <si>
    <t>btgpjgglng</t>
  </si>
  <si>
    <t>jhnzlltcrgj</t>
  </si>
  <si>
    <t>5-11</t>
  </si>
  <si>
    <t>lknhltlnzbljzzpjbfrm</t>
  </si>
  <si>
    <t>nnlnnfgdn</t>
  </si>
  <si>
    <t>xxxxxxmqfwxjxhk</t>
  </si>
  <si>
    <t>mmwm</t>
  </si>
  <si>
    <t>rrrrdrjrrp</t>
  </si>
  <si>
    <t>ssrsc</t>
  </si>
  <si>
    <t>dpdddddhddd</t>
  </si>
  <si>
    <t>3-10</t>
  </si>
  <si>
    <t>cqqqqjvqgqgqqmrzq</t>
  </si>
  <si>
    <t>ccccshcccc</t>
  </si>
  <si>
    <t>wwwwwwwnxwwxwww</t>
  </si>
  <si>
    <t>njcgjjjjjjjjjjjgwfj</t>
  </si>
  <si>
    <t>nvnnfnrgmndksngn</t>
  </si>
  <si>
    <t>zzzdzzzzzzzzzsj</t>
  </si>
  <si>
    <t>hthqthcqnbh</t>
  </si>
  <si>
    <t>qqqzpqkqqkqsqpwqqqq</t>
  </si>
  <si>
    <t>bzqrdj</t>
  </si>
  <si>
    <t>hhhfjhhhh</t>
  </si>
  <si>
    <t>9-13</t>
  </si>
  <si>
    <t>xxdqbxxwxdxxxhxxmxx</t>
  </si>
  <si>
    <t>rtwt</t>
  </si>
  <si>
    <t>sssssskdsssssssss</t>
  </si>
  <si>
    <t>rrdrrrqsm</t>
  </si>
  <si>
    <t>wwzw</t>
  </si>
  <si>
    <t>vfgdgnpfswsdjjwz</t>
  </si>
  <si>
    <t>bbrbbcbpnbbtklfvtj</t>
  </si>
  <si>
    <t>jggggpgggdpgggjv</t>
  </si>
  <si>
    <t>wvdfgchsgv</t>
  </si>
  <si>
    <t>sswsssx</t>
  </si>
  <si>
    <t>sbssssslsss</t>
  </si>
  <si>
    <t>grrrrrhrrrrrrlqrrt</t>
  </si>
  <si>
    <t>ppzppppprpp</t>
  </si>
  <si>
    <t>wmmmfzmdc</t>
  </si>
  <si>
    <t>bbbbbsbbbbbbbbbbbb</t>
  </si>
  <si>
    <t>ppppvppppppp</t>
  </si>
  <si>
    <t>bgmgnj</t>
  </si>
  <si>
    <t>sdsjsblc</t>
  </si>
  <si>
    <t>qrxk</t>
  </si>
  <si>
    <t>rrrrrrrrrjrrtr</t>
  </si>
  <si>
    <t>cckc</t>
  </si>
  <si>
    <t>llcllllllld</t>
  </si>
  <si>
    <t>rlggmfsskssrssjssss</t>
  </si>
  <si>
    <t>vvrjzwcrh</t>
  </si>
  <si>
    <t>kkkkktk</t>
  </si>
  <si>
    <t>xbbbtb</t>
  </si>
  <si>
    <t>bbbbbbbbhn</t>
  </si>
  <si>
    <t>scsssssssssssls</t>
  </si>
  <si>
    <t>gfqfgfwfffffffffg</t>
  </si>
  <si>
    <t>ffffqfffhb</t>
  </si>
  <si>
    <t>rvrrrrmrrrrrrbrd</t>
  </si>
  <si>
    <t>vvhvjv</t>
  </si>
  <si>
    <t>ggdgf</t>
  </si>
  <si>
    <t>lcfjjjjjjct</t>
  </si>
  <si>
    <t>hchh</t>
  </si>
  <si>
    <t>drnwwmhgpbhrpq</t>
  </si>
  <si>
    <t>mmmmfmrmnzlmmmmmb</t>
  </si>
  <si>
    <t>pgcwckcrgc</t>
  </si>
  <si>
    <t>jzgpnqlgqjwdksgpmggc</t>
  </si>
  <si>
    <t>bhchmrqqt</t>
  </si>
  <si>
    <t>kkktzkk</t>
  </si>
  <si>
    <t>nnbm</t>
  </si>
  <si>
    <t>mmmmms</t>
  </si>
  <si>
    <t>jlnnjjtcvjfjjv</t>
  </si>
  <si>
    <t>vxxxfwxxxx</t>
  </si>
  <si>
    <t>cccccccccccckccct</t>
  </si>
  <si>
    <t>xqnbzmd</t>
  </si>
  <si>
    <t>fffffffhv</t>
  </si>
  <si>
    <t>vphcppmpx</t>
  </si>
  <si>
    <t>vbznbbqbpbhbbrb</t>
  </si>
  <si>
    <t>rfpkbnptxgj</t>
  </si>
  <si>
    <t>4-15</t>
  </si>
  <si>
    <t>sfssssqssznssss</t>
  </si>
  <si>
    <t>kkgk</t>
  </si>
  <si>
    <t>rqwwww</t>
  </si>
  <si>
    <t>fcblhcbhsgnfkb</t>
  </si>
  <si>
    <t>dvjhdpdfff</t>
  </si>
  <si>
    <t>gcpcbpdppprmpbssd</t>
  </si>
  <si>
    <t>vvvvvvvvvvvmvvvvvvvv</t>
  </si>
  <si>
    <t>smvmjcrtmxxnmmzxzc</t>
  </si>
  <si>
    <t>xfxxxxxxxxxkzxxxxxx</t>
  </si>
  <si>
    <t>dpdmddddgrsddddd</t>
  </si>
  <si>
    <t>xxgqxqxxxxxxh</t>
  </si>
  <si>
    <t>dxxrcxktx</t>
  </si>
  <si>
    <t>6-12</t>
  </si>
  <si>
    <t>tddddddddddsdddd</t>
  </si>
  <si>
    <t>fjkbdpp</t>
  </si>
  <si>
    <t>ppppppppppppkppqpp</t>
  </si>
  <si>
    <t>ddthzddddf</t>
  </si>
  <si>
    <t>ffvx</t>
  </si>
  <si>
    <t>kmmmmmmmmnmmmm</t>
  </si>
  <si>
    <t>hrnrr</t>
  </si>
  <si>
    <t>gggg</t>
  </si>
  <si>
    <t>jqjltjwj</t>
  </si>
  <si>
    <t>jjjjcjnj</t>
  </si>
  <si>
    <t>rwjbgnrfrh</t>
  </si>
  <si>
    <t>bzcxgbbbbh</t>
  </si>
  <si>
    <t>jcjrjj</t>
  </si>
  <si>
    <t>fhmhlcjj</t>
  </si>
  <si>
    <t>jjjjgk</t>
  </si>
  <si>
    <t>kxxxxdxxnffxxxx</t>
  </si>
  <si>
    <t>5-15</t>
  </si>
  <si>
    <t>kkkknkkkkkkkkkkkkkk</t>
  </si>
  <si>
    <t>jttt</t>
  </si>
  <si>
    <t>zwwrwwswmn</t>
  </si>
  <si>
    <t>dddwdddddtddddbd</t>
  </si>
  <si>
    <t>dxxbjcxzxn</t>
  </si>
  <si>
    <t>jjjjjjjjjjjjjjjzj</t>
  </si>
  <si>
    <t>ccgmclcczccc</t>
  </si>
  <si>
    <t>ppppppppsd</t>
  </si>
  <si>
    <t>npnz</t>
  </si>
  <si>
    <t>zzzzzzzz</t>
  </si>
  <si>
    <t>vnqbljpczz</t>
  </si>
  <si>
    <t>ttftttttt</t>
  </si>
  <si>
    <t>xxdpx</t>
  </si>
  <si>
    <t>zzzzzzzzzzzzzzzx</t>
  </si>
  <si>
    <t>pmdzmjbmmlmvm</t>
  </si>
  <si>
    <t>xxxxzx</t>
  </si>
  <si>
    <t>ccccccccrcl</t>
  </si>
  <si>
    <t>rrrrrrfsrrrrrrr</t>
  </si>
  <si>
    <t>jxjjjnjjjjjjj</t>
  </si>
  <si>
    <t>vvvvvvvvvvvvvv</t>
  </si>
  <si>
    <t>nnqnnnj</t>
  </si>
  <si>
    <t>llllllllxlllcl</t>
  </si>
  <si>
    <t>gtjmvthqqtghhhbhk</t>
  </si>
  <si>
    <t>wpljhpjh</t>
  </si>
  <si>
    <t>dbvmcp</t>
  </si>
  <si>
    <t>dpppp</t>
  </si>
  <si>
    <t>xnvxxxxxxxzxv</t>
  </si>
  <si>
    <t>vnjj</t>
  </si>
  <si>
    <t>lllllllz</t>
  </si>
  <si>
    <t>qkzwwxwkncwzd</t>
  </si>
  <si>
    <t>rhrrlrrrqgfrn</t>
  </si>
  <si>
    <t>16-18</t>
  </si>
  <si>
    <t>mmmwmmmmmmmmmmmdmm</t>
  </si>
  <si>
    <t>gbmwmmfvmfbdzccqhmmx</t>
  </si>
  <si>
    <t>ccccfxzc</t>
  </si>
  <si>
    <t>hhhhn</t>
  </si>
  <si>
    <t>lwtlv</t>
  </si>
  <si>
    <t>jjjljjjjjjjjjjjjj</t>
  </si>
  <si>
    <t>wwwwqcwwlvqw</t>
  </si>
  <si>
    <t>gfgm</t>
  </si>
  <si>
    <t>tthptxkttbshtjv</t>
  </si>
  <si>
    <t>nrjjbspgkqpbbcr</t>
  </si>
  <si>
    <t>ssscsss</t>
  </si>
  <si>
    <t>dsdddddzddcdddddjddd</t>
  </si>
  <si>
    <t>jrbjjvsj</t>
  </si>
  <si>
    <t>hhhhbdchhhhhhh</t>
  </si>
  <si>
    <t>pdpqppppppp</t>
  </si>
  <si>
    <t>shznjbglbghtngzbhg</t>
  </si>
  <si>
    <t>vhkkskkb</t>
  </si>
  <si>
    <t>zjjjjqzcjknjjjg</t>
  </si>
  <si>
    <t>kkkzkkkkkgkkkvkkk</t>
  </si>
  <si>
    <t>vczcxbbccc</t>
  </si>
  <si>
    <t>lldllllllnllll</t>
  </si>
  <si>
    <t>kklpksq</t>
  </si>
  <si>
    <t>kkhkkkkmkkzk</t>
  </si>
  <si>
    <t>djjqj</t>
  </si>
  <si>
    <t>qqqqqqqqqz</t>
  </si>
  <si>
    <t>ccczxccccccjkcccc</t>
  </si>
  <si>
    <t>mljl</t>
  </si>
  <si>
    <t>vvvvqrxk</t>
  </si>
  <si>
    <t>vntfpvvbrvvvvvvv</t>
  </si>
  <si>
    <t>fffsmbffffzftfqfjdj</t>
  </si>
  <si>
    <t>kvvtvhvvhvvkpvzc</t>
  </si>
  <si>
    <t>zzfgjqkgzzzdz</t>
  </si>
  <si>
    <t>xgvr</t>
  </si>
  <si>
    <t>bbbbbvbbb</t>
  </si>
  <si>
    <t>fffffffcffffffffffff</t>
  </si>
  <si>
    <t>mmmlmmjmmm</t>
  </si>
  <si>
    <t>qhjqbqqrsrqnmbtqfqbr</t>
  </si>
  <si>
    <t>tsqclcqmncpccdd</t>
  </si>
  <si>
    <t>ztxzz</t>
  </si>
  <si>
    <t>jrrf</t>
  </si>
  <si>
    <t>mzmmmmmplpg</t>
  </si>
  <si>
    <t>bbbbnmbbbrpbbbbbb</t>
  </si>
  <si>
    <t>zzqvwzzzzzzjzbzzf</t>
  </si>
  <si>
    <t>gbxxxxxsxfxpxxt</t>
  </si>
  <si>
    <t>ddhtvfzvjvv</t>
  </si>
  <si>
    <t>hxxxxdwjxnvwx</t>
  </si>
  <si>
    <t>gkklpkqgkjncl</t>
  </si>
  <si>
    <t>ndvdbk</t>
  </si>
  <si>
    <t>mmmmm</t>
  </si>
  <si>
    <t>tcstfmslrsxbz</t>
  </si>
  <si>
    <t>pjvjjfgfztsvnc</t>
  </si>
  <si>
    <t>jjjj</t>
  </si>
  <si>
    <t>rzgrkzqkzsgzxwchbtv</t>
  </si>
  <si>
    <t>pptdppprwz</t>
  </si>
  <si>
    <t>wfpjjzjwjcpsjq</t>
  </si>
  <si>
    <t>hxxsdnvgvxxppxxhkn</t>
  </si>
  <si>
    <t>10-20</t>
  </si>
  <si>
    <t>rrvrrrpxbvplrrxttrkr</t>
  </si>
  <si>
    <t>vvvvvvvvvvhvvvxdvv</t>
  </si>
  <si>
    <t>wwbwwwjwwwwwswwwwrw</t>
  </si>
  <si>
    <t>jxwbbbbbbbwbbbqbbkz</t>
  </si>
  <si>
    <t>xsrmlrzmnrrq</t>
  </si>
  <si>
    <t>mmnmmmmmmmmmmmmnnmmm</t>
  </si>
  <si>
    <t>nznnnnnnnnn</t>
  </si>
  <si>
    <t>kwnbnnwwzl</t>
  </si>
  <si>
    <t>kkgnbkpmmjh</t>
  </si>
  <si>
    <t>vvwtvvzcvvvfdvflnd</t>
  </si>
  <si>
    <t>qqckqspjkgnlnpth</t>
  </si>
  <si>
    <t>kfhcdlbpvbslfscbt</t>
  </si>
  <si>
    <t>rrrclrrrwrcm</t>
  </si>
  <si>
    <t>ndqcbndjvmddpw</t>
  </si>
  <si>
    <t>skldfkdbwbpbklkk</t>
  </si>
  <si>
    <t>2-8</t>
  </si>
  <si>
    <t>cczcccqcrcccckd</t>
  </si>
  <si>
    <t>cchbkcdc</t>
  </si>
  <si>
    <t>lwlclrhlll</t>
  </si>
  <si>
    <t>cwkllzfmlrrjljl</t>
  </si>
  <si>
    <t>jjjjjjjgjjjjjb</t>
  </si>
  <si>
    <t>vvvvvvvvvvvvv</t>
  </si>
  <si>
    <t>ggdggxggg</t>
  </si>
  <si>
    <t>pfwgcrf</t>
  </si>
  <si>
    <t>mvhmbwtm</t>
  </si>
  <si>
    <t>cpccrslcrspkfjhcc</t>
  </si>
  <si>
    <t>vvrvvvzvrvbhvvvvv</t>
  </si>
  <si>
    <t>pczcccccncllvpxrpt</t>
  </si>
  <si>
    <t>rrrrrrvrrtrrr</t>
  </si>
  <si>
    <t>nrzcnnvtnwnnnn</t>
  </si>
  <si>
    <t>xxcmxxxdxjx</t>
  </si>
  <si>
    <t>fdbsstzvqsxf</t>
  </si>
  <si>
    <t>dddddddddmmddd</t>
  </si>
  <si>
    <t>nffxfffffff</t>
  </si>
  <si>
    <t>zggg</t>
  </si>
  <si>
    <t>cphtggfxgg</t>
  </si>
  <si>
    <t>nvxqhqgfsklk</t>
  </si>
  <si>
    <t>qbxtb</t>
  </si>
  <si>
    <t>hhhmhhhzbhm</t>
  </si>
  <si>
    <t>bbbmbbbxbqbb</t>
  </si>
  <si>
    <t>hhhhhzhfwfhhrhhhh</t>
  </si>
  <si>
    <t>xjsnhhjhrhhjnhhwsdmc</t>
  </si>
  <si>
    <t>hrrdzhfsrltr</t>
  </si>
  <si>
    <t>nnnnnnnndnnx</t>
  </si>
  <si>
    <t>gdgzxgnglbgtggnfcglm</t>
  </si>
  <si>
    <t>jjlj</t>
  </si>
  <si>
    <t>tttxtttt</t>
  </si>
  <si>
    <t>4-19</t>
  </si>
  <si>
    <t>vflbmbhngnjkkvqzvjk</t>
  </si>
  <si>
    <t>gnnnnnlnxnnnqwngn</t>
  </si>
  <si>
    <t>mmmmmmmmmmmmmmm</t>
  </si>
  <si>
    <t>ktmqtst</t>
  </si>
  <si>
    <t>qclsqqqqqqqfnw</t>
  </si>
  <si>
    <t>rrrwrjrqpw</t>
  </si>
  <si>
    <t>sssssqfssgsbs</t>
  </si>
  <si>
    <t>tfktphnmtncj</t>
  </si>
  <si>
    <t>zfjzqzzzzwzzzzfzzzj</t>
  </si>
  <si>
    <t>rddxdd</t>
  </si>
  <si>
    <t>5-18</t>
  </si>
  <si>
    <t>zzzzlzzzzzzzzzzzzzz</t>
  </si>
  <si>
    <t>rmmxdvwxbrwxxxdrjzz</t>
  </si>
  <si>
    <t>ddzddkddbnddddd</t>
  </si>
  <si>
    <t>xxrxt</t>
  </si>
  <si>
    <t>nrrrrrcrrrrrrsrrr</t>
  </si>
  <si>
    <t>szgzqvzfmrzztzzz</t>
  </si>
  <si>
    <t>fdbpbb</t>
  </si>
  <si>
    <t>zzjzzzzzzzzzzzfrz</t>
  </si>
  <si>
    <t>zdnmmnfhdc</t>
  </si>
  <si>
    <t>hhdzxhhhh</t>
  </si>
  <si>
    <t>vvvvnv</t>
  </si>
  <si>
    <t>lpbxtppfbphhr</t>
  </si>
  <si>
    <t>gmtbnlpsphppvfppp</t>
  </si>
  <si>
    <t>rlrcrqrrrrrr</t>
  </si>
  <si>
    <t>gffffqvfffrkffb</t>
  </si>
  <si>
    <t>lkswkhhqxpfjkrvqbkjs</t>
  </si>
  <si>
    <t>fshrhhh</t>
  </si>
  <si>
    <t>lplllllmv</t>
  </si>
  <si>
    <t>jjjnjjjxpdjjqjpj</t>
  </si>
  <si>
    <t>phppf</t>
  </si>
  <si>
    <t>jmbbbsxrqhht</t>
  </si>
  <si>
    <t>lpzcvmmblzcvctjvvvj</t>
  </si>
  <si>
    <t>mszzdwzzntzxzzzv</t>
  </si>
  <si>
    <t>wwfjw</t>
  </si>
  <si>
    <t>cscccccgscccccw</t>
  </si>
  <si>
    <t>xxxxxjxxxxxxxxxx</t>
  </si>
  <si>
    <t>hjhhhhhhhhhhhhm</t>
  </si>
  <si>
    <t>lllllllllllbl</t>
  </si>
  <si>
    <t>jjjjjjrj</t>
  </si>
  <si>
    <t>fwwshrkqprlcfwrnnhws</t>
  </si>
  <si>
    <t>wwwwwwqwwwwwwfwk</t>
  </si>
  <si>
    <t>ggwgxgggggngg</t>
  </si>
  <si>
    <t>hhhhhhhhlhh</t>
  </si>
  <si>
    <t>rrrxrrhxrjtrr</t>
  </si>
  <si>
    <t>nngknxnrnn</t>
  </si>
  <si>
    <t>tdptttkvtttst</t>
  </si>
  <si>
    <t>dbggxcbvhdvbgg</t>
  </si>
  <si>
    <t>bnnnxgqsmqd</t>
  </si>
  <si>
    <t>fffdppf</t>
  </si>
  <si>
    <t>nnknnldnfpndnnz</t>
  </si>
  <si>
    <t>jvjjjjjjjjjjjjjjrk</t>
  </si>
  <si>
    <t>nffnfffcf</t>
  </si>
  <si>
    <t>pcppqvp</t>
  </si>
  <si>
    <t>chccmcczcsbccqhbkccc</t>
  </si>
  <si>
    <t>ftjtvbjtftcjxdf</t>
  </si>
  <si>
    <t>bgdnrdrfpd</t>
  </si>
  <si>
    <t>mmmmmm</t>
  </si>
  <si>
    <t>vvjvvvvvvvvl</t>
  </si>
  <si>
    <t>vvvvvvvvbvq</t>
  </si>
  <si>
    <t>kncrkgzrchvr</t>
  </si>
  <si>
    <t>vvgsxvztvvkvvvvbsv</t>
  </si>
  <si>
    <t>mwhtvfvvvvtvbpvvhvv</t>
  </si>
  <si>
    <t>bfrmbflfk</t>
  </si>
  <si>
    <t>wvvzvvhsvdvvmvvvvvh</t>
  </si>
  <si>
    <t>hhmhhhhvhsz</t>
  </si>
  <si>
    <t>fbfffffkg</t>
  </si>
  <si>
    <t>zzqzq</t>
  </si>
  <si>
    <t>zdcfbdss</t>
  </si>
  <si>
    <t>dzdnhldbpd</t>
  </si>
  <si>
    <t>fphphksskqkkz</t>
  </si>
  <si>
    <t>ndhgh</t>
  </si>
  <si>
    <t>pkpmgp</t>
  </si>
  <si>
    <t>brpwrmrfrtvfrqldrnhm</t>
  </si>
  <si>
    <t>wtkqq</t>
  </si>
  <si>
    <t>9-19</t>
  </si>
  <si>
    <t>bbbbbbbblbbbbbbbbbbb</t>
  </si>
  <si>
    <t>ssssttgs</t>
  </si>
  <si>
    <t>wwwkwwwmwwwcw</t>
  </si>
  <si>
    <t>sszjsslsslnss</t>
  </si>
  <si>
    <t>bvkvvvvbvvcpnmv</t>
  </si>
  <si>
    <t>qlhcjdtqjjb</t>
  </si>
  <si>
    <t>kqgkqnmwdqcxqnnqq</t>
  </si>
  <si>
    <t>fffffffftfffff</t>
  </si>
  <si>
    <t>kkkkkkkkkkk</t>
  </si>
  <si>
    <t>hrrlfrr</t>
  </si>
  <si>
    <t>sgsss</t>
  </si>
  <si>
    <t>qxqx</t>
  </si>
  <si>
    <t>cppdxmdrfmkptslj</t>
  </si>
  <si>
    <t>jjjjjjwjjjjtjjjjj</t>
  </si>
  <si>
    <t>ccpc</t>
  </si>
  <si>
    <t>bzbbh</t>
  </si>
  <si>
    <t>mdmzm</t>
  </si>
  <si>
    <t>nnnnn</t>
  </si>
  <si>
    <t>bbbbbbbbbbbbbbkbb</t>
  </si>
  <si>
    <t>htjbckfxbpffl</t>
  </si>
  <si>
    <t>kkhxxmwpvkfkkhvv</t>
  </si>
  <si>
    <t>ppxppppwmzpp</t>
  </si>
  <si>
    <t>kkkkkqk</t>
  </si>
  <si>
    <t>mmmmmmmmmjmt</t>
  </si>
  <si>
    <t>qcqrqcxsnqxqq</t>
  </si>
  <si>
    <t>jfdzzhzznzzzzzdfzcm</t>
  </si>
  <si>
    <t>cwcqf</t>
  </si>
  <si>
    <t>ppppr</t>
  </si>
  <si>
    <t>rrrnrrrrrrrnr</t>
  </si>
  <si>
    <t>wjfjj</t>
  </si>
  <si>
    <t>wbscpkz</t>
  </si>
  <si>
    <t>fffflfwff</t>
  </si>
  <si>
    <t>xxxdxt</t>
  </si>
  <si>
    <t>sfnw</t>
  </si>
  <si>
    <t>nnnnm</t>
  </si>
  <si>
    <t>rwwqntw</t>
  </si>
  <si>
    <t>dnnnqpn</t>
  </si>
  <si>
    <t>mmmfmmmhmmmmmmm</t>
  </si>
  <si>
    <t>4-17</t>
  </si>
  <si>
    <t>nnnwnnqzndwbnnnnpnnn</t>
  </si>
  <si>
    <t>rqswdxxz</t>
  </si>
  <si>
    <t>wshxxxcsxvx</t>
  </si>
  <si>
    <t>mmmmmmpms</t>
  </si>
  <si>
    <t>fmjmjfbqqpbtnbhmwns</t>
  </si>
  <si>
    <t>jtmswbmwlqpnwrsnt</t>
  </si>
  <si>
    <t>rrrrrrrrrrbprn</t>
  </si>
  <si>
    <t>vvvvvvv</t>
  </si>
  <si>
    <t>drhxhbvnrqldgf</t>
  </si>
  <si>
    <t>16-20</t>
  </si>
  <si>
    <t>hrvxjqxxxxwfkpzjxtxx</t>
  </si>
  <si>
    <t>bbth</t>
  </si>
  <si>
    <t>ttpjhlqnkk</t>
  </si>
  <si>
    <t>wwwkwwwdnwvlw</t>
  </si>
  <si>
    <t>ffjx</t>
  </si>
  <si>
    <t>zvmd</t>
  </si>
  <si>
    <t>vngptsmhplptp</t>
  </si>
  <si>
    <t>xfrccqbcsxcrtfvwg</t>
  </si>
  <si>
    <t>rrrrjprrrz</t>
  </si>
  <si>
    <t>tttttttttttttttt</t>
  </si>
  <si>
    <t>dbxjvjwwsbghhts</t>
  </si>
  <si>
    <t>jjjjl</t>
  </si>
  <si>
    <t>tbbbbnbgbrwmcxkh</t>
  </si>
  <si>
    <t>sgggggsgggggggggggk</t>
  </si>
  <si>
    <t>wwwwwwwww</t>
  </si>
  <si>
    <t>wkqhxkkkkkkkmkpd</t>
  </si>
  <si>
    <t>wbwhwwsg</t>
  </si>
  <si>
    <t>nrrrhskwm</t>
  </si>
  <si>
    <t>fffnmqfflgffzsjmm</t>
  </si>
  <si>
    <t>dznkvhtztwnjf</t>
  </si>
  <si>
    <t>zbdddvdddddd</t>
  </si>
  <si>
    <t>jjjjjjzjjjjjjjjjjjjj</t>
  </si>
  <si>
    <t>qqkk</t>
  </si>
  <si>
    <t>lllllllllllllldl</t>
  </si>
  <si>
    <t>jjtjjjjjj</t>
  </si>
  <si>
    <t>kkknbkkvqbkjgkrkvkkk</t>
  </si>
  <si>
    <t>rwvqbx</t>
  </si>
  <si>
    <t>xxxxwxsxxxvxxxxmxxm</t>
  </si>
  <si>
    <t>zhmnsnmlmgzxdwnhlcbk</t>
  </si>
  <si>
    <t>1-17</t>
  </si>
  <si>
    <t>xpxpmxrgxmjxxxxxcxx</t>
  </si>
  <si>
    <t>bqnhbbsbbwbb</t>
  </si>
  <si>
    <t>ggtggggdg</t>
  </si>
  <si>
    <t>mrszmmmmcmgmm</t>
  </si>
  <si>
    <t>ljvjgjgjhjjp</t>
  </si>
  <si>
    <t>zzdzzzwzhzgzzg</t>
  </si>
  <si>
    <t>kkkkk</t>
  </si>
  <si>
    <t>szzzzzpzgqzmpcctpc</t>
  </si>
  <si>
    <t>qghxqqxqqdfhqbt</t>
  </si>
  <si>
    <t>wwwwwww</t>
  </si>
  <si>
    <t>wwwbxswwwnwn</t>
  </si>
  <si>
    <t>nnnnnngnnjnnw</t>
  </si>
  <si>
    <t>fhnscjmmkxplmgnslfz</t>
  </si>
  <si>
    <t>nptcxvppp</t>
  </si>
  <si>
    <t>lxlxvxxxhr</t>
  </si>
  <si>
    <t>fwgrkggrggkggkggj</t>
  </si>
  <si>
    <t>ljgjjnjjjsw</t>
  </si>
  <si>
    <t>mmmmmmkmmmmmmrv</t>
  </si>
  <si>
    <t>trqtc</t>
  </si>
  <si>
    <t>sqtssss</t>
  </si>
  <si>
    <t>vvvvvwj</t>
  </si>
  <si>
    <t>sqwxkvwwwdfwhswww</t>
  </si>
  <si>
    <t>mmmnpmmmmmmmtmm</t>
  </si>
  <si>
    <t>hhhhhgqhlzkhqhhvhhhs</t>
  </si>
  <si>
    <t>fffwbfvfwff</t>
  </si>
  <si>
    <t>ssstfzsssns</t>
  </si>
  <si>
    <t>cvpfpp</t>
  </si>
  <si>
    <t>bblpbzb</t>
  </si>
  <si>
    <t>qlppjglsdpfldmlg</t>
  </si>
  <si>
    <t>hkshhbrrjrnhbhlrmh</t>
  </si>
  <si>
    <t>bbwlbwzbmb</t>
  </si>
  <si>
    <t>txlddjgdd</t>
  </si>
  <si>
    <t>kkkkkkzknkdkk</t>
  </si>
  <si>
    <t>qqdqgqqsvqqmcqnqqqr</t>
  </si>
  <si>
    <t>llpllllzflnnltlzkt</t>
  </si>
  <si>
    <t>hhhphhhghphhh</t>
  </si>
  <si>
    <t>rrmrrdrr</t>
  </si>
  <si>
    <t>6-16</t>
  </si>
  <si>
    <t>kcrdvqntdxckjxsqksxg</t>
  </si>
  <si>
    <t>grfdddffz</t>
  </si>
  <si>
    <t>mmmhmmmmmmm</t>
  </si>
  <si>
    <t>llllljlgllxlw</t>
  </si>
  <si>
    <t>hhhhhhhhxzshhhhhhhhh</t>
  </si>
  <si>
    <t>fmqsdsrsnspsslc</t>
  </si>
  <si>
    <t>khrhbhvhhkmh</t>
  </si>
  <si>
    <t>2-13</t>
  </si>
  <si>
    <t>srhvjgsgvhqfrhrfhp</t>
  </si>
  <si>
    <t>shssss</t>
  </si>
  <si>
    <t>rrrcvnrrtr</t>
  </si>
  <si>
    <t>ppppxpp</t>
  </si>
  <si>
    <t>nxrnxrd</t>
  </si>
  <si>
    <t>gqghqqzflmj</t>
  </si>
  <si>
    <t>rztsjmwcrrdd</t>
  </si>
  <si>
    <t>rsbbnrnlwbgb</t>
  </si>
  <si>
    <t>qggggggcgbggg</t>
  </si>
  <si>
    <t>qqqpqqqlqqdqh</t>
  </si>
  <si>
    <t>tzzzzzvfsz</t>
  </si>
  <si>
    <t>smqxzshssmkncscssg</t>
  </si>
  <si>
    <t>grlbfrfcjfffgpf</t>
  </si>
  <si>
    <t>crrrrrr</t>
  </si>
  <si>
    <t>vvsvvvvvvvvvb</t>
  </si>
  <si>
    <t>hhhhhzqh</t>
  </si>
  <si>
    <t>btdgdbbb</t>
  </si>
  <si>
    <t>lxdx</t>
  </si>
  <si>
    <t>gpdppwpppppppp</t>
  </si>
  <si>
    <t>wjwvwrwwswwwwr</t>
  </si>
  <si>
    <t>npppppprpppp</t>
  </si>
  <si>
    <t>xxxxxxxxxxxxxxwsxxx</t>
  </si>
  <si>
    <t>mmmmmmtj</t>
  </si>
  <si>
    <t>lbbbb</t>
  </si>
  <si>
    <t>nnnmnnnzxnfnnnqn</t>
  </si>
  <si>
    <t>jqqqqpqqqqdqqq</t>
  </si>
  <si>
    <t>xxxxxxxxxxxxxxxxxxx</t>
  </si>
  <si>
    <t>nnnnfdnz</t>
  </si>
  <si>
    <t>plpppppp</t>
  </si>
  <si>
    <t>hctttzktntt</t>
  </si>
  <si>
    <t>zjzgbz</t>
  </si>
  <si>
    <t>mkkskqknklk</t>
  </si>
  <si>
    <t>llhlllpl</t>
  </si>
  <si>
    <t>2-11</t>
  </si>
  <si>
    <t>cwcccjcccpcccvcccmck</t>
  </si>
  <si>
    <t>nvlvlxxlllhlctllglll</t>
  </si>
  <si>
    <t>nnnnnnnrnnnn</t>
  </si>
  <si>
    <t>zzzfzlkz</t>
  </si>
  <si>
    <t>wmqq</t>
  </si>
  <si>
    <t>hhhhh</t>
  </si>
  <si>
    <t>jkwlwjhj</t>
  </si>
  <si>
    <t>mmmzmmbmmmmmfwms</t>
  </si>
  <si>
    <t>mkfhkgkjdj</t>
  </si>
  <si>
    <t>15-19</t>
  </si>
  <si>
    <t>nnnnnnmnnnvnnxnnnnv</t>
  </si>
  <si>
    <t>ltlllljlllpclllltll</t>
  </si>
  <si>
    <t>twkgzhpcq</t>
  </si>
  <si>
    <t>rsrcwkdcsks</t>
  </si>
  <si>
    <t>ggggdggggggj</t>
  </si>
  <si>
    <t>tzvbtbnbjjsppczf</t>
  </si>
  <si>
    <t>qzrzqjqqxzqqh</t>
  </si>
  <si>
    <t>dkdsxxxdkdd</t>
  </si>
  <si>
    <t>gllfglslrlvllglzlll</t>
  </si>
  <si>
    <t>rrcbrr</t>
  </si>
  <si>
    <t>vcdgc</t>
  </si>
  <si>
    <t>zzzzxfnz</t>
  </si>
  <si>
    <t>tcjkmm</t>
  </si>
  <si>
    <t>vvvpvr</t>
  </si>
  <si>
    <t>wwmwww</t>
  </si>
  <si>
    <t>wsjttdvqttttdrtttt</t>
  </si>
  <si>
    <t>mhfxhxvjgvf</t>
  </si>
  <si>
    <t>wwwwswwdww</t>
  </si>
  <si>
    <t>pcfhnkpnnsnw</t>
  </si>
  <si>
    <t>gslllllxllqlnllbdf</t>
  </si>
  <si>
    <t>nmlmmmmkv</t>
  </si>
  <si>
    <t>xwwwwwwdww</t>
  </si>
  <si>
    <t>nsshbsscnssj</t>
  </si>
  <si>
    <t>ffffffffflj</t>
  </si>
  <si>
    <t>gwvjvvhzfvnzvqwcqv</t>
  </si>
  <si>
    <t>shbpbbbnmdjgmd</t>
  </si>
  <si>
    <t>bbbkbpzlhjbjxlbr</t>
  </si>
  <si>
    <t>nnnnnnnzrnnnzhnnxzn</t>
  </si>
  <si>
    <t>ctcccc</t>
  </si>
  <si>
    <t>pppppp</t>
  </si>
  <si>
    <t>dggg</t>
  </si>
  <si>
    <t>jpppx</t>
  </si>
  <si>
    <t>ppppptp</t>
  </si>
  <si>
    <t>stsnsjpsss</t>
  </si>
  <si>
    <t>cxxdgxhmxfdxxxqtz</t>
  </si>
  <si>
    <t>lljblhnllrmlpllhlls</t>
  </si>
  <si>
    <t>ppmnmwmmn</t>
  </si>
  <si>
    <t>gsssqsssssssslsrjss</t>
  </si>
  <si>
    <t>kkkkkkkkkkkq</t>
  </si>
  <si>
    <t>ddddddddnjs</t>
  </si>
  <si>
    <t>dgmd</t>
  </si>
  <si>
    <t>1-18</t>
  </si>
  <si>
    <t>kjjkkkkrkdkkqvkkwdkk</t>
  </si>
  <si>
    <t>dhdvqwdbg</t>
  </si>
  <si>
    <t>vsccrzszmz</t>
  </si>
  <si>
    <t>rrrfrxrzrrrqrwxrrrr</t>
  </si>
  <si>
    <t>zhzczhbxphhdzzzmtj</t>
  </si>
  <si>
    <t>wbwwwwwwwzqwwwww</t>
  </si>
  <si>
    <t>kpwqqljsqdcfwc</t>
  </si>
  <si>
    <t>lmbzgggggggzkzg</t>
  </si>
  <si>
    <t>qqqqqqcw</t>
  </si>
  <si>
    <t>zqffftffvfjffckffg</t>
  </si>
  <si>
    <t>dsssshssssss</t>
  </si>
  <si>
    <t>njqmrkblsbmlxqn</t>
  </si>
  <si>
    <t>8-19</t>
  </si>
  <si>
    <t>jsjjjjjjjjjjjjjjjjc</t>
  </si>
  <si>
    <t>mrmxswfhkwmwwl</t>
  </si>
  <si>
    <t>xxxx</t>
  </si>
  <si>
    <t>hhhhhhhhhhhx</t>
  </si>
  <si>
    <t>kkkkkkvkkkkqkkkkk</t>
  </si>
  <si>
    <t>zzxzznz</t>
  </si>
  <si>
    <t>lllllllklllllfll</t>
  </si>
  <si>
    <t>cccccccccdcccwt</t>
  </si>
  <si>
    <t>szsssssgspss</t>
  </si>
  <si>
    <t>npct</t>
  </si>
  <si>
    <t>xmxqbpbxxxxxxxsjxt</t>
  </si>
  <si>
    <t>3-12</t>
  </si>
  <si>
    <t>xpfkkkmkmkjwk</t>
  </si>
  <si>
    <t>qmqqqqqqqq</t>
  </si>
  <si>
    <t>xxxxxxwxldxgxxx</t>
  </si>
  <si>
    <t>vvvvvvvvvvvvvvx</t>
  </si>
  <si>
    <t>rrrrrdrrrrcrrvr</t>
  </si>
  <si>
    <t>rvzxtdkvsnhv</t>
  </si>
  <si>
    <t>jnjjclj</t>
  </si>
  <si>
    <t>ccccccccc</t>
  </si>
  <si>
    <t>ttfjvztrtht</t>
  </si>
  <si>
    <t>ffgfbfffffbffgfff</t>
  </si>
  <si>
    <t>zzzzgzzzpzvlmclnzzz</t>
  </si>
  <si>
    <t>kkxwshnkwfkdwws</t>
  </si>
  <si>
    <t>sskb</t>
  </si>
  <si>
    <t>ggggggggggggggggs</t>
  </si>
  <si>
    <t>rrrrrrrrrxrrrrr</t>
  </si>
  <si>
    <t>jzwwlldlhzllmljlclw</t>
  </si>
  <si>
    <t>zcwxxmfwlbvnsmcnzbm</t>
  </si>
  <si>
    <t>lplblnqpdllwmllttm</t>
  </si>
  <si>
    <t>bmbrzkjhqvzlmkttpp</t>
  </si>
  <si>
    <t>dwrkbstbbzwqkckvj</t>
  </si>
  <si>
    <t>txxxxxbgxx</t>
  </si>
  <si>
    <t>xxxxlbvxq</t>
  </si>
  <si>
    <t>kkkkkkbkkks</t>
  </si>
  <si>
    <t>bxptpp</t>
  </si>
  <si>
    <t>fndtmzrmlqh</t>
  </si>
  <si>
    <t>tmfjqlghfzbgwt</t>
  </si>
  <si>
    <t>zxzzzzfxzlmzz</t>
  </si>
  <si>
    <t>mmnjmmmmmmkmmqm</t>
  </si>
  <si>
    <t>zzrmzz</t>
  </si>
  <si>
    <t>btcq</t>
  </si>
  <si>
    <t>rdrrmrr</t>
  </si>
  <si>
    <t>hmssgxvqxcqpv</t>
  </si>
  <si>
    <t>ssgpdqssps</t>
  </si>
  <si>
    <t>zzzzzbzzczzqh</t>
  </si>
  <si>
    <t>xmnmnrxnnntn</t>
  </si>
  <si>
    <t>nnnnnnnnnc</t>
  </si>
  <si>
    <t>tgrjtr</t>
  </si>
  <si>
    <t>ddddddd</t>
  </si>
  <si>
    <t>pnnhnsnnnnnn</t>
  </si>
  <si>
    <t>zkccckqc</t>
  </si>
  <si>
    <t>srtggggmggjfxgggzxm</t>
  </si>
  <si>
    <t>clcc</t>
  </si>
  <si>
    <t>vxwwwcw</t>
  </si>
  <si>
    <t>rrdlrrdmrrrrvtrl</t>
  </si>
  <si>
    <t>qgfbgpqnnmmsfjz</t>
  </si>
  <si>
    <t>bbvbpxbbztbbbqbbgtk</t>
  </si>
  <si>
    <t>lllllmlllfllll</t>
  </si>
  <si>
    <t>vlnl</t>
  </si>
  <si>
    <t>wszsqncnntnm</t>
  </si>
  <si>
    <t>cmzmmmmmmvsq</t>
  </si>
  <si>
    <t>kjjjdvjx</t>
  </si>
  <si>
    <t>hhhfhhhhhg</t>
  </si>
  <si>
    <t>bbbc</t>
  </si>
  <si>
    <t>rnrrrrrrrrr</t>
  </si>
  <si>
    <t>mwmkm</t>
  </si>
  <si>
    <t>hldfhhhwh</t>
  </si>
  <si>
    <t>hhmh</t>
  </si>
  <si>
    <t>vwcccpcznqcqxvjw</t>
  </si>
  <si>
    <t>pptppfppkpqqpp</t>
  </si>
  <si>
    <t>rrrrrrrrrrrrrrrrb</t>
  </si>
  <si>
    <t>jqdzzpqbqklqg</t>
  </si>
  <si>
    <t>bccdccccqccx</t>
  </si>
  <si>
    <t>4-20</t>
  </si>
  <si>
    <t>sssxsxksssssstnntsqs</t>
  </si>
  <si>
    <t>gvcq</t>
  </si>
  <si>
    <t>ccscjccccccqzc</t>
  </si>
  <si>
    <t>xxxxxxxxxbxxjx</t>
  </si>
  <si>
    <t>cphhbhh</t>
  </si>
  <si>
    <t>vhfv</t>
  </si>
  <si>
    <t>zrqmcfrvsrfrrvmr</t>
  </si>
  <si>
    <t>zrdtblbbb</t>
  </si>
  <si>
    <t>qssqqxqqcqqgkzbq</t>
  </si>
  <si>
    <t>tmmmmmmmmmmmj</t>
  </si>
  <si>
    <t>mmcfxtk</t>
  </si>
  <si>
    <t>PosDash</t>
  </si>
  <si>
    <t>Int1</t>
  </si>
  <si>
    <t>Int2</t>
  </si>
  <si>
    <t>Char</t>
  </si>
  <si>
    <t>CountOfChar</t>
  </si>
  <si>
    <t>IsValid</t>
  </si>
  <si>
    <t>Pos1Valid</t>
  </si>
  <si>
    <t>Pos1</t>
  </si>
  <si>
    <t>Pos2</t>
  </si>
  <si>
    <t>Pos2Valid</t>
  </si>
  <si>
    <t>Password</t>
  </si>
  <si>
    <t>InputNumbers</t>
  </si>
  <si>
    <t>InputChar</t>
  </si>
  <si>
    <t>OnePosValid</t>
  </si>
  <si>
    <t>........#....#..##..#...#.....#</t>
  </si>
  <si>
    <t>...............#....##........#</t>
  </si>
  <si>
    <t>.#....##...##..#...............</t>
  </si>
  <si>
    <t>.#.......#......#.##..##...#...</t>
  </si>
  <si>
    <t>.....#.#....#..##...#.....#....</t>
  </si>
  <si>
    <t>...#.#..##...###......#..#..#.#</t>
  </si>
  <si>
    <t>.....#..##........#.##......#..</t>
  </si>
  <si>
    <t>..##.....###.........##........</t>
  </si>
  <si>
    <t>..............##..#.#.#.#......</t>
  </si>
  <si>
    <t>.#....##..#.##.#....#..#.#..#..</t>
  </si>
  <si>
    <t>.#.#....#.##.#...#....#.....#..</t>
  </si>
  <si>
    <t>..#...#.#.....#....#.......##..</t>
  </si>
  <si>
    <t>.#.#..##.....#...........#.....</t>
  </si>
  <si>
    <t>.#.##...#.....#......#.##......</t>
  </si>
  <si>
    <t>..#..#..........#.....#..###.#.</t>
  </si>
  <si>
    <t>##....##....#.#...........#..#.</t>
  </si>
  <si>
    <t>.....#.#.......#.#.#..#.##....#</t>
  </si>
  <si>
    <t>...##.#....#..#.....#.........#</t>
  </si>
  <si>
    <t>.....#........#.##...#.........</t>
  </si>
  <si>
    <t>.....#................#.#...#..</t>
  </si>
  <si>
    <t>...#....##.....##....#.......#.</t>
  </si>
  <si>
    <t>....##.#.....#.#.......#.......</t>
  </si>
  <si>
    <t>#...............#..#...........</t>
  </si>
  <si>
    <t>.......###.#.......#.##....#.#.</t>
  </si>
  <si>
    <t>..#........###........#......#.</t>
  </si>
  <si>
    <t>.#.......#...##.....####....##.</t>
  </si>
  <si>
    <t>..##.#....#.....#..#....#......</t>
  </si>
  <si>
    <t>..#...#..#.#..##...#.....#.....</t>
  </si>
  <si>
    <t>.#.......###.......#....#......</t>
  </si>
  <si>
    <t>...#...#.......#........#...#.#</t>
  </si>
  <si>
    <t>..#....#...#.......#.#..##.....</t>
  </si>
  <si>
    <t>##............#.#..#..........#</t>
  </si>
  <si>
    <t>.......###...##..#.....#....#..</t>
  </si>
  <si>
    <t>##..######.#..#.......###....##</t>
  </si>
  <si>
    <t>###..#...#.##......##....#...#.</t>
  </si>
  <si>
    <t>..............##.###..........#</t>
  </si>
  <si>
    <t>.....#........##.#.###....#....</t>
  </si>
  <si>
    <t>..#...#.....##.#......#.#..#.#.</t>
  </si>
  <si>
    <t>#....#.............#.#.........</t>
  </si>
  <si>
    <t>.........##.#........#...#.....</t>
  </si>
  <si>
    <t>..........#..##.#.#.....#..##..</t>
  </si>
  <si>
    <t>........##......#..#..#...#.#..</t>
  </si>
  <si>
    <t>.##.......#..#.#...#.####..#...</t>
  </si>
  <si>
    <t>##...#........#.###...##....#..</t>
  </si>
  <si>
    <t>....###.####...#..#..#......###</t>
  </si>
  <si>
    <t>#....#....#.#.....##.........#.</t>
  </si>
  <si>
    <t>#.......#....#....##...........</t>
  </si>
  <si>
    <t>##...##.#.......#....#...#....#</t>
  </si>
  <si>
    <t>....#....#........##..#.#..#.#.</t>
  </si>
  <si>
    <t>..##.....##...#..........#...#.</t>
  </si>
  <si>
    <t>.#.#.#...#.....##..#........#..</t>
  </si>
  <si>
    <t>#....#.....#..........#....#...</t>
  </si>
  <si>
    <t>...##.#.......#.#.........#....</t>
  </si>
  <si>
    <t>##.##.........##.....##.....##.</t>
  </si>
  <si>
    <t>##.#..##..#...##........##.....</t>
  </si>
  <si>
    <t>.........##.......#....#...#...</t>
  </si>
  <si>
    <t>.#.....#........####.#.#.....#.</t>
  </si>
  <si>
    <t>...........##..#.###...........</t>
  </si>
  <si>
    <t>..#....##....#...#.............</t>
  </si>
  <si>
    <t>#.#............#.......#.......</t>
  </si>
  <si>
    <t>.##........#...#..##.....#.#...</t>
  </si>
  <si>
    <t>#.##..............##..##.......</t>
  </si>
  <si>
    <t>##.........#......#......#..#..</t>
  </si>
  <si>
    <t>##.#....#...#....##....#..#.##.</t>
  </si>
  <si>
    <t>......#...#..#.#...#.#....#.##.</t>
  </si>
  <si>
    <t>##.......#.....#.........#.....</t>
  </si>
  <si>
    <t>...##...#................#.#...</t>
  </si>
  <si>
    <t>....#.####...#.#.....##....##.#</t>
  </si>
  <si>
    <t>#...#..#.#.##................##</t>
  </si>
  <si>
    <t>.........##.....##...#..#......</t>
  </si>
  <si>
    <t>......####....#.##.#.....#.....</t>
  </si>
  <si>
    <t>...#..#.#....#.#.#..#..........</t>
  </si>
  <si>
    <t>.....#........##...#.##....#.#.</t>
  </si>
  <si>
    <t>..##......#...................#</t>
  </si>
  <si>
    <t>.....#..#...............#..#...</t>
  </si>
  <si>
    <t>....#........#..#.#...##...#.##</t>
  </si>
  <si>
    <t>..#.#.......#.##.........#...#.</t>
  </si>
  <si>
    <t>...##......#.#.................</t>
  </si>
  <si>
    <t>.#....#...#.............##.#...</t>
  </si>
  <si>
    <t>........#.##...#..#...###.....#</t>
  </si>
  <si>
    <t>#....#.#........##....#......##</t>
  </si>
  <si>
    <t>.###.......#..#..........#..#..</t>
  </si>
  <si>
    <t>#....#..#....#........#...#...#</t>
  </si>
  <si>
    <t>##.#.###.##.#...##.#......#.#.#</t>
  </si>
  <si>
    <t>#..#..#..##........#..###.#...#</t>
  </si>
  <si>
    <t>....#..#..#.....#...##....#...#</t>
  </si>
  <si>
    <t>.......##.......#..#.##...##..#</t>
  </si>
  <si>
    <t>.##....#..###................##</t>
  </si>
  <si>
    <t>#...#.##.##...#.##......##.....</t>
  </si>
  <si>
    <t>...##.....##..##...#..#........</t>
  </si>
  <si>
    <t>...............##.....##.......</t>
  </si>
  <si>
    <t>.#..#.#..#....#.....#..#...#...</t>
  </si>
  <si>
    <t>.#....#..#........#.#...#.....#</t>
  </si>
  <si>
    <t>##.....####..#......#..........</t>
  </si>
  <si>
    <t>........#.........#.........#..</t>
  </si>
  <si>
    <t>#...####....#.##...#....#...##.</t>
  </si>
  <si>
    <t>.#....####..#...##..#......####</t>
  </si>
  <si>
    <t>...........##.##..#.##...##....</t>
  </si>
  <si>
    <t>..#..#.......#.##....#.#...#.##</t>
  </si>
  <si>
    <t>#...........#..#...............</t>
  </si>
  <si>
    <t>.......#.##..#.....##......#...</t>
  </si>
  <si>
    <t>....##.#.##.....#...........#.#</t>
  </si>
  <si>
    <t>.............#.##..#...#......#</t>
  </si>
  <si>
    <t>#......#...........#........#..</t>
  </si>
  <si>
    <t>#.#..#.............#...#.......</t>
  </si>
  <si>
    <t>#.........##...#....#...##.....</t>
  </si>
  <si>
    <t>##...#..#..#..#....#...........</t>
  </si>
  <si>
    <t>.#.....#........#.....#.##..#.#</t>
  </si>
  <si>
    <t>...#..............##.####.#..#.</t>
  </si>
  <si>
    <t>##.....#..#.#..#..##...........</t>
  </si>
  <si>
    <t>...#...#.......#...............</t>
  </si>
  <si>
    <t>..#..................###..#..##</t>
  </si>
  <si>
    <t>....###..........#.#..#...#.#.#</t>
  </si>
  <si>
    <t>..#..#..#.#..........#.#......#</t>
  </si>
  <si>
    <t>....#....#.#...#.###...##..#...</t>
  </si>
  <si>
    <t>....#.......#...#....##........</t>
  </si>
  <si>
    <t>.#.....#.......###....#........</t>
  </si>
  <si>
    <t>....#..#..#.....#......#.......</t>
  </si>
  <si>
    <t>......#...#..#....#.#.......#..</t>
  </si>
  <si>
    <t>.##.#..#...#.#.#...........#...</t>
  </si>
  <si>
    <t>..#....##.#....#.#....#...#.#.#</t>
  </si>
  <si>
    <t>...##..#.......#....#.#.....##.</t>
  </si>
  <si>
    <t>##.#......#.#.......##...#.....</t>
  </si>
  <si>
    <t>......#...#.##..............#..</t>
  </si>
  <si>
    <t>.##.........#......##.#..#....#</t>
  </si>
  <si>
    <t>#.......#.....#...##...#..#...#</t>
  </si>
  <si>
    <t>..#..##.......#......#......##.</t>
  </si>
  <si>
    <t>#..##...###.#.#...........#....</t>
  </si>
  <si>
    <t>##......#.....####..#..#....#.#</t>
  </si>
  <si>
    <t>.......##...##.#...#...........</t>
  </si>
  <si>
    <t>....#..#.##.#.....#.#....#.#...</t>
  </si>
  <si>
    <t>....#.....#.....####...#..#.##.</t>
  </si>
  <si>
    <t>.##..#..#..###...#....#.##.#.#.</t>
  </si>
  <si>
    <t>..#.#.##..........##...........</t>
  </si>
  <si>
    <t>#.##.#.#....#.##....#..#...##.#</t>
  </si>
  <si>
    <t>#...#....#...###....#.......#..</t>
  </si>
  <si>
    <t>.......#..#............#.......</t>
  </si>
  <si>
    <t>................##.#.#.....#..#</t>
  </si>
  <si>
    <t>..........................#....</t>
  </si>
  <si>
    <t>.##....##...#.#....####..#....#</t>
  </si>
  <si>
    <t>......#...#....#...#.##..###.#.</t>
  </si>
  <si>
    <t>.........#............#.......#</t>
  </si>
  <si>
    <t>.#.#..#........#..#.........#..</t>
  </si>
  <si>
    <t>#..#...#......#.#....#..#.#....</t>
  </si>
  <si>
    <t>...........#.................#.</t>
  </si>
  <si>
    <t>.#.#..#...##..###......##....##</t>
  </si>
  <si>
    <t>.#.#.##......####.........##...</t>
  </si>
  <si>
    <t>..#....#.#..#................#.</t>
  </si>
  <si>
    <t>##.......#....#.........##.#.#.</t>
  </si>
  <si>
    <t>##..#.###...........#..#.#..#.#</t>
  </si>
  <si>
    <t>...#............##.#....#......</t>
  </si>
  <si>
    <t>...#................##.#..#....</t>
  </si>
  <si>
    <t>....#..##.#...#.#.....#.......#</t>
  </si>
  <si>
    <t>......#......#.#........#..##..</t>
  </si>
  <si>
    <t>...##...#.....#.##.......#.....</t>
  </si>
  <si>
    <t>##...#...#.............#..#....</t>
  </si>
  <si>
    <t>..#...##.....#..........#..#.##</t>
  </si>
  <si>
    <t>#.##...#..................#.###</t>
  </si>
  <si>
    <t>.........#..........#.###...#.#</t>
  </si>
  <si>
    <t>#..#.....#.#.#....#......#...#.</t>
  </si>
  <si>
    <t>.............#.##..###.....#.##</t>
  </si>
  <si>
    <t>..#..#.....#..#.............#..</t>
  </si>
  <si>
    <t>.#.....##.#.#..#.........#.....</t>
  </si>
  <si>
    <t>..#.......#....#.....##.#......</t>
  </si>
  <si>
    <t>.#.........#..#....##...#.##...</t>
  </si>
  <si>
    <t>.##..##................###....#</t>
  </si>
  <si>
    <t>.#..##..............#...#......</t>
  </si>
  <si>
    <t>.#..............#.##....##.....</t>
  </si>
  <si>
    <t>.#......#..#..##..#...###.....#</t>
  </si>
  <si>
    <t>................##...#.#..#...#</t>
  </si>
  <si>
    <t>##.#.......#...................</t>
  </si>
  <si>
    <t>....#.#.......#..#.##..........</t>
  </si>
  <si>
    <t>....###............##...#......</t>
  </si>
  <si>
    <t>.......#....#.#.....##.#.....#.</t>
  </si>
  <si>
    <t>....#...............#.#........</t>
  </si>
  <si>
    <t>..#.##....#.#.#......##..#.....</t>
  </si>
  <si>
    <t>.##......#...#.#..#..#.......#.</t>
  </si>
  <si>
    <t>....#...#........#.#..##.......</t>
  </si>
  <si>
    <t>.##...###.#....#..........##..#</t>
  </si>
  <si>
    <t>..#.......##..#.....###......#.</t>
  </si>
  <si>
    <t>...#.#..##.#.#...........#.....</t>
  </si>
  <si>
    <t>##........#.#..##.........#..#.</t>
  </si>
  <si>
    <t>.....###.......#..#.#.....##.#.</t>
  </si>
  <si>
    <t>..#...##.#..............#......</t>
  </si>
  <si>
    <t>......#...#...............##.#.</t>
  </si>
  <si>
    <t>##...#..#....#...#.####.##.....</t>
  </si>
  <si>
    <t>...#............#.##...........</t>
  </si>
  <si>
    <t>...#........##.#.##.......#....</t>
  </si>
  <si>
    <t>...#..#..##....#...#......#..#.</t>
  </si>
  <si>
    <t>#.....#..#......#.#.....##.#.#.</t>
  </si>
  <si>
    <t>.....#.##......#...#..#..###..#</t>
  </si>
  <si>
    <t>...........##..##.#.#..........</t>
  </si>
  <si>
    <t>...#........##........##..##.#.</t>
  </si>
  <si>
    <t>......###...#.....#..###.#..#..</t>
  </si>
  <si>
    <t>#.....#.#....#...##....##.....#</t>
  </si>
  <si>
    <t>.##....#......#.....#.#..##.##.</t>
  </si>
  <si>
    <t>##....###.......#...##.......##</t>
  </si>
  <si>
    <t>...##......#....###............</t>
  </si>
  <si>
    <t>..#...#...#.#..#..........##.#.</t>
  </si>
  <si>
    <t>#.#.###...#..#.....#....#.###..</t>
  </si>
  <si>
    <t>..##.....#.#.#.......#.........</t>
  </si>
  <si>
    <t>...####..#....#..#.........#...</t>
  </si>
  <si>
    <t>.##...........#.##.#...#.#.##..</t>
  </si>
  <si>
    <t>...#.#....#.##......#........#.</t>
  </si>
  <si>
    <t>##....##....#..#...#..#.#......</t>
  </si>
  <si>
    <t>#......#..#...#...#.#.#.#.####.</t>
  </si>
  <si>
    <t>....##.#.#.....#.###........#..</t>
  </si>
  <si>
    <t>....##..#.#.#.#....#....#.#..#.</t>
  </si>
  <si>
    <t>..#.###..#............##..#.#..</t>
  </si>
  <si>
    <t>...#...#..#...#.#.#.....#.....#</t>
  </si>
  <si>
    <t>..........#.....#..#.......##.#</t>
  </si>
  <si>
    <t>..............##...........#...</t>
  </si>
  <si>
    <t>.......#.....#...#.....#.....#.</t>
  </si>
  <si>
    <t>.#.###.....##......##....#...#.</t>
  </si>
  <si>
    <t>.....#.........#.#....#........</t>
  </si>
  <si>
    <t>..#.#....#.##...#.##....##...#.</t>
  </si>
  <si>
    <t>...#......#.#.....#.......###..</t>
  </si>
  <si>
    <t>#.##....##.....#.#.#...#......#</t>
  </si>
  <si>
    <t>#..#...#..........#.........##.</t>
  </si>
  <si>
    <t>....#.#.#.#.....#...###........</t>
  </si>
  <si>
    <t>#.#..#...#......#...#.##...####</t>
  </si>
  <si>
    <t>.#...#......#....##...#........</t>
  </si>
  <si>
    <t>..#.........#............#...#.</t>
  </si>
  <si>
    <t>##......#..#...#....#.##....#..</t>
  </si>
  <si>
    <t>.#...##..#..##.#.#.#........#.#</t>
  </si>
  <si>
    <t>.##.........###...#......#..###</t>
  </si>
  <si>
    <t>...##.....##..#.#.........#....</t>
  </si>
  <si>
    <t>...........##........#...#.....</t>
  </si>
  <si>
    <t>..##..#...#..#..#.....#......#.</t>
  </si>
  <si>
    <t>..#..#.#....#.....#..#.##...#..</t>
  </si>
  <si>
    <t>#....#........##..........#.###</t>
  </si>
  <si>
    <t>......#...#...#....#...##.#....</t>
  </si>
  <si>
    <t>...#......#.#.....##......##...</t>
  </si>
  <si>
    <t>#....#..##............#....#.#.</t>
  </si>
  <si>
    <t>...#...##.#..........##........</t>
  </si>
  <si>
    <t>......#.###......#...#.#.......</t>
  </si>
  <si>
    <t>..................#.##..#..#..#</t>
  </si>
  <si>
    <t>....#.....#...#.....#...#....#.</t>
  </si>
  <si>
    <t>.#....##.#..#..#.....###.##...#</t>
  </si>
  <si>
    <t>#.......#..#....##.##.#.....##.</t>
  </si>
  <si>
    <t>..##........##...#.....#....##.</t>
  </si>
  <si>
    <t>#.........#...........##.#.....</t>
  </si>
  <si>
    <t>.#....#.#...##..###..........#.</t>
  </si>
  <si>
    <t>....##..##....####...#......#..</t>
  </si>
  <si>
    <t>##.##..#..#....#....####...#...</t>
  </si>
  <si>
    <t>..#...............#.##.........</t>
  </si>
  <si>
    <t>...#.#....#..#....#......#.....</t>
  </si>
  <si>
    <t>.#..#...#........#...#.....##..</t>
  </si>
  <si>
    <t>#.....###.......#.....#........</t>
  </si>
  <si>
    <t>...#.##..#.......#....#........</t>
  </si>
  <si>
    <t>....##..###.##...#.#....#.#....</t>
  </si>
  <si>
    <t>#.####...#.......#.....#.#....#</t>
  </si>
  <si>
    <t>#.......#......#.......#.#.#...</t>
  </si>
  <si>
    <t>##....#......#..#...#..#..####.</t>
  </si>
  <si>
    <t>.##.....#........#..#...#......</t>
  </si>
  <si>
    <t>#.#.#....#....#...#.##..##.....</t>
  </si>
  <si>
    <t>....#..#.........###.##.##.....</t>
  </si>
  <si>
    <t>...##...##.###..#..##.....#.###</t>
  </si>
  <si>
    <t>..###.......................#..</t>
  </si>
  <si>
    <t>......##..#.#.........#......#.</t>
  </si>
  <si>
    <t>.###......##....#.....#.......#</t>
  </si>
  <si>
    <t>.....#..#..##........#......##.</t>
  </si>
  <si>
    <t>..##.....#....#.#.............#</t>
  </si>
  <si>
    <t>..##.........##.#..#.........##</t>
  </si>
  <si>
    <t>......#......#.#......#........</t>
  </si>
  <si>
    <t>.#...#..#......##...#..#....#..</t>
  </si>
  <si>
    <t>...............###............#</t>
  </si>
  <si>
    <t>#.####.#....#...#...........#.#</t>
  </si>
  <si>
    <t>............................#.#</t>
  </si>
  <si>
    <t>.#..#...#.#.#.###..##.....##...</t>
  </si>
  <si>
    <t>....##...#.................##..</t>
  </si>
  <si>
    <t>......##....#...............##.</t>
  </si>
  <si>
    <t>.#......#.##.#..#.....##...##..</t>
  </si>
  <si>
    <t>.............#........#......#.</t>
  </si>
  <si>
    <t>#..........#.#....#####.#...#.#</t>
  </si>
  <si>
    <t>.#.#...##..#.#...#.#..#.#..#...</t>
  </si>
  <si>
    <t>#.##.......##......#.#.#....#..</t>
  </si>
  <si>
    <t>##.....##.#.#.##..........##..#</t>
  </si>
  <si>
    <t>....##..#.#.......#....#.##....</t>
  </si>
  <si>
    <t>..#.#.#...#.....#.......#......</t>
  </si>
  <si>
    <t>.#....#..#...........###.......</t>
  </si>
  <si>
    <t>#.#...#.....#......#...#.....#.</t>
  </si>
  <si>
    <t>#........#.#..........#...#.#..</t>
  </si>
  <si>
    <t>...#...#....#.........#........</t>
  </si>
  <si>
    <t>.....................#..##.....</t>
  </si>
  <si>
    <t>...#......##........#.##.#.#.##</t>
  </si>
  <si>
    <t>.............###...#.#...#..#..</t>
  </si>
  <si>
    <t>.#..##........##....#...###..##</t>
  </si>
  <si>
    <t>.#..#.#...............#.....##.</t>
  </si>
  <si>
    <t>...........##.#....#..##.#....#</t>
  </si>
  <si>
    <t>.##.#.#..#.#..#...#.#.#..#.#.##</t>
  </si>
  <si>
    <t>.......#.#..#..#..#..#...#.....</t>
  </si>
  <si>
    <t>.#......##............#.#..#...</t>
  </si>
  <si>
    <t>..#...#..##..#..#...##......#..</t>
  </si>
  <si>
    <t>...##......##....#............#</t>
  </si>
  <si>
    <t>.......#.....##...##.#...#..#..</t>
  </si>
  <si>
    <t>......#.......#..##.........#..</t>
  </si>
  <si>
    <t>..#...#.#.....#.#.......#.#...#</t>
  </si>
  <si>
    <t>.#......##.##.#.#.#.##..#....##</t>
  </si>
  <si>
    <t>#.....#.........#.#....#....##.</t>
  </si>
  <si>
    <t>.......#.........#....#..#.#.##</t>
  </si>
  <si>
    <t>.....##....#..#.#.#...#.....##.</t>
  </si>
  <si>
    <t>#####.#.......######......#....</t>
  </si>
  <si>
    <t>..##.#.......#.#..............#</t>
  </si>
  <si>
    <t>..#.##....#.....#...#.#...##...</t>
  </si>
  <si>
    <t>.....#...#..#....#.#..#........</t>
  </si>
  <si>
    <t>.#....#.#..#.#.#.##..#.......#.</t>
  </si>
  <si>
    <t>....#..#..#..........##...#....</t>
  </si>
  <si>
    <t>.......#.#......#........#.....</t>
  </si>
  <si>
    <t>##.#.#.###....##.#..#..#....#..</t>
  </si>
  <si>
    <t>#.##......#..#.......#.#...#...</t>
  </si>
  <si>
    <t>..##...#.......#.......#...#...</t>
  </si>
  <si>
    <t>........##.........#.#....#.#..</t>
  </si>
  <si>
    <t>..#...#..##.#.#.#...#....#.....</t>
  </si>
  <si>
    <t>.###......#........#....#...#..</t>
  </si>
  <si>
    <t>.#.......##......###..##.......</t>
  </si>
  <si>
    <t>#....#.#....#.##.........####..</t>
  </si>
  <si>
    <t>......#..........#..##.....#...</t>
  </si>
  <si>
    <t>.............#......#..##.#....</t>
  </si>
  <si>
    <t>...................#....#...#..</t>
  </si>
  <si>
    <t>.#..........#...#.#..##...#....</t>
  </si>
  <si>
    <t>.....#...#..........##.##......</t>
  </si>
  <si>
    <t>#...#..#.##........#...#.......</t>
  </si>
  <si>
    <t>Forest</t>
  </si>
  <si>
    <t>IsTree1</t>
  </si>
  <si>
    <t>CharAtPos1</t>
  </si>
  <si>
    <t>Pos2_1</t>
  </si>
  <si>
    <t>CharAtPos2_1</t>
  </si>
  <si>
    <t>IsTree2_1</t>
  </si>
  <si>
    <t>Pos2_3</t>
  </si>
  <si>
    <t>CharAtPos2_3</t>
  </si>
  <si>
    <t>IsTree2_3</t>
  </si>
  <si>
    <t>Pos2_4</t>
  </si>
  <si>
    <t>Pos2_5</t>
  </si>
  <si>
    <t>CharAtPos2_4</t>
  </si>
  <si>
    <t>IsTree2_4</t>
  </si>
  <si>
    <t>CountRow2_5</t>
  </si>
  <si>
    <t>CharAtPos2_5</t>
  </si>
  <si>
    <t>IsTree2_5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</si>
</sst>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C89FBF-8009-458A-AB10-7D60739B68FA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6EB9C2C-23D7-411C-81E0-D997841F46DF}" autoFormatId="16" applyNumberFormats="0" applyBorderFormats="0" applyFontFormats="0" applyPatternFormats="0" applyAlignmentFormats="0" applyWidthHeightFormats="0">
  <queryTableRefresh nextId="15" unboundColumnsRight="11">
    <queryTableFields count="14">
      <queryTableField id="1" name="Column1" tableColumnId="1"/>
      <queryTableField id="2" name="Column2" tableColumnId="2"/>
      <queryTableField id="3" name="Column3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8831A3B-3E1A-48E8-9E4E-BF2937BAAC7E}" autoFormatId="16" applyNumberFormats="0" applyBorderFormats="0" applyFontFormats="0" applyPatternFormats="0" applyAlignmentFormats="0" applyWidthHeightFormats="0">
  <queryTableRefresh nextId="20" unboundColumnsRight="16">
    <queryTableFields count="17">
      <queryTableField id="1" name="Column1" tableColumnId="1"/>
      <queryTableField id="3" dataBound="0" tableColumnId="3"/>
      <queryTableField id="4" dataBound="0" tableColumnId="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3EB94C-9753-4C40-8929-B200E7F35089}" name="aoc_01_input" displayName="aoc_01_input" ref="A1:B201" tableType="queryTable" totalsRowShown="0">
  <autoFilter ref="A1:B201" xr:uid="{3B036FE2-F134-4A4E-AB1A-DF291D8CDDED}"/>
  <tableColumns count="2">
    <tableColumn id="1" xr3:uid="{44C4BCE5-F9F1-4BD8-8083-7DB653611886}" uniqueName="1" name="Input" queryTableFieldId="1" dataDxfId="36"/>
    <tableColumn id="2" xr3:uid="{EA9E8273-1E70-4B48-9910-D8F75670749B}" uniqueName="2" name="InputAsNumber" queryTableFieldId="2" dataDxfId="35">
      <calculatedColumnFormula>_xlfn.NUMBERVALUE(aoc_01_input[[#This Row],[Input]])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30B2B-F766-47DD-A5D0-31C61DC82572}" name="aoc_02_input" displayName="aoc_02_input" ref="A1:N1001" tableType="queryTable" totalsRowShown="0">
  <autoFilter ref="A1:N1001" xr:uid="{3F308316-D978-438F-8128-03B250787F23}"/>
  <tableColumns count="14">
    <tableColumn id="1" xr3:uid="{0342F429-92D9-461E-8041-9B8CF2AB54DC}" uniqueName="1" name="InputNumbers" queryTableFieldId="1" dataDxfId="34"/>
    <tableColumn id="2" xr3:uid="{7725E80A-3F68-42D9-8342-BF0CAFC8AA22}" uniqueName="2" name="InputChar" queryTableFieldId="2" dataDxfId="33"/>
    <tableColumn id="3" xr3:uid="{3893C598-647B-4631-9D38-250176FFD635}" uniqueName="3" name="Password" queryTableFieldId="3" dataDxfId="32"/>
    <tableColumn id="4" xr3:uid="{E2EE1A0A-E31A-4C42-A884-0A86EDCE3015}" uniqueName="4" name="PosDash" queryTableFieldId="4" dataDxfId="31">
      <calculatedColumnFormula>FIND("-",aoc_02_input[[#This Row],[InputNumbers]])</calculatedColumnFormula>
    </tableColumn>
    <tableColumn id="5" xr3:uid="{10B52D9B-8873-4D5F-809B-00E539424112}" uniqueName="5" name="Int1" queryTableFieldId="5" dataDxfId="30">
      <calculatedColumnFormula>_xlfn.NUMBERVALUE(LEFT(aoc_02_input[[#This Row],[InputNumbers]],aoc_02_input[[#This Row],[PosDash]]-1))</calculatedColumnFormula>
    </tableColumn>
    <tableColumn id="6" xr3:uid="{E35F4CE0-8E5D-4990-8C13-5FD067274631}" uniqueName="6" name="Int2" queryTableFieldId="6" dataDxfId="29">
      <calculatedColumnFormula>_xlfn.NUMBERVALUE(MID(aoc_02_input[[#This Row],[InputNumbers]],aoc_02_input[[#This Row],[PosDash]]+1,5))</calculatedColumnFormula>
    </tableColumn>
    <tableColumn id="7" xr3:uid="{4DA6F722-F596-4B75-8D1E-20116FF23548}" uniqueName="7" name="Char" queryTableFieldId="7" dataDxfId="28">
      <calculatedColumnFormula>LEFT(aoc_02_input[[#This Row],[InputChar]],1)</calculatedColumnFormula>
    </tableColumn>
    <tableColumn id="8" xr3:uid="{AEC4117E-E5FA-4EE6-908F-BF7241B23921}" uniqueName="8" name="CountOfChar" queryTableFieldId="8" dataDxfId="27">
      <calculatedColumnFormula array="1">CountChar(aoc_02_input[[#This Row],[Password]],aoc_02_input[[#This Row],[Char]])</calculatedColumnFormula>
    </tableColumn>
    <tableColumn id="9" xr3:uid="{0CA290CA-3CEB-4072-9AFB-824518C96BD3}" uniqueName="9" name="IsValid" queryTableFieldId="9" dataDxfId="26">
      <calculatedColumnFormula>IF(AND(aoc_02_input[[#This Row],[Int1]]&lt;=aoc_02_input[[#This Row],[CountOfChar]],aoc_02_input[[#This Row],[CountOfChar]]&lt;=aoc_02_input[[#This Row],[Int2]]),1,0)</calculatedColumnFormula>
    </tableColumn>
    <tableColumn id="10" xr3:uid="{FDFBC593-4034-4D3D-B57F-DE0B064AD41F}" uniqueName="10" name="Pos1" queryTableFieldId="10" dataDxfId="25">
      <calculatedColumnFormula>MID(aoc_02_input[[#This Row],[Password]],aoc_02_input[[#This Row],[Int1]],1)</calculatedColumnFormula>
    </tableColumn>
    <tableColumn id="11" xr3:uid="{1DB13EDD-A171-485C-AF8A-FDA8E20B06D1}" uniqueName="11" name="Pos1Valid" queryTableFieldId="11" dataDxfId="24">
      <calculatedColumnFormula>IF(aoc_02_input[[#This Row],[Pos1]]=aoc_02_input[[#This Row],[Char]],1,0)</calculatedColumnFormula>
    </tableColumn>
    <tableColumn id="12" xr3:uid="{B5EC9771-CC85-419D-9FF3-C0E271E6B61E}" uniqueName="12" name="Pos2" queryTableFieldId="12" dataDxfId="23">
      <calculatedColumnFormula>MID(aoc_02_input[[#This Row],[Password]],aoc_02_input[[#This Row],[Int2]],1)</calculatedColumnFormula>
    </tableColumn>
    <tableColumn id="13" xr3:uid="{B94179E8-F5B4-4336-AEB6-788D90C93F2A}" uniqueName="13" name="Pos2Valid" queryTableFieldId="13" dataDxfId="22">
      <calculatedColumnFormula>IF(aoc_02_input[[#This Row],[Pos2]]=aoc_02_input[[#This Row],[Char]],1,0)</calculatedColumnFormula>
    </tableColumn>
    <tableColumn id="14" xr3:uid="{1189093C-C9B0-49FA-8AD7-4A8BCAD6E627}" uniqueName="14" name="OnePosValid" queryTableFieldId="14" dataDxfId="21">
      <calculatedColumnFormula>IF(aoc_02_input[[#This Row],[Pos1Valid]]&lt;&gt;aoc_02_input[[#This Row],[Pos2Valid]],1,0)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557BE2-92DB-409E-B949-159F9F428207}" name="aoc_03_input" displayName="aoc_03_input" ref="A1:Q325" tableType="queryTable" totalsRowCount="1">
  <autoFilter ref="A1:Q324" xr:uid="{0D212974-1D23-4C95-A778-F63D14F12A15}"/>
  <tableColumns count="17">
    <tableColumn id="1" xr3:uid="{9A6913CC-4E40-4A0F-9EEC-76B028AB3AF4}" uniqueName="1" name="Forest" queryTableFieldId="1" dataDxfId="20" totalsRowDxfId="4"/>
    <tableColumn id="3" xr3:uid="{7673B5EB-8587-472F-A872-E80E5E5CD83C}" uniqueName="3" name="Pos1" queryTableFieldId="3" dataDxfId="19" totalsRowDxfId="3"/>
    <tableColumn id="4" xr3:uid="{DA28B692-F6DD-4F1F-83EF-D834632F6862}" uniqueName="4" name="CharAtPos1" queryTableFieldId="4" dataDxfId="18" totalsRowDxfId="2">
      <calculatedColumnFormula>MID(aoc_03_input[[#This Row],[Forest]],MOD(aoc_03_input[[#This Row],[Pos1]]-1,LEN(aoc_03_input[[#This Row],[Forest]]))+1,1)</calculatedColumnFormula>
    </tableColumn>
    <tableColumn id="6" xr3:uid="{E11CE82A-283D-43FF-B04F-64D3C81C0D2C}" uniqueName="6" name="IsTree1" totalsRowFunction="sum" queryTableFieldId="6" dataDxfId="17" totalsRowDxfId="1">
      <calculatedColumnFormula>IF(aoc_03_input[[#This Row],[CharAtPos1]]="#",1,0)</calculatedColumnFormula>
    </tableColumn>
    <tableColumn id="7" xr3:uid="{0D0B9AF8-11CE-4679-8CC0-9CF0A72E14DB}" uniqueName="7" name="Pos2_1" queryTableFieldId="7" dataDxfId="16"/>
    <tableColumn id="8" xr3:uid="{BE995DEA-CA11-4100-A8E1-2021A3B3DC01}" uniqueName="8" name="CharAtPos2_1" queryTableFieldId="8" dataDxfId="15">
      <calculatedColumnFormula>MID(aoc_03_input[[#This Row],[Forest]],MOD(aoc_03_input[[#This Row],[Pos2_1]]-1,LEN(aoc_03_input[[#This Row],[Forest]]))+1,1)</calculatedColumnFormula>
    </tableColumn>
    <tableColumn id="9" xr3:uid="{FEDA43CE-9A86-4817-9588-6C1E7822ED78}" uniqueName="9" name="IsTree2_1" totalsRowFunction="sum" queryTableFieldId="9" dataDxfId="14">
      <calculatedColumnFormula>IF(aoc_03_input[[#This Row],[CharAtPos2_1]]="#",1,0)</calculatedColumnFormula>
    </tableColumn>
    <tableColumn id="10" xr3:uid="{FEB5D6DD-A731-4C6A-B360-7C7AB1257D5D}" uniqueName="10" name="Pos2_3" queryTableFieldId="10" dataDxfId="13"/>
    <tableColumn id="11" xr3:uid="{24F41918-6C6B-4688-8A7D-2BF913DEE8E6}" uniqueName="11" name="CharAtPos2_3" queryTableFieldId="11" dataDxfId="12">
      <calculatedColumnFormula>MID(aoc_03_input[[#This Row],[Forest]],MOD(aoc_03_input[[#This Row],[Pos2_3]]-1,LEN(aoc_03_input[[#This Row],[Forest]]))+1,1)</calculatedColumnFormula>
    </tableColumn>
    <tableColumn id="12" xr3:uid="{41B0591B-3535-426D-9F77-D67A6040D10D}" uniqueName="12" name="IsTree2_3" totalsRowFunction="sum" queryTableFieldId="12" dataDxfId="11">
      <calculatedColumnFormula>IF(aoc_03_input[[#This Row],[CharAtPos2_3]]="#",1,0)</calculatedColumnFormula>
    </tableColumn>
    <tableColumn id="13" xr3:uid="{A739B15B-51D5-4A32-84D3-6C338A978DF0}" uniqueName="13" name="Pos2_4" queryTableFieldId="13" dataDxfId="10"/>
    <tableColumn id="14" xr3:uid="{E85112D6-F54D-4212-A062-AE773155E623}" uniqueName="14" name="CharAtPos2_4" queryTableFieldId="14" dataDxfId="9">
      <calculatedColumnFormula>MID(aoc_03_input[[#This Row],[Forest]],MOD(aoc_03_input[[#This Row],[Pos2_4]]-1,LEN(aoc_03_input[[#This Row],[Forest]]))+1,1)</calculatedColumnFormula>
    </tableColumn>
    <tableColumn id="15" xr3:uid="{9B59BB2D-6B84-4129-8FE6-51E778CE7A9C}" uniqueName="15" name="IsTree2_4" totalsRowFunction="sum" queryTableFieldId="15" dataDxfId="8">
      <calculatedColumnFormula>IF(aoc_03_input[[#This Row],[CharAtPos2_4]]="#",1,0)</calculatedColumnFormula>
    </tableColumn>
    <tableColumn id="16" xr3:uid="{30DDFFD8-B14E-4DF3-A926-CEC38A5E82D6}" uniqueName="16" name="CountRow2_5" queryTableFieldId="16" dataDxfId="7">
      <calculatedColumnFormula>MOD(ROW(aoc_03_input[[#This Row],[CountRow2_5]])+1,2)</calculatedColumnFormula>
    </tableColumn>
    <tableColumn id="17" xr3:uid="{49EB11DA-14AB-4302-A10C-6AED61043F1E}" uniqueName="17" name="Pos2_5" queryTableFieldId="17" dataDxfId="6"/>
    <tableColumn id="18" xr3:uid="{B1010CFD-E7F6-45DE-AA9F-420C896EEBCA}" uniqueName="18" name="CharAtPos2_5" queryTableFieldId="18" dataDxfId="5">
      <calculatedColumnFormula>MID(aoc_03_input[[#This Row],[Forest]],MOD(aoc_03_input[[#This Row],[Pos2_5]]-1,LEN(aoc_03_input[[#This Row],[Forest]]))+1,1)</calculatedColumnFormula>
    </tableColumn>
    <tableColumn id="19" xr3:uid="{2826184C-E0DE-462B-9EFB-8685B61317AE}" uniqueName="19" name="IsTree2_5" totalsRowFunction="sum" queryTableFieldId="19" dataDxfId="0">
      <calculatedColumnFormula>IF(AND(aoc_03_input[[#This Row],[CountRow2_5]]=1,aoc_03_input[[#This Row],[CharAtPos2_5]]="#"),1,0)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EAAA-BB40-49ED-A839-07F027002341}">
  <sheetPr codeName="Sheet1"/>
  <dimension ref="A1:B201"/>
  <sheetViews>
    <sheetView workbookViewId="0">
      <selection activeCell="B2" sqref="B2"/>
    </sheetView>
  </sheetViews>
  <sheetFormatPr defaultRowHeight="14.25" x14ac:dyDescent="0.45"/>
  <cols>
    <col min="1" max="1" width="14.86328125" customWidth="1"/>
    <col min="2" max="2" width="16.06640625" bestFit="1" customWidth="1"/>
  </cols>
  <sheetData>
    <row r="1" spans="1:2" x14ac:dyDescent="0.45">
      <c r="A1" t="s">
        <v>203</v>
      </c>
      <c r="B1" t="s">
        <v>204</v>
      </c>
    </row>
    <row r="2" spans="1:2" x14ac:dyDescent="0.45">
      <c r="A2" s="1" t="s">
        <v>0</v>
      </c>
      <c r="B2" s="1">
        <f>_xlfn.NUMBERVALUE(aoc_01_input[[#This Row],[Input]])</f>
        <v>1567</v>
      </c>
    </row>
    <row r="3" spans="1:2" x14ac:dyDescent="0.45">
      <c r="A3" s="1" t="s">
        <v>1</v>
      </c>
      <c r="B3" s="1">
        <f>_xlfn.NUMBERVALUE(aoc_01_input[[#This Row],[Input]])</f>
        <v>1223</v>
      </c>
    </row>
    <row r="4" spans="1:2" x14ac:dyDescent="0.45">
      <c r="A4" s="1" t="s">
        <v>2</v>
      </c>
      <c r="B4" s="1">
        <f>_xlfn.NUMBERVALUE(aoc_01_input[[#This Row],[Input]])</f>
        <v>1758</v>
      </c>
    </row>
    <row r="5" spans="1:2" x14ac:dyDescent="0.45">
      <c r="A5" s="1" t="s">
        <v>3</v>
      </c>
      <c r="B5" s="1">
        <f>_xlfn.NUMBERVALUE(aoc_01_input[[#This Row],[Input]])</f>
        <v>1842</v>
      </c>
    </row>
    <row r="6" spans="1:2" x14ac:dyDescent="0.45">
      <c r="A6" s="1" t="s">
        <v>4</v>
      </c>
      <c r="B6" s="1">
        <f>_xlfn.NUMBERVALUE(aoc_01_input[[#This Row],[Input]])</f>
        <v>1933</v>
      </c>
    </row>
    <row r="7" spans="1:2" x14ac:dyDescent="0.45">
      <c r="A7" s="1" t="s">
        <v>5</v>
      </c>
      <c r="B7" s="1">
        <f>_xlfn.NUMBERVALUE(aoc_01_input[[#This Row],[Input]])</f>
        <v>1898</v>
      </c>
    </row>
    <row r="8" spans="1:2" x14ac:dyDescent="0.45">
      <c r="A8" s="1" t="s">
        <v>6</v>
      </c>
      <c r="B8" s="1">
        <f>_xlfn.NUMBERVALUE(aoc_01_input[[#This Row],[Input]])</f>
        <v>1409</v>
      </c>
    </row>
    <row r="9" spans="1:2" x14ac:dyDescent="0.45">
      <c r="A9" s="1" t="s">
        <v>7</v>
      </c>
      <c r="B9" s="1">
        <f>_xlfn.NUMBERVALUE(aoc_01_input[[#This Row],[Input]])</f>
        <v>1058</v>
      </c>
    </row>
    <row r="10" spans="1:2" x14ac:dyDescent="0.45">
      <c r="A10" s="1" t="s">
        <v>8</v>
      </c>
      <c r="B10" s="1">
        <f>_xlfn.NUMBERVALUE(aoc_01_input[[#This Row],[Input]])</f>
        <v>1533</v>
      </c>
    </row>
    <row r="11" spans="1:2" x14ac:dyDescent="0.45">
      <c r="A11" s="1" t="s">
        <v>9</v>
      </c>
      <c r="B11" s="1">
        <f>_xlfn.NUMBERVALUE(aoc_01_input[[#This Row],[Input]])</f>
        <v>1417</v>
      </c>
    </row>
    <row r="12" spans="1:2" x14ac:dyDescent="0.45">
      <c r="A12" s="1" t="s">
        <v>10</v>
      </c>
      <c r="B12" s="1">
        <f>_xlfn.NUMBERVALUE(aoc_01_input[[#This Row],[Input]])</f>
        <v>1032</v>
      </c>
    </row>
    <row r="13" spans="1:2" x14ac:dyDescent="0.45">
      <c r="A13" s="1" t="s">
        <v>11</v>
      </c>
      <c r="B13" s="1">
        <f>_xlfn.NUMBERVALUE(aoc_01_input[[#This Row],[Input]])</f>
        <v>1634</v>
      </c>
    </row>
    <row r="14" spans="1:2" x14ac:dyDescent="0.45">
      <c r="A14" s="1" t="s">
        <v>12</v>
      </c>
      <c r="B14" s="1">
        <f>_xlfn.NUMBERVALUE(aoc_01_input[[#This Row],[Input]])</f>
        <v>1477</v>
      </c>
    </row>
    <row r="15" spans="1:2" x14ac:dyDescent="0.45">
      <c r="A15" s="1" t="s">
        <v>13</v>
      </c>
      <c r="B15" s="1">
        <f>_xlfn.NUMBERVALUE(aoc_01_input[[#This Row],[Input]])</f>
        <v>1394</v>
      </c>
    </row>
    <row r="16" spans="1:2" x14ac:dyDescent="0.45">
      <c r="A16" s="1" t="s">
        <v>14</v>
      </c>
      <c r="B16" s="1">
        <f>_xlfn.NUMBERVALUE(aoc_01_input[[#This Row],[Input]])</f>
        <v>1888</v>
      </c>
    </row>
    <row r="17" spans="1:2" x14ac:dyDescent="0.45">
      <c r="A17" s="1" t="s">
        <v>15</v>
      </c>
      <c r="B17" s="1">
        <f>_xlfn.NUMBERVALUE(aoc_01_input[[#This Row],[Input]])</f>
        <v>1972</v>
      </c>
    </row>
    <row r="18" spans="1:2" x14ac:dyDescent="0.45">
      <c r="A18" s="1" t="s">
        <v>16</v>
      </c>
      <c r="B18" s="1">
        <f>_xlfn.NUMBERVALUE(aoc_01_input[[#This Row],[Input]])</f>
        <v>1237</v>
      </c>
    </row>
    <row r="19" spans="1:2" x14ac:dyDescent="0.45">
      <c r="A19" s="1" t="s">
        <v>17</v>
      </c>
      <c r="B19" s="1">
        <f>_xlfn.NUMBERVALUE(aoc_01_input[[#This Row],[Input]])</f>
        <v>1390</v>
      </c>
    </row>
    <row r="20" spans="1:2" x14ac:dyDescent="0.45">
      <c r="A20" s="1" t="s">
        <v>18</v>
      </c>
      <c r="B20" s="1">
        <f>_xlfn.NUMBERVALUE(aoc_01_input[[#This Row],[Input]])</f>
        <v>1677</v>
      </c>
    </row>
    <row r="21" spans="1:2" x14ac:dyDescent="0.45">
      <c r="A21" s="1" t="s">
        <v>19</v>
      </c>
      <c r="B21" s="1">
        <f>_xlfn.NUMBERVALUE(aoc_01_input[[#This Row],[Input]])</f>
        <v>1546</v>
      </c>
    </row>
    <row r="22" spans="1:2" x14ac:dyDescent="0.45">
      <c r="A22" s="1" t="s">
        <v>20</v>
      </c>
      <c r="B22" s="1">
        <f>_xlfn.NUMBERVALUE(aoc_01_input[[#This Row],[Input]])</f>
        <v>1302</v>
      </c>
    </row>
    <row r="23" spans="1:2" x14ac:dyDescent="0.45">
      <c r="A23" s="1" t="s">
        <v>21</v>
      </c>
      <c r="B23" s="1">
        <f>_xlfn.NUMBERVALUE(aoc_01_input[[#This Row],[Input]])</f>
        <v>1070</v>
      </c>
    </row>
    <row r="24" spans="1:2" x14ac:dyDescent="0.45">
      <c r="A24" s="1" t="s">
        <v>22</v>
      </c>
      <c r="B24" s="1">
        <f>_xlfn.NUMBERVALUE(aoc_01_input[[#This Row],[Input]])</f>
        <v>1369</v>
      </c>
    </row>
    <row r="25" spans="1:2" x14ac:dyDescent="0.45">
      <c r="A25" s="1" t="s">
        <v>23</v>
      </c>
      <c r="B25" s="1">
        <f>_xlfn.NUMBERVALUE(aoc_01_input[[#This Row],[Input]])</f>
        <v>1455</v>
      </c>
    </row>
    <row r="26" spans="1:2" x14ac:dyDescent="0.45">
      <c r="A26" s="1" t="s">
        <v>24</v>
      </c>
      <c r="B26" s="1">
        <f>_xlfn.NUMBERVALUE(aoc_01_input[[#This Row],[Input]])</f>
        <v>1065</v>
      </c>
    </row>
    <row r="27" spans="1:2" x14ac:dyDescent="0.45">
      <c r="A27" s="1" t="s">
        <v>25</v>
      </c>
      <c r="B27" s="1">
        <f>_xlfn.NUMBERVALUE(aoc_01_input[[#This Row],[Input]])</f>
        <v>1924</v>
      </c>
    </row>
    <row r="28" spans="1:2" x14ac:dyDescent="0.45">
      <c r="A28" s="1" t="s">
        <v>26</v>
      </c>
      <c r="B28" s="1">
        <f>_xlfn.NUMBERVALUE(aoc_01_input[[#This Row],[Input]])</f>
        <v>1593</v>
      </c>
    </row>
    <row r="29" spans="1:2" x14ac:dyDescent="0.45">
      <c r="A29" s="1" t="s">
        <v>27</v>
      </c>
      <c r="B29" s="1">
        <f>_xlfn.NUMBERVALUE(aoc_01_input[[#This Row],[Input]])</f>
        <v>1131</v>
      </c>
    </row>
    <row r="30" spans="1:2" x14ac:dyDescent="0.45">
      <c r="A30" s="1" t="s">
        <v>28</v>
      </c>
      <c r="B30" s="1">
        <f>_xlfn.NUMBERVALUE(aoc_01_input[[#This Row],[Input]])</f>
        <v>1064</v>
      </c>
    </row>
    <row r="31" spans="1:2" x14ac:dyDescent="0.45">
      <c r="A31" s="1" t="s">
        <v>29</v>
      </c>
      <c r="B31" s="1">
        <f>_xlfn.NUMBERVALUE(aoc_01_input[[#This Row],[Input]])</f>
        <v>1346</v>
      </c>
    </row>
    <row r="32" spans="1:2" x14ac:dyDescent="0.45">
      <c r="A32" s="1" t="s">
        <v>30</v>
      </c>
      <c r="B32" s="1">
        <f>_xlfn.NUMBERVALUE(aoc_01_input[[#This Row],[Input]])</f>
        <v>1914</v>
      </c>
    </row>
    <row r="33" spans="1:2" x14ac:dyDescent="0.45">
      <c r="A33" s="1" t="s">
        <v>31</v>
      </c>
      <c r="B33" s="1">
        <f>_xlfn.NUMBERVALUE(aoc_01_input[[#This Row],[Input]])</f>
        <v>1129</v>
      </c>
    </row>
    <row r="34" spans="1:2" x14ac:dyDescent="0.45">
      <c r="A34" s="1" t="s">
        <v>32</v>
      </c>
      <c r="B34" s="1">
        <f>_xlfn.NUMBERVALUE(aoc_01_input[[#This Row],[Input]])</f>
        <v>1830</v>
      </c>
    </row>
    <row r="35" spans="1:2" x14ac:dyDescent="0.45">
      <c r="A35" s="1" t="s">
        <v>33</v>
      </c>
      <c r="B35" s="1">
        <f>_xlfn.NUMBERVALUE(aoc_01_input[[#This Row],[Input]])</f>
        <v>1450</v>
      </c>
    </row>
    <row r="36" spans="1:2" x14ac:dyDescent="0.45">
      <c r="A36" s="1" t="s">
        <v>34</v>
      </c>
      <c r="B36" s="1">
        <f>_xlfn.NUMBERVALUE(aoc_01_input[[#This Row],[Input]])</f>
        <v>1278</v>
      </c>
    </row>
    <row r="37" spans="1:2" x14ac:dyDescent="0.45">
      <c r="A37" s="1" t="s">
        <v>35</v>
      </c>
      <c r="B37" s="1">
        <f>_xlfn.NUMBERVALUE(aoc_01_input[[#This Row],[Input]])</f>
        <v>1740</v>
      </c>
    </row>
    <row r="38" spans="1:2" x14ac:dyDescent="0.45">
      <c r="A38" s="1" t="s">
        <v>36</v>
      </c>
      <c r="B38" s="1">
        <f>_xlfn.NUMBERVALUE(aoc_01_input[[#This Row],[Input]])</f>
        <v>1809</v>
      </c>
    </row>
    <row r="39" spans="1:2" x14ac:dyDescent="0.45">
      <c r="A39" s="1" t="s">
        <v>37</v>
      </c>
      <c r="B39" s="1">
        <f>_xlfn.NUMBERVALUE(aoc_01_input[[#This Row],[Input]])</f>
        <v>1176</v>
      </c>
    </row>
    <row r="40" spans="1:2" x14ac:dyDescent="0.45">
      <c r="A40" s="1" t="s">
        <v>38</v>
      </c>
      <c r="B40" s="1">
        <f>_xlfn.NUMBERVALUE(aoc_01_input[[#This Row],[Input]])</f>
        <v>1734</v>
      </c>
    </row>
    <row r="41" spans="1:2" x14ac:dyDescent="0.45">
      <c r="A41" s="1" t="s">
        <v>39</v>
      </c>
      <c r="B41" s="1">
        <f>_xlfn.NUMBERVALUE(aoc_01_input[[#This Row],[Input]])</f>
        <v>1102</v>
      </c>
    </row>
    <row r="42" spans="1:2" x14ac:dyDescent="0.45">
      <c r="A42" s="1" t="s">
        <v>40</v>
      </c>
      <c r="B42" s="1">
        <f>_xlfn.NUMBERVALUE(aoc_01_input[[#This Row],[Input]])</f>
        <v>1807</v>
      </c>
    </row>
    <row r="43" spans="1:2" x14ac:dyDescent="0.45">
      <c r="A43" s="1" t="s">
        <v>41</v>
      </c>
      <c r="B43" s="1">
        <f>_xlfn.NUMBERVALUE(aoc_01_input[[#This Row],[Input]])</f>
        <v>1982</v>
      </c>
    </row>
    <row r="44" spans="1:2" x14ac:dyDescent="0.45">
      <c r="A44" s="1" t="s">
        <v>42</v>
      </c>
      <c r="B44" s="1">
        <f>_xlfn.NUMBERVALUE(aoc_01_input[[#This Row],[Input]])</f>
        <v>1603</v>
      </c>
    </row>
    <row r="45" spans="1:2" x14ac:dyDescent="0.45">
      <c r="A45" s="1" t="s">
        <v>43</v>
      </c>
      <c r="B45" s="1">
        <f>_xlfn.NUMBERVALUE(aoc_01_input[[#This Row],[Input]])</f>
        <v>1736</v>
      </c>
    </row>
    <row r="46" spans="1:2" x14ac:dyDescent="0.45">
      <c r="A46" s="1" t="s">
        <v>44</v>
      </c>
      <c r="B46" s="1">
        <f>_xlfn.NUMBERVALUE(aoc_01_input[[#This Row],[Input]])</f>
        <v>2008</v>
      </c>
    </row>
    <row r="47" spans="1:2" x14ac:dyDescent="0.45">
      <c r="A47" s="1" t="s">
        <v>45</v>
      </c>
      <c r="B47" s="1">
        <f>_xlfn.NUMBERVALUE(aoc_01_input[[#This Row],[Input]])</f>
        <v>1980</v>
      </c>
    </row>
    <row r="48" spans="1:2" x14ac:dyDescent="0.45">
      <c r="A48" s="1" t="s">
        <v>46</v>
      </c>
      <c r="B48" s="1">
        <f>_xlfn.NUMBERVALUE(aoc_01_input[[#This Row],[Input]])</f>
        <v>1905</v>
      </c>
    </row>
    <row r="49" spans="1:2" x14ac:dyDescent="0.45">
      <c r="A49" s="1" t="s">
        <v>47</v>
      </c>
      <c r="B49" s="1">
        <f>_xlfn.NUMBERVALUE(aoc_01_input[[#This Row],[Input]])</f>
        <v>1633</v>
      </c>
    </row>
    <row r="50" spans="1:2" x14ac:dyDescent="0.45">
      <c r="A50" s="1" t="s">
        <v>48</v>
      </c>
      <c r="B50" s="1">
        <f>_xlfn.NUMBERVALUE(aoc_01_input[[#This Row],[Input]])</f>
        <v>1732</v>
      </c>
    </row>
    <row r="51" spans="1:2" x14ac:dyDescent="0.45">
      <c r="A51" s="1" t="s">
        <v>49</v>
      </c>
      <c r="B51" s="1">
        <f>_xlfn.NUMBERVALUE(aoc_01_input[[#This Row],[Input]])</f>
        <v>1350</v>
      </c>
    </row>
    <row r="52" spans="1:2" x14ac:dyDescent="0.45">
      <c r="A52" s="1" t="s">
        <v>50</v>
      </c>
      <c r="B52" s="1">
        <f>_xlfn.NUMBERVALUE(aoc_01_input[[#This Row],[Input]])</f>
        <v>1865</v>
      </c>
    </row>
    <row r="53" spans="1:2" x14ac:dyDescent="0.45">
      <c r="A53" s="1" t="s">
        <v>51</v>
      </c>
      <c r="B53" s="1">
        <f>_xlfn.NUMBERVALUE(aoc_01_input[[#This Row],[Input]])</f>
        <v>1988</v>
      </c>
    </row>
    <row r="54" spans="1:2" x14ac:dyDescent="0.45">
      <c r="A54" s="1" t="s">
        <v>52</v>
      </c>
      <c r="B54" s="1">
        <f>_xlfn.NUMBERVALUE(aoc_01_input[[#This Row],[Input]])</f>
        <v>1805</v>
      </c>
    </row>
    <row r="55" spans="1:2" x14ac:dyDescent="0.45">
      <c r="A55" s="1" t="s">
        <v>53</v>
      </c>
      <c r="B55" s="1">
        <f>_xlfn.NUMBERVALUE(aoc_01_input[[#This Row],[Input]])</f>
        <v>1998</v>
      </c>
    </row>
    <row r="56" spans="1:2" x14ac:dyDescent="0.45">
      <c r="A56" s="1" t="s">
        <v>54</v>
      </c>
      <c r="B56" s="1">
        <f>_xlfn.NUMBERVALUE(aoc_01_input[[#This Row],[Input]])</f>
        <v>1152</v>
      </c>
    </row>
    <row r="57" spans="1:2" x14ac:dyDescent="0.45">
      <c r="A57" s="1" t="s">
        <v>55</v>
      </c>
      <c r="B57" s="1">
        <f>_xlfn.NUMBERVALUE(aoc_01_input[[#This Row],[Input]])</f>
        <v>1046</v>
      </c>
    </row>
    <row r="58" spans="1:2" x14ac:dyDescent="0.45">
      <c r="A58" s="1" t="s">
        <v>56</v>
      </c>
      <c r="B58" s="1">
        <f>_xlfn.NUMBERVALUE(aoc_01_input[[#This Row],[Input]])</f>
        <v>1870</v>
      </c>
    </row>
    <row r="59" spans="1:2" x14ac:dyDescent="0.45">
      <c r="A59" s="1" t="s">
        <v>57</v>
      </c>
      <c r="B59" s="1">
        <f>_xlfn.NUMBERVALUE(aoc_01_input[[#This Row],[Input]])</f>
        <v>1557</v>
      </c>
    </row>
    <row r="60" spans="1:2" x14ac:dyDescent="0.45">
      <c r="A60" s="1" t="s">
        <v>58</v>
      </c>
      <c r="B60" s="1">
        <f>_xlfn.NUMBERVALUE(aoc_01_input[[#This Row],[Input]])</f>
        <v>1789</v>
      </c>
    </row>
    <row r="61" spans="1:2" x14ac:dyDescent="0.45">
      <c r="A61" s="1" t="s">
        <v>59</v>
      </c>
      <c r="B61" s="1">
        <f>_xlfn.NUMBERVALUE(aoc_01_input[[#This Row],[Input]])</f>
        <v>1766</v>
      </c>
    </row>
    <row r="62" spans="1:2" x14ac:dyDescent="0.45">
      <c r="A62" s="1" t="s">
        <v>60</v>
      </c>
      <c r="B62" s="1">
        <f>_xlfn.NUMBERVALUE(aoc_01_input[[#This Row],[Input]])</f>
        <v>1945</v>
      </c>
    </row>
    <row r="63" spans="1:2" x14ac:dyDescent="0.45">
      <c r="A63" s="1" t="s">
        <v>61</v>
      </c>
      <c r="B63" s="1">
        <f>_xlfn.NUMBERVALUE(aoc_01_input[[#This Row],[Input]])</f>
        <v>1359</v>
      </c>
    </row>
    <row r="64" spans="1:2" x14ac:dyDescent="0.45">
      <c r="A64" s="1" t="s">
        <v>62</v>
      </c>
      <c r="B64" s="1">
        <f>_xlfn.NUMBERVALUE(aoc_01_input[[#This Row],[Input]])</f>
        <v>1002</v>
      </c>
    </row>
    <row r="65" spans="1:2" x14ac:dyDescent="0.45">
      <c r="A65" s="1" t="s">
        <v>63</v>
      </c>
      <c r="B65" s="1">
        <f>_xlfn.NUMBERVALUE(aoc_01_input[[#This Row],[Input]])</f>
        <v>1126</v>
      </c>
    </row>
    <row r="66" spans="1:2" x14ac:dyDescent="0.45">
      <c r="A66" s="1" t="s">
        <v>64</v>
      </c>
      <c r="B66" s="1">
        <f>_xlfn.NUMBERVALUE(aoc_01_input[[#This Row],[Input]])</f>
        <v>1719</v>
      </c>
    </row>
    <row r="67" spans="1:2" x14ac:dyDescent="0.45">
      <c r="A67" s="1" t="s">
        <v>65</v>
      </c>
      <c r="B67" s="1">
        <f>_xlfn.NUMBERVALUE(aoc_01_input[[#This Row],[Input]])</f>
        <v>1497</v>
      </c>
    </row>
    <row r="68" spans="1:2" x14ac:dyDescent="0.45">
      <c r="A68" s="1" t="s">
        <v>66</v>
      </c>
      <c r="B68" s="1">
        <f>_xlfn.NUMBERVALUE(aoc_01_input[[#This Row],[Input]])</f>
        <v>1296</v>
      </c>
    </row>
    <row r="69" spans="1:2" x14ac:dyDescent="0.45">
      <c r="A69" s="1" t="s">
        <v>67</v>
      </c>
      <c r="B69" s="1">
        <f>_xlfn.NUMBERVALUE(aoc_01_input[[#This Row],[Input]])</f>
        <v>1560</v>
      </c>
    </row>
    <row r="70" spans="1:2" x14ac:dyDescent="0.45">
      <c r="A70" s="1" t="s">
        <v>68</v>
      </c>
      <c r="B70" s="1">
        <f>_xlfn.NUMBERVALUE(aoc_01_input[[#This Row],[Input]])</f>
        <v>1936</v>
      </c>
    </row>
    <row r="71" spans="1:2" x14ac:dyDescent="0.45">
      <c r="A71" s="1" t="s">
        <v>69</v>
      </c>
      <c r="B71" s="1">
        <f>_xlfn.NUMBERVALUE(aoc_01_input[[#This Row],[Input]])</f>
        <v>1929</v>
      </c>
    </row>
    <row r="72" spans="1:2" x14ac:dyDescent="0.45">
      <c r="A72" s="1" t="s">
        <v>70</v>
      </c>
      <c r="B72" s="1">
        <f>_xlfn.NUMBERVALUE(aoc_01_input[[#This Row],[Input]])</f>
        <v>1464</v>
      </c>
    </row>
    <row r="73" spans="1:2" x14ac:dyDescent="0.45">
      <c r="A73" s="1" t="s">
        <v>71</v>
      </c>
      <c r="B73" s="1">
        <f>_xlfn.NUMBERVALUE(aoc_01_input[[#This Row],[Input]])</f>
        <v>2005</v>
      </c>
    </row>
    <row r="74" spans="1:2" x14ac:dyDescent="0.45">
      <c r="A74" s="1" t="s">
        <v>72</v>
      </c>
      <c r="B74" s="1">
        <f>_xlfn.NUMBERVALUE(aoc_01_input[[#This Row],[Input]])</f>
        <v>1281</v>
      </c>
    </row>
    <row r="75" spans="1:2" x14ac:dyDescent="0.45">
      <c r="A75" s="1" t="s">
        <v>73</v>
      </c>
      <c r="B75" s="1">
        <f>_xlfn.NUMBERVALUE(aoc_01_input[[#This Row],[Input]])</f>
        <v>618</v>
      </c>
    </row>
    <row r="76" spans="1:2" x14ac:dyDescent="0.45">
      <c r="A76" s="1" t="s">
        <v>74</v>
      </c>
      <c r="B76" s="1">
        <f>_xlfn.NUMBERVALUE(aoc_01_input[[#This Row],[Input]])</f>
        <v>1257</v>
      </c>
    </row>
    <row r="77" spans="1:2" x14ac:dyDescent="0.45">
      <c r="A77" s="1" t="s">
        <v>75</v>
      </c>
      <c r="B77" s="1">
        <f>_xlfn.NUMBERVALUE(aoc_01_input[[#This Row],[Input]])</f>
        <v>1107</v>
      </c>
    </row>
    <row r="78" spans="1:2" x14ac:dyDescent="0.45">
      <c r="A78" s="1" t="s">
        <v>76</v>
      </c>
      <c r="B78" s="1">
        <f>_xlfn.NUMBERVALUE(aoc_01_input[[#This Row],[Input]])</f>
        <v>1632</v>
      </c>
    </row>
    <row r="79" spans="1:2" x14ac:dyDescent="0.45">
      <c r="A79" s="1" t="s">
        <v>77</v>
      </c>
      <c r="B79" s="1">
        <f>_xlfn.NUMBERVALUE(aoc_01_input[[#This Row],[Input]])</f>
        <v>1688</v>
      </c>
    </row>
    <row r="80" spans="1:2" x14ac:dyDescent="0.45">
      <c r="A80" s="1" t="s">
        <v>78</v>
      </c>
      <c r="B80" s="1">
        <f>_xlfn.NUMBERVALUE(aoc_01_input[[#This Row],[Input]])</f>
        <v>1964</v>
      </c>
    </row>
    <row r="81" spans="1:2" x14ac:dyDescent="0.45">
      <c r="A81" s="1" t="s">
        <v>79</v>
      </c>
      <c r="B81" s="1">
        <f>_xlfn.NUMBERVALUE(aoc_01_input[[#This Row],[Input]])</f>
        <v>1803</v>
      </c>
    </row>
    <row r="82" spans="1:2" x14ac:dyDescent="0.45">
      <c r="A82" s="1" t="s">
        <v>80</v>
      </c>
      <c r="B82" s="1">
        <f>_xlfn.NUMBERVALUE(aoc_01_input[[#This Row],[Input]])</f>
        <v>1360</v>
      </c>
    </row>
    <row r="83" spans="1:2" x14ac:dyDescent="0.45">
      <c r="A83" s="1" t="s">
        <v>81</v>
      </c>
      <c r="B83" s="1">
        <f>_xlfn.NUMBERVALUE(aoc_01_input[[#This Row],[Input]])</f>
        <v>1384</v>
      </c>
    </row>
    <row r="84" spans="1:2" x14ac:dyDescent="0.45">
      <c r="A84" s="1" t="s">
        <v>82</v>
      </c>
      <c r="B84" s="1">
        <f>_xlfn.NUMBERVALUE(aoc_01_input[[#This Row],[Input]])</f>
        <v>1889</v>
      </c>
    </row>
    <row r="85" spans="1:2" x14ac:dyDescent="0.45">
      <c r="A85" s="1" t="s">
        <v>83</v>
      </c>
      <c r="B85" s="1">
        <f>_xlfn.NUMBERVALUE(aoc_01_input[[#This Row],[Input]])</f>
        <v>1411</v>
      </c>
    </row>
    <row r="86" spans="1:2" x14ac:dyDescent="0.45">
      <c r="A86" s="1" t="s">
        <v>84</v>
      </c>
      <c r="B86" s="1">
        <f>_xlfn.NUMBERVALUE(aoc_01_input[[#This Row],[Input]])</f>
        <v>1328</v>
      </c>
    </row>
    <row r="87" spans="1:2" x14ac:dyDescent="0.45">
      <c r="A87" s="1" t="s">
        <v>85</v>
      </c>
      <c r="B87" s="1">
        <f>_xlfn.NUMBERVALUE(aoc_01_input[[#This Row],[Input]])</f>
        <v>1452</v>
      </c>
    </row>
    <row r="88" spans="1:2" x14ac:dyDescent="0.45">
      <c r="A88" s="1" t="s">
        <v>86</v>
      </c>
      <c r="B88" s="1">
        <f>_xlfn.NUMBERVALUE(aoc_01_input[[#This Row],[Input]])</f>
        <v>1868</v>
      </c>
    </row>
    <row r="89" spans="1:2" x14ac:dyDescent="0.45">
      <c r="A89" s="1" t="s">
        <v>87</v>
      </c>
      <c r="B89" s="1">
        <f>_xlfn.NUMBERVALUE(aoc_01_input[[#This Row],[Input]])</f>
        <v>1515</v>
      </c>
    </row>
    <row r="90" spans="1:2" x14ac:dyDescent="0.45">
      <c r="A90" s="1" t="s">
        <v>88</v>
      </c>
      <c r="B90" s="1">
        <f>_xlfn.NUMBERVALUE(aoc_01_input[[#This Row],[Input]])</f>
        <v>1586</v>
      </c>
    </row>
    <row r="91" spans="1:2" x14ac:dyDescent="0.45">
      <c r="A91" s="1" t="s">
        <v>89</v>
      </c>
      <c r="B91" s="1">
        <f>_xlfn.NUMBERVALUE(aoc_01_input[[#This Row],[Input]])</f>
        <v>1631</v>
      </c>
    </row>
    <row r="92" spans="1:2" x14ac:dyDescent="0.45">
      <c r="A92" s="1" t="s">
        <v>90</v>
      </c>
      <c r="B92" s="1">
        <f>_xlfn.NUMBERVALUE(aoc_01_input[[#This Row],[Input]])</f>
        <v>1618</v>
      </c>
    </row>
    <row r="93" spans="1:2" x14ac:dyDescent="0.45">
      <c r="A93" s="1" t="s">
        <v>91</v>
      </c>
      <c r="B93" s="1">
        <f>_xlfn.NUMBERVALUE(aoc_01_input[[#This Row],[Input]])</f>
        <v>1087</v>
      </c>
    </row>
    <row r="94" spans="1:2" x14ac:dyDescent="0.45">
      <c r="A94" s="1" t="s">
        <v>92</v>
      </c>
      <c r="B94" s="1">
        <f>_xlfn.NUMBERVALUE(aoc_01_input[[#This Row],[Input]])</f>
        <v>1710</v>
      </c>
    </row>
    <row r="95" spans="1:2" x14ac:dyDescent="0.45">
      <c r="A95" s="1" t="s">
        <v>93</v>
      </c>
      <c r="B95" s="1">
        <f>_xlfn.NUMBERVALUE(aoc_01_input[[#This Row],[Input]])</f>
        <v>1094</v>
      </c>
    </row>
    <row r="96" spans="1:2" x14ac:dyDescent="0.45">
      <c r="A96" s="1" t="s">
        <v>94</v>
      </c>
      <c r="B96" s="1">
        <f>_xlfn.NUMBERVALUE(aoc_01_input[[#This Row],[Input]])</f>
        <v>1774</v>
      </c>
    </row>
    <row r="97" spans="1:2" x14ac:dyDescent="0.45">
      <c r="A97" s="1" t="s">
        <v>95</v>
      </c>
      <c r="B97" s="1">
        <f>_xlfn.NUMBERVALUE(aoc_01_input[[#This Row],[Input]])</f>
        <v>1295</v>
      </c>
    </row>
    <row r="98" spans="1:2" x14ac:dyDescent="0.45">
      <c r="A98" s="1" t="s">
        <v>96</v>
      </c>
      <c r="B98" s="1">
        <f>_xlfn.NUMBERVALUE(aoc_01_input[[#This Row],[Input]])</f>
        <v>1700</v>
      </c>
    </row>
    <row r="99" spans="1:2" x14ac:dyDescent="0.45">
      <c r="A99" s="1" t="s">
        <v>97</v>
      </c>
      <c r="B99" s="1">
        <f>_xlfn.NUMBERVALUE(aoc_01_input[[#This Row],[Input]])</f>
        <v>1636</v>
      </c>
    </row>
    <row r="100" spans="1:2" x14ac:dyDescent="0.45">
      <c r="A100" s="1" t="s">
        <v>98</v>
      </c>
      <c r="B100" s="1">
        <f>_xlfn.NUMBERVALUE(aoc_01_input[[#This Row],[Input]])</f>
        <v>1230</v>
      </c>
    </row>
    <row r="101" spans="1:2" x14ac:dyDescent="0.45">
      <c r="A101" s="1" t="s">
        <v>99</v>
      </c>
      <c r="B101" s="1">
        <f>_xlfn.NUMBERVALUE(aoc_01_input[[#This Row],[Input]])</f>
        <v>1421</v>
      </c>
    </row>
    <row r="102" spans="1:2" x14ac:dyDescent="0.45">
      <c r="A102" s="1" t="s">
        <v>100</v>
      </c>
      <c r="B102" s="1">
        <f>_xlfn.NUMBERVALUE(aoc_01_input[[#This Row],[Input]])</f>
        <v>1910</v>
      </c>
    </row>
    <row r="103" spans="1:2" x14ac:dyDescent="0.45">
      <c r="A103" s="1" t="s">
        <v>101</v>
      </c>
      <c r="B103" s="1">
        <f>_xlfn.NUMBERVALUE(aoc_01_input[[#This Row],[Input]])</f>
        <v>1522</v>
      </c>
    </row>
    <row r="104" spans="1:2" x14ac:dyDescent="0.45">
      <c r="A104" s="1" t="s">
        <v>102</v>
      </c>
      <c r="B104" s="1">
        <f>_xlfn.NUMBERVALUE(aoc_01_input[[#This Row],[Input]])</f>
        <v>1366</v>
      </c>
    </row>
    <row r="105" spans="1:2" x14ac:dyDescent="0.45">
      <c r="A105" s="1" t="s">
        <v>103</v>
      </c>
      <c r="B105" s="1">
        <f>_xlfn.NUMBERVALUE(aoc_01_input[[#This Row],[Input]])</f>
        <v>1144</v>
      </c>
    </row>
    <row r="106" spans="1:2" x14ac:dyDescent="0.45">
      <c r="A106" s="1" t="s">
        <v>104</v>
      </c>
      <c r="B106" s="1">
        <f>_xlfn.NUMBERVALUE(aoc_01_input[[#This Row],[Input]])</f>
        <v>1757</v>
      </c>
    </row>
    <row r="107" spans="1:2" x14ac:dyDescent="0.45">
      <c r="A107" s="1" t="s">
        <v>105</v>
      </c>
      <c r="B107" s="1">
        <f>_xlfn.NUMBERVALUE(aoc_01_input[[#This Row],[Input]])</f>
        <v>1493</v>
      </c>
    </row>
    <row r="108" spans="1:2" x14ac:dyDescent="0.45">
      <c r="A108" s="1" t="s">
        <v>106</v>
      </c>
      <c r="B108" s="1">
        <f>_xlfn.NUMBERVALUE(aoc_01_input[[#This Row],[Input]])</f>
        <v>1316</v>
      </c>
    </row>
    <row r="109" spans="1:2" x14ac:dyDescent="0.45">
      <c r="A109" s="1" t="s">
        <v>107</v>
      </c>
      <c r="B109" s="1">
        <f>_xlfn.NUMBERVALUE(aoc_01_input[[#This Row],[Input]])</f>
        <v>1103</v>
      </c>
    </row>
    <row r="110" spans="1:2" x14ac:dyDescent="0.45">
      <c r="A110" s="1" t="s">
        <v>108</v>
      </c>
      <c r="B110" s="1">
        <f>_xlfn.NUMBERVALUE(aoc_01_input[[#This Row],[Input]])</f>
        <v>687</v>
      </c>
    </row>
    <row r="111" spans="1:2" x14ac:dyDescent="0.45">
      <c r="A111" s="1" t="s">
        <v>109</v>
      </c>
      <c r="B111" s="1">
        <f>_xlfn.NUMBERVALUE(aoc_01_input[[#This Row],[Input]])</f>
        <v>1371</v>
      </c>
    </row>
    <row r="112" spans="1:2" x14ac:dyDescent="0.45">
      <c r="A112" s="1" t="s">
        <v>110</v>
      </c>
      <c r="B112" s="1">
        <f>_xlfn.NUMBERVALUE(aoc_01_input[[#This Row],[Input]])</f>
        <v>1720</v>
      </c>
    </row>
    <row r="113" spans="1:2" x14ac:dyDescent="0.45">
      <c r="A113" s="1" t="s">
        <v>111</v>
      </c>
      <c r="B113" s="1">
        <f>_xlfn.NUMBERVALUE(aoc_01_input[[#This Row],[Input]])</f>
        <v>1155</v>
      </c>
    </row>
    <row r="114" spans="1:2" x14ac:dyDescent="0.45">
      <c r="A114" s="1" t="s">
        <v>112</v>
      </c>
      <c r="B114" s="1">
        <f>_xlfn.NUMBERVALUE(aoc_01_input[[#This Row],[Input]])</f>
        <v>1559</v>
      </c>
    </row>
    <row r="115" spans="1:2" x14ac:dyDescent="0.45">
      <c r="A115" s="1" t="s">
        <v>113</v>
      </c>
      <c r="B115" s="1">
        <f>_xlfn.NUMBERVALUE(aoc_01_input[[#This Row],[Input]])</f>
        <v>1900</v>
      </c>
    </row>
    <row r="116" spans="1:2" x14ac:dyDescent="0.45">
      <c r="A116" s="1" t="s">
        <v>114</v>
      </c>
      <c r="B116" s="1">
        <f>_xlfn.NUMBERVALUE(aoc_01_input[[#This Row],[Input]])</f>
        <v>989</v>
      </c>
    </row>
    <row r="117" spans="1:2" x14ac:dyDescent="0.45">
      <c r="A117" s="1" t="s">
        <v>115</v>
      </c>
      <c r="B117" s="1">
        <f>_xlfn.NUMBERVALUE(aoc_01_input[[#This Row],[Input]])</f>
        <v>1367</v>
      </c>
    </row>
    <row r="118" spans="1:2" x14ac:dyDescent="0.45">
      <c r="A118" s="1" t="s">
        <v>116</v>
      </c>
      <c r="B118" s="1">
        <f>_xlfn.NUMBERVALUE(aoc_01_input[[#This Row],[Input]])</f>
        <v>1999</v>
      </c>
    </row>
    <row r="119" spans="1:2" x14ac:dyDescent="0.45">
      <c r="A119" s="1" t="s">
        <v>117</v>
      </c>
      <c r="B119" s="1">
        <f>_xlfn.NUMBERVALUE(aoc_01_input[[#This Row],[Input]])</f>
        <v>1066</v>
      </c>
    </row>
    <row r="120" spans="1:2" x14ac:dyDescent="0.45">
      <c r="A120" s="1" t="s">
        <v>118</v>
      </c>
      <c r="B120" s="1">
        <f>_xlfn.NUMBERVALUE(aoc_01_input[[#This Row],[Input]])</f>
        <v>1773</v>
      </c>
    </row>
    <row r="121" spans="1:2" x14ac:dyDescent="0.45">
      <c r="A121" s="1" t="s">
        <v>119</v>
      </c>
      <c r="B121" s="1">
        <f>_xlfn.NUMBERVALUE(aoc_01_input[[#This Row],[Input]])</f>
        <v>1787</v>
      </c>
    </row>
    <row r="122" spans="1:2" x14ac:dyDescent="0.45">
      <c r="A122" s="1" t="s">
        <v>120</v>
      </c>
      <c r="B122" s="1">
        <f>_xlfn.NUMBERVALUE(aoc_01_input[[#This Row],[Input]])</f>
        <v>1402</v>
      </c>
    </row>
    <row r="123" spans="1:2" x14ac:dyDescent="0.45">
      <c r="A123" s="1" t="s">
        <v>121</v>
      </c>
      <c r="B123" s="1">
        <f>_xlfn.NUMBERVALUE(aoc_01_input[[#This Row],[Input]])</f>
        <v>1047</v>
      </c>
    </row>
    <row r="124" spans="1:2" x14ac:dyDescent="0.45">
      <c r="A124" s="1" t="s">
        <v>122</v>
      </c>
      <c r="B124" s="1">
        <f>_xlfn.NUMBERVALUE(aoc_01_input[[#This Row],[Input]])</f>
        <v>1806</v>
      </c>
    </row>
    <row r="125" spans="1:2" x14ac:dyDescent="0.45">
      <c r="A125" s="1" t="s">
        <v>123</v>
      </c>
      <c r="B125" s="1">
        <f>_xlfn.NUMBERVALUE(aoc_01_input[[#This Row],[Input]])</f>
        <v>1956</v>
      </c>
    </row>
    <row r="126" spans="1:2" x14ac:dyDescent="0.45">
      <c r="A126" s="1" t="s">
        <v>124</v>
      </c>
      <c r="B126" s="1">
        <f>_xlfn.NUMBERVALUE(aoc_01_input[[#This Row],[Input]])</f>
        <v>1219</v>
      </c>
    </row>
    <row r="127" spans="1:2" x14ac:dyDescent="0.45">
      <c r="A127" s="1" t="s">
        <v>125</v>
      </c>
      <c r="B127" s="1">
        <f>_xlfn.NUMBERVALUE(aoc_01_input[[#This Row],[Input]])</f>
        <v>1555</v>
      </c>
    </row>
    <row r="128" spans="1:2" x14ac:dyDescent="0.45">
      <c r="A128" s="1" t="s">
        <v>126</v>
      </c>
      <c r="B128" s="1">
        <f>_xlfn.NUMBERVALUE(aoc_01_input[[#This Row],[Input]])</f>
        <v>1307</v>
      </c>
    </row>
    <row r="129" spans="1:2" x14ac:dyDescent="0.45">
      <c r="A129" s="1" t="s">
        <v>127</v>
      </c>
      <c r="B129" s="1">
        <f>_xlfn.NUMBERVALUE(aoc_01_input[[#This Row],[Input]])</f>
        <v>1419</v>
      </c>
    </row>
    <row r="130" spans="1:2" x14ac:dyDescent="0.45">
      <c r="A130" s="1" t="s">
        <v>128</v>
      </c>
      <c r="B130" s="1">
        <f>_xlfn.NUMBERVALUE(aoc_01_input[[#This Row],[Input]])</f>
        <v>1706</v>
      </c>
    </row>
    <row r="131" spans="1:2" x14ac:dyDescent="0.45">
      <c r="A131" s="1" t="s">
        <v>129</v>
      </c>
      <c r="B131" s="1">
        <f>_xlfn.NUMBERVALUE(aoc_01_input[[#This Row],[Input]])</f>
        <v>1884</v>
      </c>
    </row>
    <row r="132" spans="1:2" x14ac:dyDescent="0.45">
      <c r="A132" s="1" t="s">
        <v>130</v>
      </c>
      <c r="B132" s="1">
        <f>_xlfn.NUMBERVALUE(aoc_01_input[[#This Row],[Input]])</f>
        <v>1109</v>
      </c>
    </row>
    <row r="133" spans="1:2" x14ac:dyDescent="0.45">
      <c r="A133" s="1" t="s">
        <v>131</v>
      </c>
      <c r="B133" s="1">
        <f>_xlfn.NUMBERVALUE(aoc_01_input[[#This Row],[Input]])</f>
        <v>1181</v>
      </c>
    </row>
    <row r="134" spans="1:2" x14ac:dyDescent="0.45">
      <c r="A134" s="1" t="s">
        <v>132</v>
      </c>
      <c r="B134" s="1">
        <f>_xlfn.NUMBERVALUE(aoc_01_input[[#This Row],[Input]])</f>
        <v>2010</v>
      </c>
    </row>
    <row r="135" spans="1:2" x14ac:dyDescent="0.45">
      <c r="A135" s="1" t="s">
        <v>133</v>
      </c>
      <c r="B135" s="1">
        <f>_xlfn.NUMBERVALUE(aoc_01_input[[#This Row],[Input]])</f>
        <v>1298</v>
      </c>
    </row>
    <row r="136" spans="1:2" x14ac:dyDescent="0.45">
      <c r="A136" s="1" t="s">
        <v>134</v>
      </c>
      <c r="B136" s="1">
        <f>_xlfn.NUMBERVALUE(aoc_01_input[[#This Row],[Input]])</f>
        <v>1730</v>
      </c>
    </row>
    <row r="137" spans="1:2" x14ac:dyDescent="0.45">
      <c r="A137" s="1" t="s">
        <v>135</v>
      </c>
      <c r="B137" s="1">
        <f>_xlfn.NUMBERVALUE(aoc_01_input[[#This Row],[Input]])</f>
        <v>1078</v>
      </c>
    </row>
    <row r="138" spans="1:2" x14ac:dyDescent="0.45">
      <c r="A138" s="1" t="s">
        <v>136</v>
      </c>
      <c r="B138" s="1">
        <f>_xlfn.NUMBERVALUE(aoc_01_input[[#This Row],[Input]])</f>
        <v>1848</v>
      </c>
    </row>
    <row r="139" spans="1:2" x14ac:dyDescent="0.45">
      <c r="A139" s="1" t="s">
        <v>137</v>
      </c>
      <c r="B139" s="1">
        <f>_xlfn.NUMBERVALUE(aoc_01_input[[#This Row],[Input]])</f>
        <v>1398</v>
      </c>
    </row>
    <row r="140" spans="1:2" x14ac:dyDescent="0.45">
      <c r="A140" s="1" t="s">
        <v>138</v>
      </c>
      <c r="B140" s="1">
        <f>_xlfn.NUMBERVALUE(aoc_01_input[[#This Row],[Input]])</f>
        <v>1687</v>
      </c>
    </row>
    <row r="141" spans="1:2" x14ac:dyDescent="0.45">
      <c r="A141" s="1" t="s">
        <v>139</v>
      </c>
      <c r="B141" s="1">
        <f>_xlfn.NUMBERVALUE(aoc_01_input[[#This Row],[Input]])</f>
        <v>2007</v>
      </c>
    </row>
    <row r="142" spans="1:2" x14ac:dyDescent="0.45">
      <c r="A142" s="1" t="s">
        <v>140</v>
      </c>
      <c r="B142" s="1">
        <f>_xlfn.NUMBERVALUE(aoc_01_input[[#This Row],[Input]])</f>
        <v>1550</v>
      </c>
    </row>
    <row r="143" spans="1:2" x14ac:dyDescent="0.45">
      <c r="A143" s="1" t="s">
        <v>141</v>
      </c>
      <c r="B143" s="1">
        <f>_xlfn.NUMBERVALUE(aoc_01_input[[#This Row],[Input]])</f>
        <v>1664</v>
      </c>
    </row>
    <row r="144" spans="1:2" x14ac:dyDescent="0.45">
      <c r="A144" s="1" t="s">
        <v>142</v>
      </c>
      <c r="B144" s="1">
        <f>_xlfn.NUMBERVALUE(aoc_01_input[[#This Row],[Input]])</f>
        <v>1225</v>
      </c>
    </row>
    <row r="145" spans="1:2" x14ac:dyDescent="0.45">
      <c r="A145" s="1" t="s">
        <v>143</v>
      </c>
      <c r="B145" s="1">
        <f>_xlfn.NUMBERVALUE(aoc_01_input[[#This Row],[Input]])</f>
        <v>1079</v>
      </c>
    </row>
    <row r="146" spans="1:2" x14ac:dyDescent="0.45">
      <c r="A146" s="1" t="s">
        <v>144</v>
      </c>
      <c r="B146" s="1">
        <f>_xlfn.NUMBERVALUE(aoc_01_input[[#This Row],[Input]])</f>
        <v>1698</v>
      </c>
    </row>
    <row r="147" spans="1:2" x14ac:dyDescent="0.45">
      <c r="A147" s="1" t="s">
        <v>145</v>
      </c>
      <c r="B147" s="1">
        <f>_xlfn.NUMBERVALUE(aoc_01_input[[#This Row],[Input]])</f>
        <v>350</v>
      </c>
    </row>
    <row r="148" spans="1:2" x14ac:dyDescent="0.45">
      <c r="A148" s="1" t="s">
        <v>146</v>
      </c>
      <c r="B148" s="1">
        <f>_xlfn.NUMBERVALUE(aoc_01_input[[#This Row],[Input]])</f>
        <v>1222</v>
      </c>
    </row>
    <row r="149" spans="1:2" x14ac:dyDescent="0.45">
      <c r="A149" s="1" t="s">
        <v>147</v>
      </c>
      <c r="B149" s="1">
        <f>_xlfn.NUMBERVALUE(aoc_01_input[[#This Row],[Input]])</f>
        <v>1377</v>
      </c>
    </row>
    <row r="150" spans="1:2" x14ac:dyDescent="0.45">
      <c r="A150" s="1" t="s">
        <v>148</v>
      </c>
      <c r="B150" s="1">
        <f>_xlfn.NUMBERVALUE(aoc_01_input[[#This Row],[Input]])</f>
        <v>1977</v>
      </c>
    </row>
    <row r="151" spans="1:2" x14ac:dyDescent="0.45">
      <c r="A151" s="1" t="s">
        <v>149</v>
      </c>
      <c r="B151" s="1">
        <f>_xlfn.NUMBERVALUE(aoc_01_input[[#This Row],[Input]])</f>
        <v>1510</v>
      </c>
    </row>
    <row r="152" spans="1:2" x14ac:dyDescent="0.45">
      <c r="A152" s="1" t="s">
        <v>150</v>
      </c>
      <c r="B152" s="1">
        <f>_xlfn.NUMBERVALUE(aoc_01_input[[#This Row],[Input]])</f>
        <v>1571</v>
      </c>
    </row>
    <row r="153" spans="1:2" x14ac:dyDescent="0.45">
      <c r="A153" s="1" t="s">
        <v>151</v>
      </c>
      <c r="B153" s="1">
        <f>_xlfn.NUMBERVALUE(aoc_01_input[[#This Row],[Input]])</f>
        <v>1630</v>
      </c>
    </row>
    <row r="154" spans="1:2" x14ac:dyDescent="0.45">
      <c r="A154" s="1" t="s">
        <v>152</v>
      </c>
      <c r="B154" s="1">
        <f>_xlfn.NUMBERVALUE(aoc_01_input[[#This Row],[Input]])</f>
        <v>1029</v>
      </c>
    </row>
    <row r="155" spans="1:2" x14ac:dyDescent="0.45">
      <c r="A155" s="1" t="s">
        <v>153</v>
      </c>
      <c r="B155" s="1">
        <f>_xlfn.NUMBERVALUE(aoc_01_input[[#This Row],[Input]])</f>
        <v>1379</v>
      </c>
    </row>
    <row r="156" spans="1:2" x14ac:dyDescent="0.45">
      <c r="A156" s="1" t="s">
        <v>154</v>
      </c>
      <c r="B156" s="1">
        <f>_xlfn.NUMBERVALUE(aoc_01_input[[#This Row],[Input]])</f>
        <v>1942</v>
      </c>
    </row>
    <row r="157" spans="1:2" x14ac:dyDescent="0.45">
      <c r="A157" s="1" t="s">
        <v>155</v>
      </c>
      <c r="B157" s="1">
        <f>_xlfn.NUMBERVALUE(aoc_01_input[[#This Row],[Input]])</f>
        <v>1949</v>
      </c>
    </row>
    <row r="158" spans="1:2" x14ac:dyDescent="0.45">
      <c r="A158" s="1" t="s">
        <v>156</v>
      </c>
      <c r="B158" s="1">
        <f>_xlfn.NUMBERVALUE(aoc_01_input[[#This Row],[Input]])</f>
        <v>1249</v>
      </c>
    </row>
    <row r="159" spans="1:2" x14ac:dyDescent="0.45">
      <c r="A159" s="1" t="s">
        <v>157</v>
      </c>
      <c r="B159" s="1">
        <f>_xlfn.NUMBERVALUE(aoc_01_input[[#This Row],[Input]])</f>
        <v>1829</v>
      </c>
    </row>
    <row r="160" spans="1:2" x14ac:dyDescent="0.45">
      <c r="A160" s="1" t="s">
        <v>158</v>
      </c>
      <c r="B160" s="1">
        <f>_xlfn.NUMBERVALUE(aoc_01_input[[#This Row],[Input]])</f>
        <v>1297</v>
      </c>
    </row>
    <row r="161" spans="1:2" x14ac:dyDescent="0.45">
      <c r="A161" s="1" t="s">
        <v>159</v>
      </c>
      <c r="B161" s="1">
        <f>_xlfn.NUMBERVALUE(aoc_01_input[[#This Row],[Input]])</f>
        <v>1530</v>
      </c>
    </row>
    <row r="162" spans="1:2" x14ac:dyDescent="0.45">
      <c r="A162" s="1" t="s">
        <v>160</v>
      </c>
      <c r="B162" s="1">
        <f>_xlfn.NUMBERVALUE(aoc_01_input[[#This Row],[Input]])</f>
        <v>1607</v>
      </c>
    </row>
    <row r="163" spans="1:2" x14ac:dyDescent="0.45">
      <c r="A163" s="1" t="s">
        <v>161</v>
      </c>
      <c r="B163" s="1">
        <f>_xlfn.NUMBERVALUE(aoc_01_input[[#This Row],[Input]])</f>
        <v>1324</v>
      </c>
    </row>
    <row r="164" spans="1:2" x14ac:dyDescent="0.45">
      <c r="A164" s="1" t="s">
        <v>162</v>
      </c>
      <c r="B164" s="1">
        <f>_xlfn.NUMBERVALUE(aoc_01_input[[#This Row],[Input]])</f>
        <v>1069</v>
      </c>
    </row>
    <row r="165" spans="1:2" x14ac:dyDescent="0.45">
      <c r="A165" s="1" t="s">
        <v>163</v>
      </c>
      <c r="B165" s="1">
        <f>_xlfn.NUMBERVALUE(aoc_01_input[[#This Row],[Input]])</f>
        <v>1476</v>
      </c>
    </row>
    <row r="166" spans="1:2" x14ac:dyDescent="0.45">
      <c r="A166" s="1" t="s">
        <v>164</v>
      </c>
      <c r="B166" s="1">
        <f>_xlfn.NUMBERVALUE(aoc_01_input[[#This Row],[Input]])</f>
        <v>928</v>
      </c>
    </row>
    <row r="167" spans="1:2" x14ac:dyDescent="0.45">
      <c r="A167" s="1" t="s">
        <v>165</v>
      </c>
      <c r="B167" s="1">
        <f>_xlfn.NUMBERVALUE(aoc_01_input[[#This Row],[Input]])</f>
        <v>1039</v>
      </c>
    </row>
    <row r="168" spans="1:2" x14ac:dyDescent="0.45">
      <c r="A168" s="1" t="s">
        <v>166</v>
      </c>
      <c r="B168" s="1">
        <f>_xlfn.NUMBERVALUE(aoc_01_input[[#This Row],[Input]])</f>
        <v>1855</v>
      </c>
    </row>
    <row r="169" spans="1:2" x14ac:dyDescent="0.45">
      <c r="A169" s="1" t="s">
        <v>167</v>
      </c>
      <c r="B169" s="1">
        <f>_xlfn.NUMBERVALUE(aoc_01_input[[#This Row],[Input]])</f>
        <v>1644</v>
      </c>
    </row>
    <row r="170" spans="1:2" x14ac:dyDescent="0.45">
      <c r="A170" s="1" t="s">
        <v>168</v>
      </c>
      <c r="B170" s="1">
        <f>_xlfn.NUMBERVALUE(aoc_01_input[[#This Row],[Input]])</f>
        <v>1454</v>
      </c>
    </row>
    <row r="171" spans="1:2" x14ac:dyDescent="0.45">
      <c r="A171" s="1" t="s">
        <v>169</v>
      </c>
      <c r="B171" s="1">
        <f>_xlfn.NUMBERVALUE(aoc_01_input[[#This Row],[Input]])</f>
        <v>1310</v>
      </c>
    </row>
    <row r="172" spans="1:2" x14ac:dyDescent="0.45">
      <c r="A172" s="1" t="s">
        <v>170</v>
      </c>
      <c r="B172" s="1">
        <f>_xlfn.NUMBERVALUE(aoc_01_input[[#This Row],[Input]])</f>
        <v>1172</v>
      </c>
    </row>
    <row r="173" spans="1:2" x14ac:dyDescent="0.45">
      <c r="A173" s="1" t="s">
        <v>171</v>
      </c>
      <c r="B173" s="1">
        <f>_xlfn.NUMBERVALUE(aoc_01_input[[#This Row],[Input]])</f>
        <v>547</v>
      </c>
    </row>
    <row r="174" spans="1:2" x14ac:dyDescent="0.45">
      <c r="A174" s="1" t="s">
        <v>172</v>
      </c>
      <c r="B174" s="1">
        <f>_xlfn.NUMBERVALUE(aoc_01_input[[#This Row],[Input]])</f>
        <v>1034</v>
      </c>
    </row>
    <row r="175" spans="1:2" x14ac:dyDescent="0.45">
      <c r="A175" s="1" t="s">
        <v>173</v>
      </c>
      <c r="B175" s="1">
        <f>_xlfn.NUMBERVALUE(aoc_01_input[[#This Row],[Input]])</f>
        <v>1878</v>
      </c>
    </row>
    <row r="176" spans="1:2" x14ac:dyDescent="0.45">
      <c r="A176" s="1" t="s">
        <v>174</v>
      </c>
      <c r="B176" s="1">
        <f>_xlfn.NUMBERVALUE(aoc_01_input[[#This Row],[Input]])</f>
        <v>1479</v>
      </c>
    </row>
    <row r="177" spans="1:2" x14ac:dyDescent="0.45">
      <c r="A177" s="1" t="s">
        <v>175</v>
      </c>
      <c r="B177" s="1">
        <f>_xlfn.NUMBERVALUE(aoc_01_input[[#This Row],[Input]])</f>
        <v>1457</v>
      </c>
    </row>
    <row r="178" spans="1:2" x14ac:dyDescent="0.45">
      <c r="A178" s="1" t="s">
        <v>176</v>
      </c>
      <c r="B178" s="1">
        <f>_xlfn.NUMBERVALUE(aoc_01_input[[#This Row],[Input]])</f>
        <v>1319</v>
      </c>
    </row>
    <row r="179" spans="1:2" x14ac:dyDescent="0.45">
      <c r="A179" s="1" t="s">
        <v>177</v>
      </c>
      <c r="B179" s="1">
        <f>_xlfn.NUMBERVALUE(aoc_01_input[[#This Row],[Input]])</f>
        <v>1810</v>
      </c>
    </row>
    <row r="180" spans="1:2" x14ac:dyDescent="0.45">
      <c r="A180" s="1" t="s">
        <v>178</v>
      </c>
      <c r="B180" s="1">
        <f>_xlfn.NUMBERVALUE(aoc_01_input[[#This Row],[Input]])</f>
        <v>1759</v>
      </c>
    </row>
    <row r="181" spans="1:2" x14ac:dyDescent="0.45">
      <c r="A181" s="1" t="s">
        <v>179</v>
      </c>
      <c r="B181" s="1">
        <f>_xlfn.NUMBERVALUE(aoc_01_input[[#This Row],[Input]])</f>
        <v>1439</v>
      </c>
    </row>
    <row r="182" spans="1:2" x14ac:dyDescent="0.45">
      <c r="A182" s="1" t="s">
        <v>180</v>
      </c>
      <c r="B182" s="1">
        <f>_xlfn.NUMBERVALUE(aoc_01_input[[#This Row],[Input]])</f>
        <v>1851</v>
      </c>
    </row>
    <row r="183" spans="1:2" x14ac:dyDescent="0.45">
      <c r="A183" s="1" t="s">
        <v>181</v>
      </c>
      <c r="B183" s="1">
        <f>_xlfn.NUMBERVALUE(aoc_01_input[[#This Row],[Input]])</f>
        <v>545</v>
      </c>
    </row>
    <row r="184" spans="1:2" x14ac:dyDescent="0.45">
      <c r="A184" s="1" t="s">
        <v>182</v>
      </c>
      <c r="B184" s="1">
        <f>_xlfn.NUMBERVALUE(aoc_01_input[[#This Row],[Input]])</f>
        <v>1470</v>
      </c>
    </row>
    <row r="185" spans="1:2" x14ac:dyDescent="0.45">
      <c r="A185" s="1" t="s">
        <v>183</v>
      </c>
      <c r="B185" s="1">
        <f>_xlfn.NUMBERVALUE(aoc_01_input[[#This Row],[Input]])</f>
        <v>2003</v>
      </c>
    </row>
    <row r="186" spans="1:2" x14ac:dyDescent="0.45">
      <c r="A186" s="1" t="s">
        <v>184</v>
      </c>
      <c r="B186" s="1">
        <f>_xlfn.NUMBERVALUE(aoc_01_input[[#This Row],[Input]])</f>
        <v>1908</v>
      </c>
    </row>
    <row r="187" spans="1:2" x14ac:dyDescent="0.45">
      <c r="A187" s="1" t="s">
        <v>185</v>
      </c>
      <c r="B187" s="1">
        <f>_xlfn.NUMBERVALUE(aoc_01_input[[#This Row],[Input]])</f>
        <v>1564</v>
      </c>
    </row>
    <row r="188" spans="1:2" x14ac:dyDescent="0.45">
      <c r="A188" s="1" t="s">
        <v>186</v>
      </c>
      <c r="B188" s="1">
        <f>_xlfn.NUMBERVALUE(aoc_01_input[[#This Row],[Input]])</f>
        <v>1491</v>
      </c>
    </row>
    <row r="189" spans="1:2" x14ac:dyDescent="0.45">
      <c r="A189" s="1" t="s">
        <v>187</v>
      </c>
      <c r="B189" s="1">
        <f>_xlfn.NUMBERVALUE(aoc_01_input[[#This Row],[Input]])</f>
        <v>1174</v>
      </c>
    </row>
    <row r="190" spans="1:2" x14ac:dyDescent="0.45">
      <c r="A190" s="1" t="s">
        <v>188</v>
      </c>
      <c r="B190" s="1">
        <f>_xlfn.NUMBERVALUE(aoc_01_input[[#This Row],[Input]])</f>
        <v>1301</v>
      </c>
    </row>
    <row r="191" spans="1:2" x14ac:dyDescent="0.45">
      <c r="A191" s="1" t="s">
        <v>189</v>
      </c>
      <c r="B191" s="1">
        <f>_xlfn.NUMBERVALUE(aoc_01_input[[#This Row],[Input]])</f>
        <v>1689</v>
      </c>
    </row>
    <row r="192" spans="1:2" x14ac:dyDescent="0.45">
      <c r="A192" s="1" t="s">
        <v>190</v>
      </c>
      <c r="B192" s="1">
        <f>_xlfn.NUMBERVALUE(aoc_01_input[[#This Row],[Input]])</f>
        <v>1276</v>
      </c>
    </row>
    <row r="193" spans="1:2" x14ac:dyDescent="0.45">
      <c r="A193" s="1" t="s">
        <v>191</v>
      </c>
      <c r="B193" s="1">
        <f>_xlfn.NUMBERVALUE(aoc_01_input[[#This Row],[Input]])</f>
        <v>1781</v>
      </c>
    </row>
    <row r="194" spans="1:2" x14ac:dyDescent="0.45">
      <c r="A194" s="1" t="s">
        <v>192</v>
      </c>
      <c r="B194" s="1">
        <f>_xlfn.NUMBERVALUE(aoc_01_input[[#This Row],[Input]])</f>
        <v>1392</v>
      </c>
    </row>
    <row r="195" spans="1:2" x14ac:dyDescent="0.45">
      <c r="A195" s="1" t="s">
        <v>193</v>
      </c>
      <c r="B195" s="1">
        <f>_xlfn.NUMBERVALUE(aoc_01_input[[#This Row],[Input]])</f>
        <v>1499</v>
      </c>
    </row>
    <row r="196" spans="1:2" x14ac:dyDescent="0.45">
      <c r="A196" s="1" t="s">
        <v>194</v>
      </c>
      <c r="B196" s="1">
        <f>_xlfn.NUMBERVALUE(aoc_01_input[[#This Row],[Input]])</f>
        <v>1962</v>
      </c>
    </row>
    <row r="197" spans="1:2" x14ac:dyDescent="0.45">
      <c r="A197" s="1" t="s">
        <v>195</v>
      </c>
      <c r="B197" s="1">
        <f>_xlfn.NUMBERVALUE(aoc_01_input[[#This Row],[Input]])</f>
        <v>1653</v>
      </c>
    </row>
    <row r="198" spans="1:2" x14ac:dyDescent="0.45">
      <c r="A198" s="1" t="s">
        <v>196</v>
      </c>
      <c r="B198" s="1">
        <f>_xlfn.NUMBERVALUE(aoc_01_input[[#This Row],[Input]])</f>
        <v>1823</v>
      </c>
    </row>
    <row r="199" spans="1:2" x14ac:dyDescent="0.45">
      <c r="A199" s="1" t="s">
        <v>197</v>
      </c>
      <c r="B199" s="1">
        <f>_xlfn.NUMBERVALUE(aoc_01_input[[#This Row],[Input]])</f>
        <v>1381</v>
      </c>
    </row>
    <row r="200" spans="1:2" x14ac:dyDescent="0.45">
      <c r="A200" s="1" t="s">
        <v>198</v>
      </c>
      <c r="B200" s="1">
        <f>_xlfn.NUMBERVALUE(aoc_01_input[[#This Row],[Input]])</f>
        <v>1827</v>
      </c>
    </row>
    <row r="201" spans="1:2" x14ac:dyDescent="0.45">
      <c r="A201" s="1" t="s">
        <v>199</v>
      </c>
      <c r="B201" s="1">
        <f>_xlfn.NUMBERVALUE(aoc_01_input[[#This Row],[Input]])</f>
        <v>1974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4DE8-94F0-4C01-88D8-6D0F84355436}">
  <sheetPr codeName="AoC_01"/>
  <dimension ref="B2:C6"/>
  <sheetViews>
    <sheetView workbookViewId="0">
      <selection activeCell="C2" sqref="C2"/>
    </sheetView>
  </sheetViews>
  <sheetFormatPr defaultRowHeight="14.25" x14ac:dyDescent="0.45"/>
  <cols>
    <col min="2" max="2" width="18.73046875" bestFit="1" customWidth="1"/>
    <col min="3" max="3" width="11.796875" customWidth="1"/>
  </cols>
  <sheetData>
    <row r="2" spans="2:3" x14ac:dyDescent="0.45">
      <c r="B2" t="s">
        <v>200</v>
      </c>
      <c r="C2" cm="1">
        <f t="array" ref="C2">SolveAoC01_1(aoc_01_input[InputAsNumber])</f>
        <v>866436</v>
      </c>
    </row>
    <row r="4" spans="2:3" x14ac:dyDescent="0.45">
      <c r="B4" t="s">
        <v>202</v>
      </c>
      <c r="C4">
        <f>MIN(aoc_01_input[InputAsNumber])</f>
        <v>350</v>
      </c>
    </row>
    <row r="5" spans="2:3" x14ac:dyDescent="0.45">
      <c r="B5" t="s">
        <v>205</v>
      </c>
      <c r="C5">
        <f>2020-C4</f>
        <v>1670</v>
      </c>
    </row>
    <row r="6" spans="2:3" x14ac:dyDescent="0.45">
      <c r="B6" t="s">
        <v>201</v>
      </c>
      <c r="C6" cm="1">
        <f t="array" ref="C6">SolveAoC01_2(aoc_01_input[Input],C5)</f>
        <v>276650720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1507-A89C-4B49-AF0F-88F67C2F9659}">
  <sheetPr codeName="Sheet2"/>
  <dimension ref="A1:N1001"/>
  <sheetViews>
    <sheetView workbookViewId="0">
      <selection activeCell="N3" sqref="N3"/>
    </sheetView>
  </sheetViews>
  <sheetFormatPr defaultRowHeight="14.25" x14ac:dyDescent="0.45"/>
  <cols>
    <col min="1" max="2" width="10.19921875" bestFit="1" customWidth="1"/>
    <col min="3" max="3" width="30.1328125" bestFit="1" customWidth="1"/>
    <col min="4" max="4" width="9.796875" bestFit="1" customWidth="1"/>
    <col min="5" max="6" width="6.19921875" bestFit="1" customWidth="1"/>
    <col min="7" max="7" width="6.59765625" bestFit="1" customWidth="1"/>
    <col min="8" max="8" width="13.3984375" bestFit="1" customWidth="1"/>
    <col min="9" max="9" width="8.33203125" bestFit="1" customWidth="1"/>
    <col min="10" max="10" width="6.796875" bestFit="1" customWidth="1"/>
    <col min="11" max="11" width="10.86328125" bestFit="1" customWidth="1"/>
    <col min="12" max="12" width="6.796875" bestFit="1" customWidth="1"/>
    <col min="13" max="13" width="10.86328125" bestFit="1" customWidth="1"/>
  </cols>
  <sheetData>
    <row r="1" spans="1:14" x14ac:dyDescent="0.45">
      <c r="A1" t="s">
        <v>1383</v>
      </c>
      <c r="B1" t="s">
        <v>1384</v>
      </c>
      <c r="C1" t="s">
        <v>1382</v>
      </c>
      <c r="D1" t="s">
        <v>1372</v>
      </c>
      <c r="E1" t="s">
        <v>1373</v>
      </c>
      <c r="F1" t="s">
        <v>1374</v>
      </c>
      <c r="G1" t="s">
        <v>1375</v>
      </c>
      <c r="H1" t="s">
        <v>1376</v>
      </c>
      <c r="I1" t="s">
        <v>1377</v>
      </c>
      <c r="J1" t="s">
        <v>1379</v>
      </c>
      <c r="K1" t="s">
        <v>1378</v>
      </c>
      <c r="L1" t="s">
        <v>1380</v>
      </c>
      <c r="M1" t="s">
        <v>1381</v>
      </c>
      <c r="N1" t="s">
        <v>1385</v>
      </c>
    </row>
    <row r="2" spans="1:14" x14ac:dyDescent="0.45">
      <c r="A2" s="1" t="s">
        <v>206</v>
      </c>
      <c r="B2" s="1" t="s">
        <v>207</v>
      </c>
      <c r="C2" s="1" t="s">
        <v>208</v>
      </c>
      <c r="D2" s="1">
        <f>FIND("-",aoc_02_input[[#This Row],[InputNumbers]])</f>
        <v>2</v>
      </c>
      <c r="E2" s="1">
        <f>_xlfn.NUMBERVALUE(LEFT(aoc_02_input[[#This Row],[InputNumbers]],aoc_02_input[[#This Row],[PosDash]]-1))</f>
        <v>1</v>
      </c>
      <c r="F2" s="1">
        <f>_xlfn.NUMBERVALUE(MID(aoc_02_input[[#This Row],[InputNumbers]],aoc_02_input[[#This Row],[PosDash]]+1,5))</f>
        <v>14</v>
      </c>
      <c r="G2" s="1" t="str">
        <f>LEFT(aoc_02_input[[#This Row],[InputChar]],1)</f>
        <v>b</v>
      </c>
      <c r="H2" s="1" cm="1">
        <f t="array" ref="H2">CountChar(aoc_02_input[[#This Row],[Password]],aoc_02_input[[#This Row],[Char]])</f>
        <v>19</v>
      </c>
      <c r="I2" s="1">
        <f>IF(AND(aoc_02_input[[#This Row],[Int1]]&lt;=aoc_02_input[[#This Row],[CountOfChar]],aoc_02_input[[#This Row],[CountOfChar]]&lt;=aoc_02_input[[#This Row],[Int2]]),1,0)</f>
        <v>0</v>
      </c>
      <c r="J2" s="1" t="str">
        <f>MID(aoc_02_input[[#This Row],[Password]],aoc_02_input[[#This Row],[Int1]],1)</f>
        <v>b</v>
      </c>
      <c r="K2" s="1">
        <f>IF(aoc_02_input[[#This Row],[Pos1]]=aoc_02_input[[#This Row],[Char]],1,0)</f>
        <v>1</v>
      </c>
      <c r="L2" s="1" t="str">
        <f>MID(aoc_02_input[[#This Row],[Password]],aoc_02_input[[#This Row],[Int2]],1)</f>
        <v>b</v>
      </c>
      <c r="M2" s="1">
        <f>IF(aoc_02_input[[#This Row],[Pos2]]=aoc_02_input[[#This Row],[Char]],1,0)</f>
        <v>1</v>
      </c>
      <c r="N2" s="1">
        <f>IF(aoc_02_input[[#This Row],[Pos1Valid]]&lt;&gt;aoc_02_input[[#This Row],[Pos2Valid]],1,0)</f>
        <v>0</v>
      </c>
    </row>
    <row r="3" spans="1:14" x14ac:dyDescent="0.45">
      <c r="A3" s="1" t="s">
        <v>209</v>
      </c>
      <c r="B3" s="1" t="s">
        <v>210</v>
      </c>
      <c r="C3" s="1" t="s">
        <v>211</v>
      </c>
      <c r="D3" s="1">
        <f>FIND("-",aoc_02_input[[#This Row],[InputNumbers]])</f>
        <v>2</v>
      </c>
      <c r="E3" s="1">
        <f>_xlfn.NUMBERVALUE(LEFT(aoc_02_input[[#This Row],[InputNumbers]],aoc_02_input[[#This Row],[PosDash]]-1))</f>
        <v>3</v>
      </c>
      <c r="F3" s="1">
        <f>_xlfn.NUMBERVALUE(MID(aoc_02_input[[#This Row],[InputNumbers]],aoc_02_input[[#This Row],[PosDash]]+1,5))</f>
        <v>14</v>
      </c>
      <c r="G3" s="1" t="str">
        <f>LEFT(aoc_02_input[[#This Row],[InputChar]],1)</f>
        <v>v</v>
      </c>
      <c r="H3" s="1" cm="1">
        <f t="array" ref="H3">CountChar(aoc_02_input[[#This Row],[Password]],aoc_02_input[[#This Row],[Char]])</f>
        <v>13</v>
      </c>
      <c r="I3" s="1">
        <f>IF(AND(aoc_02_input[[#This Row],[Int1]]&lt;=aoc_02_input[[#This Row],[CountOfChar]],aoc_02_input[[#This Row],[CountOfChar]]&lt;=aoc_02_input[[#This Row],[Int2]]),1,0)</f>
        <v>1</v>
      </c>
      <c r="J3" s="1" t="str">
        <f>MID(aoc_02_input[[#This Row],[Password]],aoc_02_input[[#This Row],[Int1]],1)</f>
        <v>p</v>
      </c>
      <c r="K3" s="1">
        <f>IF(aoc_02_input[[#This Row],[Pos1]]=aoc_02_input[[#This Row],[Char]],1,0)</f>
        <v>0</v>
      </c>
      <c r="L3" s="1" t="str">
        <f>MID(aoc_02_input[[#This Row],[Password]],aoc_02_input[[#This Row],[Int2]],1)</f>
        <v>v</v>
      </c>
      <c r="M3" s="1">
        <f>IF(aoc_02_input[[#This Row],[Pos2]]=aoc_02_input[[#This Row],[Char]],1,0)</f>
        <v>1</v>
      </c>
      <c r="N3" s="1">
        <f>IF(aoc_02_input[[#This Row],[Pos1Valid]]&lt;&gt;aoc_02_input[[#This Row],[Pos2Valid]],1,0)</f>
        <v>1</v>
      </c>
    </row>
    <row r="4" spans="1:14" x14ac:dyDescent="0.45">
      <c r="A4" s="1" t="s">
        <v>212</v>
      </c>
      <c r="B4" s="1" t="s">
        <v>213</v>
      </c>
      <c r="C4" s="1" t="s">
        <v>214</v>
      </c>
      <c r="D4" s="1">
        <f>FIND("-",aoc_02_input[[#This Row],[InputNumbers]])</f>
        <v>2</v>
      </c>
      <c r="E4" s="1">
        <f>_xlfn.NUMBERVALUE(LEFT(aoc_02_input[[#This Row],[InputNumbers]],aoc_02_input[[#This Row],[PosDash]]-1))</f>
        <v>2</v>
      </c>
      <c r="F4" s="1">
        <f>_xlfn.NUMBERVALUE(MID(aoc_02_input[[#This Row],[InputNumbers]],aoc_02_input[[#This Row],[PosDash]]+1,5))</f>
        <v>5</v>
      </c>
      <c r="G4" s="1" t="str">
        <f>LEFT(aoc_02_input[[#This Row],[InputChar]],1)</f>
        <v>m</v>
      </c>
      <c r="H4" s="1" cm="1">
        <f t="array" ref="H4">CountChar(aoc_02_input[[#This Row],[Password]],aoc_02_input[[#This Row],[Char]])</f>
        <v>4</v>
      </c>
      <c r="I4" s="1">
        <f>IF(AND(aoc_02_input[[#This Row],[Int1]]&lt;=aoc_02_input[[#This Row],[CountOfChar]],aoc_02_input[[#This Row],[CountOfChar]]&lt;=aoc_02_input[[#This Row],[Int2]]),1,0)</f>
        <v>1</v>
      </c>
      <c r="J4" s="1" t="str">
        <f>MID(aoc_02_input[[#This Row],[Password]],aoc_02_input[[#This Row],[Int1]],1)</f>
        <v>f</v>
      </c>
      <c r="K4" s="1">
        <f>IF(aoc_02_input[[#This Row],[Pos1]]=aoc_02_input[[#This Row],[Char]],1,0)</f>
        <v>0</v>
      </c>
      <c r="L4" s="1" t="str">
        <f>MID(aoc_02_input[[#This Row],[Password]],aoc_02_input[[#This Row],[Int2]],1)</f>
        <v>m</v>
      </c>
      <c r="M4" s="1">
        <f>IF(aoc_02_input[[#This Row],[Pos2]]=aoc_02_input[[#This Row],[Char]],1,0)</f>
        <v>1</v>
      </c>
      <c r="N4" s="1">
        <f>IF(aoc_02_input[[#This Row],[Pos1Valid]]&lt;&gt;aoc_02_input[[#This Row],[Pos2Valid]],1,0)</f>
        <v>1</v>
      </c>
    </row>
    <row r="5" spans="1:14" x14ac:dyDescent="0.45">
      <c r="A5" s="1" t="s">
        <v>215</v>
      </c>
      <c r="B5" s="1" t="s">
        <v>216</v>
      </c>
      <c r="C5" s="1" t="s">
        <v>217</v>
      </c>
      <c r="D5" s="1">
        <f>FIND("-",aoc_02_input[[#This Row],[InputNumbers]])</f>
        <v>3</v>
      </c>
      <c r="E5" s="1">
        <f>_xlfn.NUMBERVALUE(LEFT(aoc_02_input[[#This Row],[InputNumbers]],aoc_02_input[[#This Row],[PosDash]]-1))</f>
        <v>15</v>
      </c>
      <c r="F5" s="1">
        <f>_xlfn.NUMBERVALUE(MID(aoc_02_input[[#This Row],[InputNumbers]],aoc_02_input[[#This Row],[PosDash]]+1,5))</f>
        <v>20</v>
      </c>
      <c r="G5" s="1" t="str">
        <f>LEFT(aoc_02_input[[#This Row],[InputChar]],1)</f>
        <v>z</v>
      </c>
      <c r="H5" s="1" cm="1">
        <f t="array" ref="H5">CountChar(aoc_02_input[[#This Row],[Password]],aoc_02_input[[#This Row],[Char]])</f>
        <v>14</v>
      </c>
      <c r="I5" s="1">
        <f>IF(AND(aoc_02_input[[#This Row],[Int1]]&lt;=aoc_02_input[[#This Row],[CountOfChar]],aoc_02_input[[#This Row],[CountOfChar]]&lt;=aoc_02_input[[#This Row],[Int2]]),1,0)</f>
        <v>0</v>
      </c>
      <c r="J5" s="1" t="str">
        <f>MID(aoc_02_input[[#This Row],[Password]],aoc_02_input[[#This Row],[Int1]],1)</f>
        <v>d</v>
      </c>
      <c r="K5" s="1">
        <f>IF(aoc_02_input[[#This Row],[Pos1]]=aoc_02_input[[#This Row],[Char]],1,0)</f>
        <v>0</v>
      </c>
      <c r="L5" s="1" t="str">
        <f>MID(aoc_02_input[[#This Row],[Password]],aoc_02_input[[#This Row],[Int2]],1)</f>
        <v>z</v>
      </c>
      <c r="M5" s="1">
        <f>IF(aoc_02_input[[#This Row],[Pos2]]=aoc_02_input[[#This Row],[Char]],1,0)</f>
        <v>1</v>
      </c>
      <c r="N5" s="1">
        <f>IF(aoc_02_input[[#This Row],[Pos1Valid]]&lt;&gt;aoc_02_input[[#This Row],[Pos2Valid]],1,0)</f>
        <v>1</v>
      </c>
    </row>
    <row r="6" spans="1:14" x14ac:dyDescent="0.45">
      <c r="A6" s="1" t="s">
        <v>218</v>
      </c>
      <c r="B6" s="1" t="s">
        <v>219</v>
      </c>
      <c r="C6" s="1" t="s">
        <v>220</v>
      </c>
      <c r="D6" s="1">
        <f>FIND("-",aoc_02_input[[#This Row],[InputNumbers]])</f>
        <v>2</v>
      </c>
      <c r="E6" s="1">
        <f>_xlfn.NUMBERVALUE(LEFT(aoc_02_input[[#This Row],[InputNumbers]],aoc_02_input[[#This Row],[PosDash]]-1))</f>
        <v>6</v>
      </c>
      <c r="F6" s="1">
        <f>_xlfn.NUMBERVALUE(MID(aoc_02_input[[#This Row],[InputNumbers]],aoc_02_input[[#This Row],[PosDash]]+1,5))</f>
        <v>8</v>
      </c>
      <c r="G6" s="1" t="str">
        <f>LEFT(aoc_02_input[[#This Row],[InputChar]],1)</f>
        <v>g</v>
      </c>
      <c r="H6" s="1" cm="1">
        <f t="array" ref="H6">CountChar(aoc_02_input[[#This Row],[Password]],aoc_02_input[[#This Row],[Char]])</f>
        <v>7</v>
      </c>
      <c r="I6" s="1">
        <f>IF(AND(aoc_02_input[[#This Row],[Int1]]&lt;=aoc_02_input[[#This Row],[CountOfChar]],aoc_02_input[[#This Row],[CountOfChar]]&lt;=aoc_02_input[[#This Row],[Int2]]),1,0)</f>
        <v>1</v>
      </c>
      <c r="J6" s="1" t="str">
        <f>MID(aoc_02_input[[#This Row],[Password]],aoc_02_input[[#This Row],[Int1]],1)</f>
        <v>g</v>
      </c>
      <c r="K6" s="1">
        <f>IF(aoc_02_input[[#This Row],[Pos1]]=aoc_02_input[[#This Row],[Char]],1,0)</f>
        <v>1</v>
      </c>
      <c r="L6" s="1" t="str">
        <f>MID(aoc_02_input[[#This Row],[Password]],aoc_02_input[[#This Row],[Int2]],1)</f>
        <v>g</v>
      </c>
      <c r="M6" s="1">
        <f>IF(aoc_02_input[[#This Row],[Pos2]]=aoc_02_input[[#This Row],[Char]],1,0)</f>
        <v>1</v>
      </c>
      <c r="N6" s="1">
        <f>IF(aoc_02_input[[#This Row],[Pos1Valid]]&lt;&gt;aoc_02_input[[#This Row],[Pos2Valid]],1,0)</f>
        <v>0</v>
      </c>
    </row>
    <row r="7" spans="1:14" x14ac:dyDescent="0.45">
      <c r="A7" s="1" t="s">
        <v>221</v>
      </c>
      <c r="B7" s="1" t="s">
        <v>222</v>
      </c>
      <c r="C7" s="1" t="s">
        <v>223</v>
      </c>
      <c r="D7" s="1">
        <f>FIND("-",aoc_02_input[[#This Row],[InputNumbers]])</f>
        <v>2</v>
      </c>
      <c r="E7" s="1">
        <f>_xlfn.NUMBERVALUE(LEFT(aoc_02_input[[#This Row],[InputNumbers]],aoc_02_input[[#This Row],[PosDash]]-1))</f>
        <v>2</v>
      </c>
      <c r="F7" s="1">
        <f>_xlfn.NUMBERVALUE(MID(aoc_02_input[[#This Row],[InputNumbers]],aoc_02_input[[#This Row],[PosDash]]+1,5))</f>
        <v>3</v>
      </c>
      <c r="G7" s="1" t="str">
        <f>LEFT(aoc_02_input[[#This Row],[InputChar]],1)</f>
        <v>l</v>
      </c>
      <c r="H7" s="1" cm="1">
        <f t="array" ref="H7">CountChar(aoc_02_input[[#This Row],[Password]],aoc_02_input[[#This Row],[Char]])</f>
        <v>3</v>
      </c>
      <c r="I7" s="1">
        <f>IF(AND(aoc_02_input[[#This Row],[Int1]]&lt;=aoc_02_input[[#This Row],[CountOfChar]],aoc_02_input[[#This Row],[CountOfChar]]&lt;=aoc_02_input[[#This Row],[Int2]]),1,0)</f>
        <v>1</v>
      </c>
      <c r="J7" s="1" t="str">
        <f>MID(aoc_02_input[[#This Row],[Password]],aoc_02_input[[#This Row],[Int1]],1)</f>
        <v>l</v>
      </c>
      <c r="K7" s="1">
        <f>IF(aoc_02_input[[#This Row],[Pos1]]=aoc_02_input[[#This Row],[Char]],1,0)</f>
        <v>1</v>
      </c>
      <c r="L7" s="1" t="str">
        <f>MID(aoc_02_input[[#This Row],[Password]],aoc_02_input[[#This Row],[Int2]],1)</f>
        <v>l</v>
      </c>
      <c r="M7" s="1">
        <f>IF(aoc_02_input[[#This Row],[Pos2]]=aoc_02_input[[#This Row],[Char]],1,0)</f>
        <v>1</v>
      </c>
      <c r="N7" s="1">
        <f>IF(aoc_02_input[[#This Row],[Pos1Valid]]&lt;&gt;aoc_02_input[[#This Row],[Pos2Valid]],1,0)</f>
        <v>0</v>
      </c>
    </row>
    <row r="8" spans="1:14" x14ac:dyDescent="0.45">
      <c r="A8" s="1" t="s">
        <v>224</v>
      </c>
      <c r="B8" s="1" t="s">
        <v>225</v>
      </c>
      <c r="C8" s="1" t="s">
        <v>226</v>
      </c>
      <c r="D8" s="1">
        <f>FIND("-",aoc_02_input[[#This Row],[InputNumbers]])</f>
        <v>2</v>
      </c>
      <c r="E8" s="1">
        <f>_xlfn.NUMBERVALUE(LEFT(aoc_02_input[[#This Row],[InputNumbers]],aoc_02_input[[#This Row],[PosDash]]-1))</f>
        <v>1</v>
      </c>
      <c r="F8" s="1">
        <f>_xlfn.NUMBERVALUE(MID(aoc_02_input[[#This Row],[InputNumbers]],aoc_02_input[[#This Row],[PosDash]]+1,5))</f>
        <v>5</v>
      </c>
      <c r="G8" s="1" t="str">
        <f>LEFT(aoc_02_input[[#This Row],[InputChar]],1)</f>
        <v>j</v>
      </c>
      <c r="H8" s="1" cm="1">
        <f t="array" ref="H8">CountChar(aoc_02_input[[#This Row],[Password]],aoc_02_input[[#This Row],[Char]])</f>
        <v>5</v>
      </c>
      <c r="I8" s="1">
        <f>IF(AND(aoc_02_input[[#This Row],[Int1]]&lt;=aoc_02_input[[#This Row],[CountOfChar]],aoc_02_input[[#This Row],[CountOfChar]]&lt;=aoc_02_input[[#This Row],[Int2]]),1,0)</f>
        <v>1</v>
      </c>
      <c r="J8" s="1" t="str">
        <f>MID(aoc_02_input[[#This Row],[Password]],aoc_02_input[[#This Row],[Int1]],1)</f>
        <v>j</v>
      </c>
      <c r="K8" s="1">
        <f>IF(aoc_02_input[[#This Row],[Pos1]]=aoc_02_input[[#This Row],[Char]],1,0)</f>
        <v>1</v>
      </c>
      <c r="L8" s="1" t="str">
        <f>MID(aoc_02_input[[#This Row],[Password]],aoc_02_input[[#This Row],[Int2]],1)</f>
        <v>j</v>
      </c>
      <c r="M8" s="1">
        <f>IF(aoc_02_input[[#This Row],[Pos2]]=aoc_02_input[[#This Row],[Char]],1,0)</f>
        <v>1</v>
      </c>
      <c r="N8" s="1">
        <f>IF(aoc_02_input[[#This Row],[Pos1Valid]]&lt;&gt;aoc_02_input[[#This Row],[Pos2Valid]],1,0)</f>
        <v>0</v>
      </c>
    </row>
    <row r="9" spans="1:14" x14ac:dyDescent="0.45">
      <c r="A9" s="1" t="s">
        <v>227</v>
      </c>
      <c r="B9" s="1" t="s">
        <v>228</v>
      </c>
      <c r="C9" s="1" t="s">
        <v>229</v>
      </c>
      <c r="D9" s="1">
        <f>FIND("-",aoc_02_input[[#This Row],[InputNumbers]])</f>
        <v>2</v>
      </c>
      <c r="E9" s="1">
        <f>_xlfn.NUMBERVALUE(LEFT(aoc_02_input[[#This Row],[InputNumbers]],aoc_02_input[[#This Row],[PosDash]]-1))</f>
        <v>4</v>
      </c>
      <c r="F9" s="1">
        <f>_xlfn.NUMBERVALUE(MID(aoc_02_input[[#This Row],[InputNumbers]],aoc_02_input[[#This Row],[PosDash]]+1,5))</f>
        <v>5</v>
      </c>
      <c r="G9" s="1" t="str">
        <f>LEFT(aoc_02_input[[#This Row],[InputChar]],1)</f>
        <v>t</v>
      </c>
      <c r="H9" s="1" cm="1">
        <f t="array" ref="H9">CountChar(aoc_02_input[[#This Row],[Password]],aoc_02_input[[#This Row],[Char]])</f>
        <v>3</v>
      </c>
      <c r="I9" s="1">
        <f>IF(AND(aoc_02_input[[#This Row],[Int1]]&lt;=aoc_02_input[[#This Row],[CountOfChar]],aoc_02_input[[#This Row],[CountOfChar]]&lt;=aoc_02_input[[#This Row],[Int2]]),1,0)</f>
        <v>0</v>
      </c>
      <c r="J9" s="1" t="str">
        <f>MID(aoc_02_input[[#This Row],[Password]],aoc_02_input[[#This Row],[Int1]],1)</f>
        <v>t</v>
      </c>
      <c r="K9" s="1">
        <f>IF(aoc_02_input[[#This Row],[Pos1]]=aoc_02_input[[#This Row],[Char]],1,0)</f>
        <v>1</v>
      </c>
      <c r="L9" s="1" t="str">
        <f>MID(aoc_02_input[[#This Row],[Password]],aoc_02_input[[#This Row],[Int2]],1)</f>
        <v>t</v>
      </c>
      <c r="M9" s="1">
        <f>IF(aoc_02_input[[#This Row],[Pos2]]=aoc_02_input[[#This Row],[Char]],1,0)</f>
        <v>1</v>
      </c>
      <c r="N9" s="1">
        <f>IF(aoc_02_input[[#This Row],[Pos1Valid]]&lt;&gt;aoc_02_input[[#This Row],[Pos2Valid]],1,0)</f>
        <v>0</v>
      </c>
    </row>
    <row r="10" spans="1:14" x14ac:dyDescent="0.45">
      <c r="A10" s="1" t="s">
        <v>230</v>
      </c>
      <c r="B10" s="1" t="s">
        <v>210</v>
      </c>
      <c r="C10" s="1" t="s">
        <v>231</v>
      </c>
      <c r="D10" s="1">
        <f>FIND("-",aoc_02_input[[#This Row],[InputNumbers]])</f>
        <v>2</v>
      </c>
      <c r="E10" s="1">
        <f>_xlfn.NUMBERVALUE(LEFT(aoc_02_input[[#This Row],[InputNumbers]],aoc_02_input[[#This Row],[PosDash]]-1))</f>
        <v>2</v>
      </c>
      <c r="F10" s="1">
        <f>_xlfn.NUMBERVALUE(MID(aoc_02_input[[#This Row],[InputNumbers]],aoc_02_input[[#This Row],[PosDash]]+1,5))</f>
        <v>4</v>
      </c>
      <c r="G10" s="1" t="str">
        <f>LEFT(aoc_02_input[[#This Row],[InputChar]],1)</f>
        <v>v</v>
      </c>
      <c r="H10" s="1" cm="1">
        <f t="array" ref="H10">CountChar(aoc_02_input[[#This Row],[Password]],aoc_02_input[[#This Row],[Char]])</f>
        <v>2</v>
      </c>
      <c r="I10" s="1">
        <f>IF(AND(aoc_02_input[[#This Row],[Int1]]&lt;=aoc_02_input[[#This Row],[CountOfChar]],aoc_02_input[[#This Row],[CountOfChar]]&lt;=aoc_02_input[[#This Row],[Int2]]),1,0)</f>
        <v>1</v>
      </c>
      <c r="J10" s="1" t="str">
        <f>MID(aoc_02_input[[#This Row],[Password]],aoc_02_input[[#This Row],[Int1]],1)</f>
        <v>v</v>
      </c>
      <c r="K10" s="1">
        <f>IF(aoc_02_input[[#This Row],[Pos1]]=aoc_02_input[[#This Row],[Char]],1,0)</f>
        <v>1</v>
      </c>
      <c r="L10" s="1" t="str">
        <f>MID(aoc_02_input[[#This Row],[Password]],aoc_02_input[[#This Row],[Int2]],1)</f>
        <v>q</v>
      </c>
      <c r="M10" s="1">
        <f>IF(aoc_02_input[[#This Row],[Pos2]]=aoc_02_input[[#This Row],[Char]],1,0)</f>
        <v>0</v>
      </c>
      <c r="N10" s="1">
        <f>IF(aoc_02_input[[#This Row],[Pos1Valid]]&lt;&gt;aoc_02_input[[#This Row],[Pos2Valid]],1,0)</f>
        <v>1</v>
      </c>
    </row>
    <row r="11" spans="1:14" x14ac:dyDescent="0.45">
      <c r="A11" s="1" t="s">
        <v>232</v>
      </c>
      <c r="B11" s="1" t="s">
        <v>210</v>
      </c>
      <c r="C11" s="1" t="s">
        <v>233</v>
      </c>
      <c r="D11" s="1">
        <f>FIND("-",aoc_02_input[[#This Row],[InputNumbers]])</f>
        <v>2</v>
      </c>
      <c r="E11" s="1">
        <f>_xlfn.NUMBERVALUE(LEFT(aoc_02_input[[#This Row],[InputNumbers]],aoc_02_input[[#This Row],[PosDash]]-1))</f>
        <v>4</v>
      </c>
      <c r="F11" s="1">
        <f>_xlfn.NUMBERVALUE(MID(aoc_02_input[[#This Row],[InputNumbers]],aoc_02_input[[#This Row],[PosDash]]+1,5))</f>
        <v>6</v>
      </c>
      <c r="G11" s="1" t="str">
        <f>LEFT(aoc_02_input[[#This Row],[InputChar]],1)</f>
        <v>v</v>
      </c>
      <c r="H11" s="1" cm="1">
        <f t="array" ref="H11">CountChar(aoc_02_input[[#This Row],[Password]],aoc_02_input[[#This Row],[Char]])</f>
        <v>8</v>
      </c>
      <c r="I11" s="1">
        <f>IF(AND(aoc_02_input[[#This Row],[Int1]]&lt;=aoc_02_input[[#This Row],[CountOfChar]],aoc_02_input[[#This Row],[CountOfChar]]&lt;=aoc_02_input[[#This Row],[Int2]]),1,0)</f>
        <v>0</v>
      </c>
      <c r="J11" s="1" t="str">
        <f>MID(aoc_02_input[[#This Row],[Password]],aoc_02_input[[#This Row],[Int1]],1)</f>
        <v>v</v>
      </c>
      <c r="K11" s="1">
        <f>IF(aoc_02_input[[#This Row],[Pos1]]=aoc_02_input[[#This Row],[Char]],1,0)</f>
        <v>1</v>
      </c>
      <c r="L11" s="1" t="str">
        <f>MID(aoc_02_input[[#This Row],[Password]],aoc_02_input[[#This Row],[Int2]],1)</f>
        <v>q</v>
      </c>
      <c r="M11" s="1">
        <f>IF(aoc_02_input[[#This Row],[Pos2]]=aoc_02_input[[#This Row],[Char]],1,0)</f>
        <v>0</v>
      </c>
      <c r="N11" s="1">
        <f>IF(aoc_02_input[[#This Row],[Pos1Valid]]&lt;&gt;aoc_02_input[[#This Row],[Pos2Valid]],1,0)</f>
        <v>1</v>
      </c>
    </row>
    <row r="12" spans="1:14" x14ac:dyDescent="0.45">
      <c r="A12" s="1" t="s">
        <v>234</v>
      </c>
      <c r="B12" s="1" t="s">
        <v>235</v>
      </c>
      <c r="C12" s="1" t="s">
        <v>236</v>
      </c>
      <c r="D12" s="1">
        <f>FIND("-",aoc_02_input[[#This Row],[InputNumbers]])</f>
        <v>2</v>
      </c>
      <c r="E12" s="1">
        <f>_xlfn.NUMBERVALUE(LEFT(aoc_02_input[[#This Row],[InputNumbers]],aoc_02_input[[#This Row],[PosDash]]-1))</f>
        <v>7</v>
      </c>
      <c r="F12" s="1">
        <f>_xlfn.NUMBERVALUE(MID(aoc_02_input[[#This Row],[InputNumbers]],aoc_02_input[[#This Row],[PosDash]]+1,5))</f>
        <v>8</v>
      </c>
      <c r="G12" s="1" t="str">
        <f>LEFT(aoc_02_input[[#This Row],[InputChar]],1)</f>
        <v>d</v>
      </c>
      <c r="H12" s="1" cm="1">
        <f t="array" ref="H12">CountChar(aoc_02_input[[#This Row],[Password]],aoc_02_input[[#This Row],[Char]])</f>
        <v>2</v>
      </c>
      <c r="I12" s="1">
        <f>IF(AND(aoc_02_input[[#This Row],[Int1]]&lt;=aoc_02_input[[#This Row],[CountOfChar]],aoc_02_input[[#This Row],[CountOfChar]]&lt;=aoc_02_input[[#This Row],[Int2]]),1,0)</f>
        <v>0</v>
      </c>
      <c r="J12" s="1" t="str">
        <f>MID(aoc_02_input[[#This Row],[Password]],aoc_02_input[[#This Row],[Int1]],1)</f>
        <v>k</v>
      </c>
      <c r="K12" s="1">
        <f>IF(aoc_02_input[[#This Row],[Pos1]]=aoc_02_input[[#This Row],[Char]],1,0)</f>
        <v>0</v>
      </c>
      <c r="L12" s="1" t="str">
        <f>MID(aoc_02_input[[#This Row],[Password]],aoc_02_input[[#This Row],[Int2]],1)</f>
        <v>d</v>
      </c>
      <c r="M12" s="1">
        <f>IF(aoc_02_input[[#This Row],[Pos2]]=aoc_02_input[[#This Row],[Char]],1,0)</f>
        <v>1</v>
      </c>
      <c r="N12" s="1">
        <f>IF(aoc_02_input[[#This Row],[Pos1Valid]]&lt;&gt;aoc_02_input[[#This Row],[Pos2Valid]],1,0)</f>
        <v>1</v>
      </c>
    </row>
    <row r="13" spans="1:14" x14ac:dyDescent="0.45">
      <c r="A13" s="1" t="s">
        <v>237</v>
      </c>
      <c r="B13" s="1" t="s">
        <v>238</v>
      </c>
      <c r="C13" s="1" t="s">
        <v>239</v>
      </c>
      <c r="D13" s="1">
        <f>FIND("-",aoc_02_input[[#This Row],[InputNumbers]])</f>
        <v>2</v>
      </c>
      <c r="E13" s="1">
        <f>_xlfn.NUMBERVALUE(LEFT(aoc_02_input[[#This Row],[InputNumbers]],aoc_02_input[[#This Row],[PosDash]]-1))</f>
        <v>2</v>
      </c>
      <c r="F13" s="1">
        <f>_xlfn.NUMBERVALUE(MID(aoc_02_input[[#This Row],[InputNumbers]],aoc_02_input[[#This Row],[PosDash]]+1,5))</f>
        <v>12</v>
      </c>
      <c r="G13" s="1" t="str">
        <f>LEFT(aoc_02_input[[#This Row],[InputChar]],1)</f>
        <v>w</v>
      </c>
      <c r="H13" s="1" cm="1">
        <f t="array" ref="H13">CountChar(aoc_02_input[[#This Row],[Password]],aoc_02_input[[#This Row],[Char]])</f>
        <v>3</v>
      </c>
      <c r="I13" s="1">
        <f>IF(AND(aoc_02_input[[#This Row],[Int1]]&lt;=aoc_02_input[[#This Row],[CountOfChar]],aoc_02_input[[#This Row],[CountOfChar]]&lt;=aoc_02_input[[#This Row],[Int2]]),1,0)</f>
        <v>1</v>
      </c>
      <c r="J13" s="1" t="str">
        <f>MID(aoc_02_input[[#This Row],[Password]],aoc_02_input[[#This Row],[Int1]],1)</f>
        <v>w</v>
      </c>
      <c r="K13" s="1">
        <f>IF(aoc_02_input[[#This Row],[Pos1]]=aoc_02_input[[#This Row],[Char]],1,0)</f>
        <v>1</v>
      </c>
      <c r="L13" s="1" t="str">
        <f>MID(aoc_02_input[[#This Row],[Password]],aoc_02_input[[#This Row],[Int2]],1)</f>
        <v>w</v>
      </c>
      <c r="M13" s="1">
        <f>IF(aoc_02_input[[#This Row],[Pos2]]=aoc_02_input[[#This Row],[Char]],1,0)</f>
        <v>1</v>
      </c>
      <c r="N13" s="1">
        <f>IF(aoc_02_input[[#This Row],[Pos1Valid]]&lt;&gt;aoc_02_input[[#This Row],[Pos2Valid]],1,0)</f>
        <v>0</v>
      </c>
    </row>
    <row r="14" spans="1:14" x14ac:dyDescent="0.45">
      <c r="A14" s="1" t="s">
        <v>240</v>
      </c>
      <c r="B14" s="1" t="s">
        <v>225</v>
      </c>
      <c r="C14" s="1" t="s">
        <v>241</v>
      </c>
      <c r="D14" s="1">
        <f>FIND("-",aoc_02_input[[#This Row],[InputNumbers]])</f>
        <v>3</v>
      </c>
      <c r="E14" s="1">
        <f>_xlfn.NUMBERVALUE(LEFT(aoc_02_input[[#This Row],[InputNumbers]],aoc_02_input[[#This Row],[PosDash]]-1))</f>
        <v>12</v>
      </c>
      <c r="F14" s="1">
        <f>_xlfn.NUMBERVALUE(MID(aoc_02_input[[#This Row],[InputNumbers]],aoc_02_input[[#This Row],[PosDash]]+1,5))</f>
        <v>16</v>
      </c>
      <c r="G14" s="1" t="str">
        <f>LEFT(aoc_02_input[[#This Row],[InputChar]],1)</f>
        <v>j</v>
      </c>
      <c r="H14" s="1" cm="1">
        <f t="array" ref="H14">CountChar(aoc_02_input[[#This Row],[Password]],aoc_02_input[[#This Row],[Char]])</f>
        <v>15</v>
      </c>
      <c r="I14" s="1">
        <f>IF(AND(aoc_02_input[[#This Row],[Int1]]&lt;=aoc_02_input[[#This Row],[CountOfChar]],aoc_02_input[[#This Row],[CountOfChar]]&lt;=aoc_02_input[[#This Row],[Int2]]),1,0)</f>
        <v>1</v>
      </c>
      <c r="J14" s="1" t="str">
        <f>MID(aoc_02_input[[#This Row],[Password]],aoc_02_input[[#This Row],[Int1]],1)</f>
        <v>j</v>
      </c>
      <c r="K14" s="1">
        <f>IF(aoc_02_input[[#This Row],[Pos1]]=aoc_02_input[[#This Row],[Char]],1,0)</f>
        <v>1</v>
      </c>
      <c r="L14" s="1" t="str">
        <f>MID(aoc_02_input[[#This Row],[Password]],aoc_02_input[[#This Row],[Int2]],1)</f>
        <v>j</v>
      </c>
      <c r="M14" s="1">
        <f>IF(aoc_02_input[[#This Row],[Pos2]]=aoc_02_input[[#This Row],[Char]],1,0)</f>
        <v>1</v>
      </c>
      <c r="N14" s="1">
        <f>IF(aoc_02_input[[#This Row],[Pos1Valid]]&lt;&gt;aoc_02_input[[#This Row],[Pos2Valid]],1,0)</f>
        <v>0</v>
      </c>
    </row>
    <row r="15" spans="1:14" x14ac:dyDescent="0.45">
      <c r="A15" s="1" t="s">
        <v>242</v>
      </c>
      <c r="B15" s="1" t="s">
        <v>243</v>
      </c>
      <c r="C15" s="1" t="s">
        <v>244</v>
      </c>
      <c r="D15" s="1">
        <f>FIND("-",aoc_02_input[[#This Row],[InputNumbers]])</f>
        <v>3</v>
      </c>
      <c r="E15" s="1">
        <f>_xlfn.NUMBERVALUE(LEFT(aoc_02_input[[#This Row],[InputNumbers]],aoc_02_input[[#This Row],[PosDash]]-1))</f>
        <v>10</v>
      </c>
      <c r="F15" s="1">
        <f>_xlfn.NUMBERVALUE(MID(aoc_02_input[[#This Row],[InputNumbers]],aoc_02_input[[#This Row],[PosDash]]+1,5))</f>
        <v>11</v>
      </c>
      <c r="G15" s="1" t="str">
        <f>LEFT(aoc_02_input[[#This Row],[InputChar]],1)</f>
        <v>f</v>
      </c>
      <c r="H15" s="1" cm="1">
        <f t="array" ref="H15">CountChar(aoc_02_input[[#This Row],[Password]],aoc_02_input[[#This Row],[Char]])</f>
        <v>11</v>
      </c>
      <c r="I15" s="1">
        <f>IF(AND(aoc_02_input[[#This Row],[Int1]]&lt;=aoc_02_input[[#This Row],[CountOfChar]],aoc_02_input[[#This Row],[CountOfChar]]&lt;=aoc_02_input[[#This Row],[Int2]]),1,0)</f>
        <v>1</v>
      </c>
      <c r="J15" s="1" t="str">
        <f>MID(aoc_02_input[[#This Row],[Password]],aoc_02_input[[#This Row],[Int1]],1)</f>
        <v>f</v>
      </c>
      <c r="K15" s="1">
        <f>IF(aoc_02_input[[#This Row],[Pos1]]=aoc_02_input[[#This Row],[Char]],1,0)</f>
        <v>1</v>
      </c>
      <c r="L15" s="1" t="str">
        <f>MID(aoc_02_input[[#This Row],[Password]],aoc_02_input[[#This Row],[Int2]],1)</f>
        <v>f</v>
      </c>
      <c r="M15" s="1">
        <f>IF(aoc_02_input[[#This Row],[Pos2]]=aoc_02_input[[#This Row],[Char]],1,0)</f>
        <v>1</v>
      </c>
      <c r="N15" s="1">
        <f>IF(aoc_02_input[[#This Row],[Pos1Valid]]&lt;&gt;aoc_02_input[[#This Row],[Pos2Valid]],1,0)</f>
        <v>0</v>
      </c>
    </row>
    <row r="16" spans="1:14" x14ac:dyDescent="0.45">
      <c r="A16" s="1" t="s">
        <v>245</v>
      </c>
      <c r="B16" s="1" t="s">
        <v>246</v>
      </c>
      <c r="C16" s="1" t="s">
        <v>247</v>
      </c>
      <c r="D16" s="1">
        <f>FIND("-",aoc_02_input[[#This Row],[InputNumbers]])</f>
        <v>2</v>
      </c>
      <c r="E16" s="1">
        <f>_xlfn.NUMBERVALUE(LEFT(aoc_02_input[[#This Row],[InputNumbers]],aoc_02_input[[#This Row],[PosDash]]-1))</f>
        <v>3</v>
      </c>
      <c r="F16" s="1">
        <f>_xlfn.NUMBERVALUE(MID(aoc_02_input[[#This Row],[InputNumbers]],aoc_02_input[[#This Row],[PosDash]]+1,5))</f>
        <v>20</v>
      </c>
      <c r="G16" s="1" t="str">
        <f>LEFT(aoc_02_input[[#This Row],[InputChar]],1)</f>
        <v>n</v>
      </c>
      <c r="H16" s="1" cm="1">
        <f t="array" ref="H16">CountChar(aoc_02_input[[#This Row],[Password]],aoc_02_input[[#This Row],[Char]])</f>
        <v>0</v>
      </c>
      <c r="I16" s="1">
        <f>IF(AND(aoc_02_input[[#This Row],[Int1]]&lt;=aoc_02_input[[#This Row],[CountOfChar]],aoc_02_input[[#This Row],[CountOfChar]]&lt;=aoc_02_input[[#This Row],[Int2]]),1,0)</f>
        <v>0</v>
      </c>
      <c r="J16" s="1" t="str">
        <f>MID(aoc_02_input[[#This Row],[Password]],aoc_02_input[[#This Row],[Int1]],1)</f>
        <v>c</v>
      </c>
      <c r="K16" s="1">
        <f>IF(aoc_02_input[[#This Row],[Pos1]]=aoc_02_input[[#This Row],[Char]],1,0)</f>
        <v>0</v>
      </c>
      <c r="L16" s="1" t="str">
        <f>MID(aoc_02_input[[#This Row],[Password]],aoc_02_input[[#This Row],[Int2]],1)</f>
        <v>m</v>
      </c>
      <c r="M16" s="1">
        <f>IF(aoc_02_input[[#This Row],[Pos2]]=aoc_02_input[[#This Row],[Char]],1,0)</f>
        <v>0</v>
      </c>
      <c r="N16" s="1">
        <f>IF(aoc_02_input[[#This Row],[Pos1Valid]]&lt;&gt;aoc_02_input[[#This Row],[Pos2Valid]],1,0)</f>
        <v>0</v>
      </c>
    </row>
    <row r="17" spans="1:14" x14ac:dyDescent="0.45">
      <c r="A17" s="1" t="s">
        <v>248</v>
      </c>
      <c r="B17" s="1" t="s">
        <v>249</v>
      </c>
      <c r="C17" s="1" t="s">
        <v>250</v>
      </c>
      <c r="D17" s="1">
        <f>FIND("-",aoc_02_input[[#This Row],[InputNumbers]])</f>
        <v>3</v>
      </c>
      <c r="E17" s="1">
        <f>_xlfn.NUMBERVALUE(LEFT(aoc_02_input[[#This Row],[InputNumbers]],aoc_02_input[[#This Row],[PosDash]]-1))</f>
        <v>11</v>
      </c>
      <c r="F17" s="1">
        <f>_xlfn.NUMBERVALUE(MID(aoc_02_input[[#This Row],[InputNumbers]],aoc_02_input[[#This Row],[PosDash]]+1,5))</f>
        <v>12</v>
      </c>
      <c r="G17" s="1" t="str">
        <f>LEFT(aoc_02_input[[#This Row],[InputChar]],1)</f>
        <v>q</v>
      </c>
      <c r="H17" s="1" cm="1">
        <f t="array" ref="H17">CountChar(aoc_02_input[[#This Row],[Password]],aoc_02_input[[#This Row],[Char]])</f>
        <v>13</v>
      </c>
      <c r="I17" s="1">
        <f>IF(AND(aoc_02_input[[#This Row],[Int1]]&lt;=aoc_02_input[[#This Row],[CountOfChar]],aoc_02_input[[#This Row],[CountOfChar]]&lt;=aoc_02_input[[#This Row],[Int2]]),1,0)</f>
        <v>0</v>
      </c>
      <c r="J17" s="1" t="str">
        <f>MID(aoc_02_input[[#This Row],[Password]],aoc_02_input[[#This Row],[Int1]],1)</f>
        <v>q</v>
      </c>
      <c r="K17" s="1">
        <f>IF(aoc_02_input[[#This Row],[Pos1]]=aoc_02_input[[#This Row],[Char]],1,0)</f>
        <v>1</v>
      </c>
      <c r="L17" s="1" t="str">
        <f>MID(aoc_02_input[[#This Row],[Password]],aoc_02_input[[#This Row],[Int2]],1)</f>
        <v>q</v>
      </c>
      <c r="M17" s="1">
        <f>IF(aoc_02_input[[#This Row],[Pos2]]=aoc_02_input[[#This Row],[Char]],1,0)</f>
        <v>1</v>
      </c>
      <c r="N17" s="1">
        <f>IF(aoc_02_input[[#This Row],[Pos1Valid]]&lt;&gt;aoc_02_input[[#This Row],[Pos2Valid]],1,0)</f>
        <v>0</v>
      </c>
    </row>
    <row r="18" spans="1:14" x14ac:dyDescent="0.45">
      <c r="A18" s="1" t="s">
        <v>251</v>
      </c>
      <c r="B18" s="1" t="s">
        <v>252</v>
      </c>
      <c r="C18" s="1" t="s">
        <v>253</v>
      </c>
      <c r="D18" s="1">
        <f>FIND("-",aoc_02_input[[#This Row],[InputNumbers]])</f>
        <v>2</v>
      </c>
      <c r="E18" s="1">
        <f>_xlfn.NUMBERVALUE(LEFT(aoc_02_input[[#This Row],[InputNumbers]],aoc_02_input[[#This Row],[PosDash]]-1))</f>
        <v>5</v>
      </c>
      <c r="F18" s="1">
        <f>_xlfn.NUMBERVALUE(MID(aoc_02_input[[#This Row],[InputNumbers]],aoc_02_input[[#This Row],[PosDash]]+1,5))</f>
        <v>6</v>
      </c>
      <c r="G18" s="1" t="str">
        <f>LEFT(aoc_02_input[[#This Row],[InputChar]],1)</f>
        <v>p</v>
      </c>
      <c r="H18" s="1" cm="1">
        <f t="array" ref="H18">CountChar(aoc_02_input[[#This Row],[Password]],aoc_02_input[[#This Row],[Char]])</f>
        <v>4</v>
      </c>
      <c r="I18" s="1">
        <f>IF(AND(aoc_02_input[[#This Row],[Int1]]&lt;=aoc_02_input[[#This Row],[CountOfChar]],aoc_02_input[[#This Row],[CountOfChar]]&lt;=aoc_02_input[[#This Row],[Int2]]),1,0)</f>
        <v>0</v>
      </c>
      <c r="J18" s="1" t="str">
        <f>MID(aoc_02_input[[#This Row],[Password]],aoc_02_input[[#This Row],[Int1]],1)</f>
        <v>n</v>
      </c>
      <c r="K18" s="1">
        <f>IF(aoc_02_input[[#This Row],[Pos1]]=aoc_02_input[[#This Row],[Char]],1,0)</f>
        <v>0</v>
      </c>
      <c r="L18" s="1" t="str">
        <f>MID(aoc_02_input[[#This Row],[Password]],aoc_02_input[[#This Row],[Int2]],1)</f>
        <v>p</v>
      </c>
      <c r="M18" s="1">
        <f>IF(aoc_02_input[[#This Row],[Pos2]]=aoc_02_input[[#This Row],[Char]],1,0)</f>
        <v>1</v>
      </c>
      <c r="N18" s="1">
        <f>IF(aoc_02_input[[#This Row],[Pos1Valid]]&lt;&gt;aoc_02_input[[#This Row],[Pos2Valid]],1,0)</f>
        <v>1</v>
      </c>
    </row>
    <row r="19" spans="1:14" x14ac:dyDescent="0.45">
      <c r="A19" s="1" t="s">
        <v>242</v>
      </c>
      <c r="B19" s="1" t="s">
        <v>254</v>
      </c>
      <c r="C19" s="1" t="s">
        <v>255</v>
      </c>
      <c r="D19" s="1">
        <f>FIND("-",aoc_02_input[[#This Row],[InputNumbers]])</f>
        <v>3</v>
      </c>
      <c r="E19" s="1">
        <f>_xlfn.NUMBERVALUE(LEFT(aoc_02_input[[#This Row],[InputNumbers]],aoc_02_input[[#This Row],[PosDash]]-1))</f>
        <v>10</v>
      </c>
      <c r="F19" s="1">
        <f>_xlfn.NUMBERVALUE(MID(aoc_02_input[[#This Row],[InputNumbers]],aoc_02_input[[#This Row],[PosDash]]+1,5))</f>
        <v>11</v>
      </c>
      <c r="G19" s="1" t="str">
        <f>LEFT(aoc_02_input[[#This Row],[InputChar]],1)</f>
        <v>k</v>
      </c>
      <c r="H19" s="1" cm="1">
        <f t="array" ref="H19">CountChar(aoc_02_input[[#This Row],[Password]],aoc_02_input[[#This Row],[Char]])</f>
        <v>9</v>
      </c>
      <c r="I19" s="1">
        <f>IF(AND(aoc_02_input[[#This Row],[Int1]]&lt;=aoc_02_input[[#This Row],[CountOfChar]],aoc_02_input[[#This Row],[CountOfChar]]&lt;=aoc_02_input[[#This Row],[Int2]]),1,0)</f>
        <v>0</v>
      </c>
      <c r="J19" s="1" t="str">
        <f>MID(aoc_02_input[[#This Row],[Password]],aoc_02_input[[#This Row],[Int1]],1)</f>
        <v>k</v>
      </c>
      <c r="K19" s="1">
        <f>IF(aoc_02_input[[#This Row],[Pos1]]=aoc_02_input[[#This Row],[Char]],1,0)</f>
        <v>1</v>
      </c>
      <c r="L19" s="1" t="str">
        <f>MID(aoc_02_input[[#This Row],[Password]],aoc_02_input[[#This Row],[Int2]],1)</f>
        <v>n</v>
      </c>
      <c r="M19" s="1">
        <f>IF(aoc_02_input[[#This Row],[Pos2]]=aoc_02_input[[#This Row],[Char]],1,0)</f>
        <v>0</v>
      </c>
      <c r="N19" s="1">
        <f>IF(aoc_02_input[[#This Row],[Pos1Valid]]&lt;&gt;aoc_02_input[[#This Row],[Pos2Valid]],1,0)</f>
        <v>1</v>
      </c>
    </row>
    <row r="20" spans="1:14" x14ac:dyDescent="0.45">
      <c r="A20" s="1" t="s">
        <v>256</v>
      </c>
      <c r="B20" s="1" t="s">
        <v>213</v>
      </c>
      <c r="C20" s="1" t="s">
        <v>257</v>
      </c>
      <c r="D20" s="1">
        <f>FIND("-",aoc_02_input[[#This Row],[InputNumbers]])</f>
        <v>2</v>
      </c>
      <c r="E20" s="1">
        <f>_xlfn.NUMBERVALUE(LEFT(aoc_02_input[[#This Row],[InputNumbers]],aoc_02_input[[#This Row],[PosDash]]-1))</f>
        <v>5</v>
      </c>
      <c r="F20" s="1">
        <f>_xlfn.NUMBERVALUE(MID(aoc_02_input[[#This Row],[InputNumbers]],aoc_02_input[[#This Row],[PosDash]]+1,5))</f>
        <v>7</v>
      </c>
      <c r="G20" s="1" t="str">
        <f>LEFT(aoc_02_input[[#This Row],[InputChar]],1)</f>
        <v>m</v>
      </c>
      <c r="H20" s="1" cm="1">
        <f t="array" ref="H20">CountChar(aoc_02_input[[#This Row],[Password]],aoc_02_input[[#This Row],[Char]])</f>
        <v>5</v>
      </c>
      <c r="I20" s="1">
        <f>IF(AND(aoc_02_input[[#This Row],[Int1]]&lt;=aoc_02_input[[#This Row],[CountOfChar]],aoc_02_input[[#This Row],[CountOfChar]]&lt;=aoc_02_input[[#This Row],[Int2]]),1,0)</f>
        <v>1</v>
      </c>
      <c r="J20" s="1" t="str">
        <f>MID(aoc_02_input[[#This Row],[Password]],aoc_02_input[[#This Row],[Int1]],1)</f>
        <v>x</v>
      </c>
      <c r="K20" s="1">
        <f>IF(aoc_02_input[[#This Row],[Pos1]]=aoc_02_input[[#This Row],[Char]],1,0)</f>
        <v>0</v>
      </c>
      <c r="L20" s="1" t="str">
        <f>MID(aoc_02_input[[#This Row],[Password]],aoc_02_input[[#This Row],[Int2]],1)</f>
        <v>m</v>
      </c>
      <c r="M20" s="1">
        <f>IF(aoc_02_input[[#This Row],[Pos2]]=aoc_02_input[[#This Row],[Char]],1,0)</f>
        <v>1</v>
      </c>
      <c r="N20" s="1">
        <f>IF(aoc_02_input[[#This Row],[Pos1Valid]]&lt;&gt;aoc_02_input[[#This Row],[Pos2Valid]],1,0)</f>
        <v>1</v>
      </c>
    </row>
    <row r="21" spans="1:14" x14ac:dyDescent="0.45">
      <c r="A21" s="1" t="s">
        <v>258</v>
      </c>
      <c r="B21" s="1" t="s">
        <v>207</v>
      </c>
      <c r="C21" s="1" t="s">
        <v>259</v>
      </c>
      <c r="D21" s="1">
        <f>FIND("-",aoc_02_input[[#This Row],[InputNumbers]])</f>
        <v>3</v>
      </c>
      <c r="E21" s="1">
        <f>_xlfn.NUMBERVALUE(LEFT(aoc_02_input[[#This Row],[InputNumbers]],aoc_02_input[[#This Row],[PosDash]]-1))</f>
        <v>10</v>
      </c>
      <c r="F21" s="1">
        <f>_xlfn.NUMBERVALUE(MID(aoc_02_input[[#This Row],[InputNumbers]],aoc_02_input[[#This Row],[PosDash]]+1,5))</f>
        <v>17</v>
      </c>
      <c r="G21" s="1" t="str">
        <f>LEFT(aoc_02_input[[#This Row],[InputChar]],1)</f>
        <v>b</v>
      </c>
      <c r="H21" s="1" cm="1">
        <f t="array" ref="H21">CountChar(aoc_02_input[[#This Row],[Password]],aoc_02_input[[#This Row],[Char]])</f>
        <v>19</v>
      </c>
      <c r="I21" s="1">
        <f>IF(AND(aoc_02_input[[#This Row],[Int1]]&lt;=aoc_02_input[[#This Row],[CountOfChar]],aoc_02_input[[#This Row],[CountOfChar]]&lt;=aoc_02_input[[#This Row],[Int2]]),1,0)</f>
        <v>0</v>
      </c>
      <c r="J21" s="1" t="str">
        <f>MID(aoc_02_input[[#This Row],[Password]],aoc_02_input[[#This Row],[Int1]],1)</f>
        <v>b</v>
      </c>
      <c r="K21" s="1">
        <f>IF(aoc_02_input[[#This Row],[Pos1]]=aoc_02_input[[#This Row],[Char]],1,0)</f>
        <v>1</v>
      </c>
      <c r="L21" s="1" t="str">
        <f>MID(aoc_02_input[[#This Row],[Password]],aoc_02_input[[#This Row],[Int2]],1)</f>
        <v>r</v>
      </c>
      <c r="M21" s="1">
        <f>IF(aoc_02_input[[#This Row],[Pos2]]=aoc_02_input[[#This Row],[Char]],1,0)</f>
        <v>0</v>
      </c>
      <c r="N21" s="1">
        <f>IF(aoc_02_input[[#This Row],[Pos1Valid]]&lt;&gt;aoc_02_input[[#This Row],[Pos2Valid]],1,0)</f>
        <v>1</v>
      </c>
    </row>
    <row r="22" spans="1:14" x14ac:dyDescent="0.45">
      <c r="A22" s="1" t="s">
        <v>256</v>
      </c>
      <c r="B22" s="1" t="s">
        <v>210</v>
      </c>
      <c r="C22" s="1" t="s">
        <v>260</v>
      </c>
      <c r="D22" s="1">
        <f>FIND("-",aoc_02_input[[#This Row],[InputNumbers]])</f>
        <v>2</v>
      </c>
      <c r="E22" s="1">
        <f>_xlfn.NUMBERVALUE(LEFT(aoc_02_input[[#This Row],[InputNumbers]],aoc_02_input[[#This Row],[PosDash]]-1))</f>
        <v>5</v>
      </c>
      <c r="F22" s="1">
        <f>_xlfn.NUMBERVALUE(MID(aoc_02_input[[#This Row],[InputNumbers]],aoc_02_input[[#This Row],[PosDash]]+1,5))</f>
        <v>7</v>
      </c>
      <c r="G22" s="1" t="str">
        <f>LEFT(aoc_02_input[[#This Row],[InputChar]],1)</f>
        <v>v</v>
      </c>
      <c r="H22" s="1" cm="1">
        <f t="array" ref="H22">CountChar(aoc_02_input[[#This Row],[Password]],aoc_02_input[[#This Row],[Char]])</f>
        <v>8</v>
      </c>
      <c r="I22" s="1">
        <f>IF(AND(aoc_02_input[[#This Row],[Int1]]&lt;=aoc_02_input[[#This Row],[CountOfChar]],aoc_02_input[[#This Row],[CountOfChar]]&lt;=aoc_02_input[[#This Row],[Int2]]),1,0)</f>
        <v>0</v>
      </c>
      <c r="J22" s="1" t="str">
        <f>MID(aoc_02_input[[#This Row],[Password]],aoc_02_input[[#This Row],[Int1]],1)</f>
        <v>t</v>
      </c>
      <c r="K22" s="1">
        <f>IF(aoc_02_input[[#This Row],[Pos1]]=aoc_02_input[[#This Row],[Char]],1,0)</f>
        <v>0</v>
      </c>
      <c r="L22" s="1" t="str">
        <f>MID(aoc_02_input[[#This Row],[Password]],aoc_02_input[[#This Row],[Int2]],1)</f>
        <v>v</v>
      </c>
      <c r="M22" s="1">
        <f>IF(aoc_02_input[[#This Row],[Pos2]]=aoc_02_input[[#This Row],[Char]],1,0)</f>
        <v>1</v>
      </c>
      <c r="N22" s="1">
        <f>IF(aoc_02_input[[#This Row],[Pos1Valid]]&lt;&gt;aoc_02_input[[#This Row],[Pos2Valid]],1,0)</f>
        <v>1</v>
      </c>
    </row>
    <row r="23" spans="1:14" x14ac:dyDescent="0.45">
      <c r="A23" s="1" t="s">
        <v>218</v>
      </c>
      <c r="B23" s="1" t="s">
        <v>219</v>
      </c>
      <c r="C23" s="1" t="s">
        <v>261</v>
      </c>
      <c r="D23" s="1">
        <f>FIND("-",aoc_02_input[[#This Row],[InputNumbers]])</f>
        <v>2</v>
      </c>
      <c r="E23" s="1">
        <f>_xlfn.NUMBERVALUE(LEFT(aoc_02_input[[#This Row],[InputNumbers]],aoc_02_input[[#This Row],[PosDash]]-1))</f>
        <v>6</v>
      </c>
      <c r="F23" s="1">
        <f>_xlfn.NUMBERVALUE(MID(aoc_02_input[[#This Row],[InputNumbers]],aoc_02_input[[#This Row],[PosDash]]+1,5))</f>
        <v>8</v>
      </c>
      <c r="G23" s="1" t="str">
        <f>LEFT(aoc_02_input[[#This Row],[InputChar]],1)</f>
        <v>g</v>
      </c>
      <c r="H23" s="1" cm="1">
        <f t="array" ref="H23">CountChar(aoc_02_input[[#This Row],[Password]],aoc_02_input[[#This Row],[Char]])</f>
        <v>9</v>
      </c>
      <c r="I23" s="1">
        <f>IF(AND(aoc_02_input[[#This Row],[Int1]]&lt;=aoc_02_input[[#This Row],[CountOfChar]],aoc_02_input[[#This Row],[CountOfChar]]&lt;=aoc_02_input[[#This Row],[Int2]]),1,0)</f>
        <v>0</v>
      </c>
      <c r="J23" s="1" t="str">
        <f>MID(aoc_02_input[[#This Row],[Password]],aoc_02_input[[#This Row],[Int1]],1)</f>
        <v>p</v>
      </c>
      <c r="K23" s="1">
        <f>IF(aoc_02_input[[#This Row],[Pos1]]=aoc_02_input[[#This Row],[Char]],1,0)</f>
        <v>0</v>
      </c>
      <c r="L23" s="1" t="str">
        <f>MID(aoc_02_input[[#This Row],[Password]],aoc_02_input[[#This Row],[Int2]],1)</f>
        <v>l</v>
      </c>
      <c r="M23" s="1">
        <f>IF(aoc_02_input[[#This Row],[Pos2]]=aoc_02_input[[#This Row],[Char]],1,0)</f>
        <v>0</v>
      </c>
      <c r="N23" s="1">
        <f>IF(aoc_02_input[[#This Row],[Pos1Valid]]&lt;&gt;aoc_02_input[[#This Row],[Pos2Valid]],1,0)</f>
        <v>0</v>
      </c>
    </row>
    <row r="24" spans="1:14" x14ac:dyDescent="0.45">
      <c r="A24" s="1" t="s">
        <v>262</v>
      </c>
      <c r="B24" s="1" t="s">
        <v>249</v>
      </c>
      <c r="C24" s="1" t="s">
        <v>263</v>
      </c>
      <c r="D24" s="1">
        <f>FIND("-",aoc_02_input[[#This Row],[InputNumbers]])</f>
        <v>2</v>
      </c>
      <c r="E24" s="1">
        <f>_xlfn.NUMBERVALUE(LEFT(aoc_02_input[[#This Row],[InputNumbers]],aoc_02_input[[#This Row],[PosDash]]-1))</f>
        <v>8</v>
      </c>
      <c r="F24" s="1">
        <f>_xlfn.NUMBERVALUE(MID(aoc_02_input[[#This Row],[InputNumbers]],aoc_02_input[[#This Row],[PosDash]]+1,5))</f>
        <v>16</v>
      </c>
      <c r="G24" s="1" t="str">
        <f>LEFT(aoc_02_input[[#This Row],[InputChar]],1)</f>
        <v>q</v>
      </c>
      <c r="H24" s="1" cm="1">
        <f t="array" ref="H24">CountChar(aoc_02_input[[#This Row],[Password]],aoc_02_input[[#This Row],[Char]])</f>
        <v>9</v>
      </c>
      <c r="I24" s="1">
        <f>IF(AND(aoc_02_input[[#This Row],[Int1]]&lt;=aoc_02_input[[#This Row],[CountOfChar]],aoc_02_input[[#This Row],[CountOfChar]]&lt;=aoc_02_input[[#This Row],[Int2]]),1,0)</f>
        <v>1</v>
      </c>
      <c r="J24" s="1" t="str">
        <f>MID(aoc_02_input[[#This Row],[Password]],aoc_02_input[[#This Row],[Int1]],1)</f>
        <v>x</v>
      </c>
      <c r="K24" s="1">
        <f>IF(aoc_02_input[[#This Row],[Pos1]]=aoc_02_input[[#This Row],[Char]],1,0)</f>
        <v>0</v>
      </c>
      <c r="L24" s="1" t="str">
        <f>MID(aoc_02_input[[#This Row],[Password]],aoc_02_input[[#This Row],[Int2]],1)</f>
        <v>q</v>
      </c>
      <c r="M24" s="1">
        <f>IF(aoc_02_input[[#This Row],[Pos2]]=aoc_02_input[[#This Row],[Char]],1,0)</f>
        <v>1</v>
      </c>
      <c r="N24" s="1">
        <f>IF(aoc_02_input[[#This Row],[Pos1Valid]]&lt;&gt;aoc_02_input[[#This Row],[Pos2Valid]],1,0)</f>
        <v>1</v>
      </c>
    </row>
    <row r="25" spans="1:14" x14ac:dyDescent="0.45">
      <c r="A25" s="1" t="s">
        <v>264</v>
      </c>
      <c r="B25" s="1" t="s">
        <v>265</v>
      </c>
      <c r="C25" s="1" t="s">
        <v>266</v>
      </c>
      <c r="D25" s="1">
        <f>FIND("-",aoc_02_input[[#This Row],[InputNumbers]])</f>
        <v>2</v>
      </c>
      <c r="E25" s="1">
        <f>_xlfn.NUMBERVALUE(LEFT(aoc_02_input[[#This Row],[InputNumbers]],aoc_02_input[[#This Row],[PosDash]]-1))</f>
        <v>9</v>
      </c>
      <c r="F25" s="1">
        <f>_xlfn.NUMBERVALUE(MID(aoc_02_input[[#This Row],[InputNumbers]],aoc_02_input[[#This Row],[PosDash]]+1,5))</f>
        <v>11</v>
      </c>
      <c r="G25" s="1" t="str">
        <f>LEFT(aoc_02_input[[#This Row],[InputChar]],1)</f>
        <v>r</v>
      </c>
      <c r="H25" s="1" cm="1">
        <f t="array" ref="H25">CountChar(aoc_02_input[[#This Row],[Password]],aoc_02_input[[#This Row],[Char]])</f>
        <v>9</v>
      </c>
      <c r="I25" s="1">
        <f>IF(AND(aoc_02_input[[#This Row],[Int1]]&lt;=aoc_02_input[[#This Row],[CountOfChar]],aoc_02_input[[#This Row],[CountOfChar]]&lt;=aoc_02_input[[#This Row],[Int2]]),1,0)</f>
        <v>1</v>
      </c>
      <c r="J25" s="1" t="str">
        <f>MID(aoc_02_input[[#This Row],[Password]],aoc_02_input[[#This Row],[Int1]],1)</f>
        <v>w</v>
      </c>
      <c r="K25" s="1">
        <f>IF(aoc_02_input[[#This Row],[Pos1]]=aoc_02_input[[#This Row],[Char]],1,0)</f>
        <v>0</v>
      </c>
      <c r="L25" s="1" t="str">
        <f>MID(aoc_02_input[[#This Row],[Password]],aoc_02_input[[#This Row],[Int2]],1)</f>
        <v>r</v>
      </c>
      <c r="M25" s="1">
        <f>IF(aoc_02_input[[#This Row],[Pos2]]=aoc_02_input[[#This Row],[Char]],1,0)</f>
        <v>1</v>
      </c>
      <c r="N25" s="1">
        <f>IF(aoc_02_input[[#This Row],[Pos1Valid]]&lt;&gt;aoc_02_input[[#This Row],[Pos2Valid]],1,0)</f>
        <v>1</v>
      </c>
    </row>
    <row r="26" spans="1:14" x14ac:dyDescent="0.45">
      <c r="A26" s="1" t="s">
        <v>267</v>
      </c>
      <c r="B26" s="1" t="s">
        <v>216</v>
      </c>
      <c r="C26" s="1" t="s">
        <v>268</v>
      </c>
      <c r="D26" s="1">
        <f>FIND("-",aoc_02_input[[#This Row],[InputNumbers]])</f>
        <v>2</v>
      </c>
      <c r="E26" s="1">
        <f>_xlfn.NUMBERVALUE(LEFT(aoc_02_input[[#This Row],[InputNumbers]],aoc_02_input[[#This Row],[PosDash]]-1))</f>
        <v>4</v>
      </c>
      <c r="F26" s="1">
        <f>_xlfn.NUMBERVALUE(MID(aoc_02_input[[#This Row],[InputNumbers]],aoc_02_input[[#This Row],[PosDash]]+1,5))</f>
        <v>13</v>
      </c>
      <c r="G26" s="1" t="str">
        <f>LEFT(aoc_02_input[[#This Row],[InputChar]],1)</f>
        <v>z</v>
      </c>
      <c r="H26" s="1" cm="1">
        <f t="array" ref="H26">CountChar(aoc_02_input[[#This Row],[Password]],aoc_02_input[[#This Row],[Char]])</f>
        <v>2</v>
      </c>
      <c r="I26" s="1">
        <f>IF(AND(aoc_02_input[[#This Row],[Int1]]&lt;=aoc_02_input[[#This Row],[CountOfChar]],aoc_02_input[[#This Row],[CountOfChar]]&lt;=aoc_02_input[[#This Row],[Int2]]),1,0)</f>
        <v>0</v>
      </c>
      <c r="J26" s="1" t="str">
        <f>MID(aoc_02_input[[#This Row],[Password]],aoc_02_input[[#This Row],[Int1]],1)</f>
        <v>z</v>
      </c>
      <c r="K26" s="1">
        <f>IF(aoc_02_input[[#This Row],[Pos1]]=aoc_02_input[[#This Row],[Char]],1,0)</f>
        <v>1</v>
      </c>
      <c r="L26" s="1" t="str">
        <f>MID(aoc_02_input[[#This Row],[Password]],aoc_02_input[[#This Row],[Int2]],1)</f>
        <v>k</v>
      </c>
      <c r="M26" s="1">
        <f>IF(aoc_02_input[[#This Row],[Pos2]]=aoc_02_input[[#This Row],[Char]],1,0)</f>
        <v>0</v>
      </c>
      <c r="N26" s="1">
        <f>IF(aoc_02_input[[#This Row],[Pos1Valid]]&lt;&gt;aoc_02_input[[#This Row],[Pos2Valid]],1,0)</f>
        <v>1</v>
      </c>
    </row>
    <row r="27" spans="1:14" x14ac:dyDescent="0.45">
      <c r="A27" s="1" t="s">
        <v>269</v>
      </c>
      <c r="B27" s="1" t="s">
        <v>265</v>
      </c>
      <c r="C27" s="1" t="s">
        <v>270</v>
      </c>
      <c r="D27" s="1">
        <f>FIND("-",aoc_02_input[[#This Row],[InputNumbers]])</f>
        <v>2</v>
      </c>
      <c r="E27" s="1">
        <f>_xlfn.NUMBERVALUE(LEFT(aoc_02_input[[#This Row],[InputNumbers]],aoc_02_input[[#This Row],[PosDash]]-1))</f>
        <v>4</v>
      </c>
      <c r="F27" s="1">
        <f>_xlfn.NUMBERVALUE(MID(aoc_02_input[[#This Row],[InputNumbers]],aoc_02_input[[#This Row],[PosDash]]+1,5))</f>
        <v>9</v>
      </c>
      <c r="G27" s="1" t="str">
        <f>LEFT(aoc_02_input[[#This Row],[InputChar]],1)</f>
        <v>r</v>
      </c>
      <c r="H27" s="1" cm="1">
        <f t="array" ref="H27">CountChar(aoc_02_input[[#This Row],[Password]],aoc_02_input[[#This Row],[Char]])</f>
        <v>7</v>
      </c>
      <c r="I27" s="1">
        <f>IF(AND(aoc_02_input[[#This Row],[Int1]]&lt;=aoc_02_input[[#This Row],[CountOfChar]],aoc_02_input[[#This Row],[CountOfChar]]&lt;=aoc_02_input[[#This Row],[Int2]]),1,0)</f>
        <v>1</v>
      </c>
      <c r="J27" s="1" t="str">
        <f>MID(aoc_02_input[[#This Row],[Password]],aoc_02_input[[#This Row],[Int1]],1)</f>
        <v>z</v>
      </c>
      <c r="K27" s="1">
        <f>IF(aoc_02_input[[#This Row],[Pos1]]=aoc_02_input[[#This Row],[Char]],1,0)</f>
        <v>0</v>
      </c>
      <c r="L27" s="1" t="str">
        <f>MID(aoc_02_input[[#This Row],[Password]],aoc_02_input[[#This Row],[Int2]],1)</f>
        <v>v</v>
      </c>
      <c r="M27" s="1">
        <f>IF(aoc_02_input[[#This Row],[Pos2]]=aoc_02_input[[#This Row],[Char]],1,0)</f>
        <v>0</v>
      </c>
      <c r="N27" s="1">
        <f>IF(aoc_02_input[[#This Row],[Pos1Valid]]&lt;&gt;aoc_02_input[[#This Row],[Pos2Valid]],1,0)</f>
        <v>0</v>
      </c>
    </row>
    <row r="28" spans="1:14" x14ac:dyDescent="0.45">
      <c r="A28" s="1" t="s">
        <v>271</v>
      </c>
      <c r="B28" s="1" t="s">
        <v>243</v>
      </c>
      <c r="C28" s="1" t="s">
        <v>272</v>
      </c>
      <c r="D28" s="1">
        <f>FIND("-",aoc_02_input[[#This Row],[InputNumbers]])</f>
        <v>2</v>
      </c>
      <c r="E28" s="1">
        <f>_xlfn.NUMBERVALUE(LEFT(aoc_02_input[[#This Row],[InputNumbers]],aoc_02_input[[#This Row],[PosDash]]-1))</f>
        <v>9</v>
      </c>
      <c r="F28" s="1">
        <f>_xlfn.NUMBERVALUE(MID(aoc_02_input[[#This Row],[InputNumbers]],aoc_02_input[[#This Row],[PosDash]]+1,5))</f>
        <v>10</v>
      </c>
      <c r="G28" s="1" t="str">
        <f>LEFT(aoc_02_input[[#This Row],[InputChar]],1)</f>
        <v>f</v>
      </c>
      <c r="H28" s="1" cm="1">
        <f t="array" ref="H28">CountChar(aoc_02_input[[#This Row],[Password]],aoc_02_input[[#This Row],[Char]])</f>
        <v>4</v>
      </c>
      <c r="I28" s="1">
        <f>IF(AND(aoc_02_input[[#This Row],[Int1]]&lt;=aoc_02_input[[#This Row],[CountOfChar]],aoc_02_input[[#This Row],[CountOfChar]]&lt;=aoc_02_input[[#This Row],[Int2]]),1,0)</f>
        <v>0</v>
      </c>
      <c r="J28" s="1" t="str">
        <f>MID(aoc_02_input[[#This Row],[Password]],aoc_02_input[[#This Row],[Int1]],1)</f>
        <v>r</v>
      </c>
      <c r="K28" s="1">
        <f>IF(aoc_02_input[[#This Row],[Pos1]]=aoc_02_input[[#This Row],[Char]],1,0)</f>
        <v>0</v>
      </c>
      <c r="L28" s="1" t="str">
        <f>MID(aoc_02_input[[#This Row],[Password]],aoc_02_input[[#This Row],[Int2]],1)</f>
        <v>s</v>
      </c>
      <c r="M28" s="1">
        <f>IF(aoc_02_input[[#This Row],[Pos2]]=aoc_02_input[[#This Row],[Char]],1,0)</f>
        <v>0</v>
      </c>
      <c r="N28" s="1">
        <f>IF(aoc_02_input[[#This Row],[Pos1Valid]]&lt;&gt;aoc_02_input[[#This Row],[Pos2Valid]],1,0)</f>
        <v>0</v>
      </c>
    </row>
    <row r="29" spans="1:14" x14ac:dyDescent="0.45">
      <c r="A29" s="1" t="s">
        <v>273</v>
      </c>
      <c r="B29" s="1" t="s">
        <v>216</v>
      </c>
      <c r="C29" s="1" t="s">
        <v>274</v>
      </c>
      <c r="D29" s="1">
        <f>FIND("-",aoc_02_input[[#This Row],[InputNumbers]])</f>
        <v>2</v>
      </c>
      <c r="E29" s="1">
        <f>_xlfn.NUMBERVALUE(LEFT(aoc_02_input[[#This Row],[InputNumbers]],aoc_02_input[[#This Row],[PosDash]]-1))</f>
        <v>6</v>
      </c>
      <c r="F29" s="1">
        <f>_xlfn.NUMBERVALUE(MID(aoc_02_input[[#This Row],[InputNumbers]],aoc_02_input[[#This Row],[PosDash]]+1,5))</f>
        <v>11</v>
      </c>
      <c r="G29" s="1" t="str">
        <f>LEFT(aoc_02_input[[#This Row],[InputChar]],1)</f>
        <v>z</v>
      </c>
      <c r="H29" s="1" cm="1">
        <f t="array" ref="H29">CountChar(aoc_02_input[[#This Row],[Password]],aoc_02_input[[#This Row],[Char]])</f>
        <v>7</v>
      </c>
      <c r="I29" s="1">
        <f>IF(AND(aoc_02_input[[#This Row],[Int1]]&lt;=aoc_02_input[[#This Row],[CountOfChar]],aoc_02_input[[#This Row],[CountOfChar]]&lt;=aoc_02_input[[#This Row],[Int2]]),1,0)</f>
        <v>1</v>
      </c>
      <c r="J29" s="1" t="str">
        <f>MID(aoc_02_input[[#This Row],[Password]],aoc_02_input[[#This Row],[Int1]],1)</f>
        <v>z</v>
      </c>
      <c r="K29" s="1">
        <f>IF(aoc_02_input[[#This Row],[Pos1]]=aoc_02_input[[#This Row],[Char]],1,0)</f>
        <v>1</v>
      </c>
      <c r="L29" s="1" t="str">
        <f>MID(aoc_02_input[[#This Row],[Password]],aoc_02_input[[#This Row],[Int2]],1)</f>
        <v>f</v>
      </c>
      <c r="M29" s="1">
        <f>IF(aoc_02_input[[#This Row],[Pos2]]=aoc_02_input[[#This Row],[Char]],1,0)</f>
        <v>0</v>
      </c>
      <c r="N29" s="1">
        <f>IF(aoc_02_input[[#This Row],[Pos1Valid]]&lt;&gt;aoc_02_input[[#This Row],[Pos2Valid]],1,0)</f>
        <v>1</v>
      </c>
    </row>
    <row r="30" spans="1:14" x14ac:dyDescent="0.45">
      <c r="A30" s="1" t="s">
        <v>275</v>
      </c>
      <c r="B30" s="1" t="s">
        <v>246</v>
      </c>
      <c r="C30" s="1" t="s">
        <v>276</v>
      </c>
      <c r="D30" s="1">
        <f>FIND("-",aoc_02_input[[#This Row],[InputNumbers]])</f>
        <v>3</v>
      </c>
      <c r="E30" s="1">
        <f>_xlfn.NUMBERVALUE(LEFT(aoc_02_input[[#This Row],[InputNumbers]],aoc_02_input[[#This Row],[PosDash]]-1))</f>
        <v>10</v>
      </c>
      <c r="F30" s="1">
        <f>_xlfn.NUMBERVALUE(MID(aoc_02_input[[#This Row],[InputNumbers]],aoc_02_input[[#This Row],[PosDash]]+1,5))</f>
        <v>19</v>
      </c>
      <c r="G30" s="1" t="str">
        <f>LEFT(aoc_02_input[[#This Row],[InputChar]],1)</f>
        <v>n</v>
      </c>
      <c r="H30" s="1" cm="1">
        <f t="array" ref="H30">CountChar(aoc_02_input[[#This Row],[Password]],aoc_02_input[[#This Row],[Char]])</f>
        <v>20</v>
      </c>
      <c r="I30" s="1">
        <f>IF(AND(aoc_02_input[[#This Row],[Int1]]&lt;=aoc_02_input[[#This Row],[CountOfChar]],aoc_02_input[[#This Row],[CountOfChar]]&lt;=aoc_02_input[[#This Row],[Int2]]),1,0)</f>
        <v>0</v>
      </c>
      <c r="J30" s="1" t="str">
        <f>MID(aoc_02_input[[#This Row],[Password]],aoc_02_input[[#This Row],[Int1]],1)</f>
        <v>n</v>
      </c>
      <c r="K30" s="1">
        <f>IF(aoc_02_input[[#This Row],[Pos1]]=aoc_02_input[[#This Row],[Char]],1,0)</f>
        <v>1</v>
      </c>
      <c r="L30" s="1" t="str">
        <f>MID(aoc_02_input[[#This Row],[Password]],aoc_02_input[[#This Row],[Int2]],1)</f>
        <v>n</v>
      </c>
      <c r="M30" s="1">
        <f>IF(aoc_02_input[[#This Row],[Pos2]]=aoc_02_input[[#This Row],[Char]],1,0)</f>
        <v>1</v>
      </c>
      <c r="N30" s="1">
        <f>IF(aoc_02_input[[#This Row],[Pos1Valid]]&lt;&gt;aoc_02_input[[#This Row],[Pos2Valid]],1,0)</f>
        <v>0</v>
      </c>
    </row>
    <row r="31" spans="1:14" x14ac:dyDescent="0.45">
      <c r="A31" s="1" t="s">
        <v>277</v>
      </c>
      <c r="B31" s="1" t="s">
        <v>278</v>
      </c>
      <c r="C31" s="1" t="s">
        <v>279</v>
      </c>
      <c r="D31" s="1">
        <f>FIND("-",aoc_02_input[[#This Row],[InputNumbers]])</f>
        <v>2</v>
      </c>
      <c r="E31" s="1">
        <f>_xlfn.NUMBERVALUE(LEFT(aoc_02_input[[#This Row],[InputNumbers]],aoc_02_input[[#This Row],[PosDash]]-1))</f>
        <v>7</v>
      </c>
      <c r="F31" s="1">
        <f>_xlfn.NUMBERVALUE(MID(aoc_02_input[[#This Row],[InputNumbers]],aoc_02_input[[#This Row],[PosDash]]+1,5))</f>
        <v>12</v>
      </c>
      <c r="G31" s="1" t="str">
        <f>LEFT(aoc_02_input[[#This Row],[InputChar]],1)</f>
        <v>x</v>
      </c>
      <c r="H31" s="1" cm="1">
        <f t="array" ref="H31">CountChar(aoc_02_input[[#This Row],[Password]],aoc_02_input[[#This Row],[Char]])</f>
        <v>11</v>
      </c>
      <c r="I31" s="1">
        <f>IF(AND(aoc_02_input[[#This Row],[Int1]]&lt;=aoc_02_input[[#This Row],[CountOfChar]],aoc_02_input[[#This Row],[CountOfChar]]&lt;=aoc_02_input[[#This Row],[Int2]]),1,0)</f>
        <v>1</v>
      </c>
      <c r="J31" s="1" t="str">
        <f>MID(aoc_02_input[[#This Row],[Password]],aoc_02_input[[#This Row],[Int1]],1)</f>
        <v>x</v>
      </c>
      <c r="K31" s="1">
        <f>IF(aoc_02_input[[#This Row],[Pos1]]=aoc_02_input[[#This Row],[Char]],1,0)</f>
        <v>1</v>
      </c>
      <c r="L31" s="1" t="str">
        <f>MID(aoc_02_input[[#This Row],[Password]],aoc_02_input[[#This Row],[Int2]],1)</f>
        <v>x</v>
      </c>
      <c r="M31" s="1">
        <f>IF(aoc_02_input[[#This Row],[Pos2]]=aoc_02_input[[#This Row],[Char]],1,0)</f>
        <v>1</v>
      </c>
      <c r="N31" s="1">
        <f>IF(aoc_02_input[[#This Row],[Pos1Valid]]&lt;&gt;aoc_02_input[[#This Row],[Pos2Valid]],1,0)</f>
        <v>0</v>
      </c>
    </row>
    <row r="32" spans="1:14" x14ac:dyDescent="0.45">
      <c r="A32" s="1" t="s">
        <v>280</v>
      </c>
      <c r="B32" s="1" t="s">
        <v>243</v>
      </c>
      <c r="C32" s="1" t="s">
        <v>281</v>
      </c>
      <c r="D32" s="1">
        <f>FIND("-",aoc_02_input[[#This Row],[InputNumbers]])</f>
        <v>3</v>
      </c>
      <c r="E32" s="1">
        <f>_xlfn.NUMBERVALUE(LEFT(aoc_02_input[[#This Row],[InputNumbers]],aoc_02_input[[#This Row],[PosDash]]-1))</f>
        <v>17</v>
      </c>
      <c r="F32" s="1">
        <f>_xlfn.NUMBERVALUE(MID(aoc_02_input[[#This Row],[InputNumbers]],aoc_02_input[[#This Row],[PosDash]]+1,5))</f>
        <v>19</v>
      </c>
      <c r="G32" s="1" t="str">
        <f>LEFT(aoc_02_input[[#This Row],[InputChar]],1)</f>
        <v>f</v>
      </c>
      <c r="H32" s="1" cm="1">
        <f t="array" ref="H32">CountChar(aoc_02_input[[#This Row],[Password]],aoc_02_input[[#This Row],[Char]])</f>
        <v>20</v>
      </c>
      <c r="I32" s="1">
        <f>IF(AND(aoc_02_input[[#This Row],[Int1]]&lt;=aoc_02_input[[#This Row],[CountOfChar]],aoc_02_input[[#This Row],[CountOfChar]]&lt;=aoc_02_input[[#This Row],[Int2]]),1,0)</f>
        <v>0</v>
      </c>
      <c r="J32" s="1" t="str">
        <f>MID(aoc_02_input[[#This Row],[Password]],aoc_02_input[[#This Row],[Int1]],1)</f>
        <v>f</v>
      </c>
      <c r="K32" s="1">
        <f>IF(aoc_02_input[[#This Row],[Pos1]]=aoc_02_input[[#This Row],[Char]],1,0)</f>
        <v>1</v>
      </c>
      <c r="L32" s="1" t="str">
        <f>MID(aoc_02_input[[#This Row],[Password]],aoc_02_input[[#This Row],[Int2]],1)</f>
        <v>f</v>
      </c>
      <c r="M32" s="1">
        <f>IF(aoc_02_input[[#This Row],[Pos2]]=aoc_02_input[[#This Row],[Char]],1,0)</f>
        <v>1</v>
      </c>
      <c r="N32" s="1">
        <f>IF(aoc_02_input[[#This Row],[Pos1Valid]]&lt;&gt;aoc_02_input[[#This Row],[Pos2Valid]],1,0)</f>
        <v>0</v>
      </c>
    </row>
    <row r="33" spans="1:14" x14ac:dyDescent="0.45">
      <c r="A33" s="1" t="s">
        <v>230</v>
      </c>
      <c r="B33" s="1" t="s">
        <v>246</v>
      </c>
      <c r="C33" s="1" t="s">
        <v>282</v>
      </c>
      <c r="D33" s="1">
        <f>FIND("-",aoc_02_input[[#This Row],[InputNumbers]])</f>
        <v>2</v>
      </c>
      <c r="E33" s="1">
        <f>_xlfn.NUMBERVALUE(LEFT(aoc_02_input[[#This Row],[InputNumbers]],aoc_02_input[[#This Row],[PosDash]]-1))</f>
        <v>2</v>
      </c>
      <c r="F33" s="1">
        <f>_xlfn.NUMBERVALUE(MID(aoc_02_input[[#This Row],[InputNumbers]],aoc_02_input[[#This Row],[PosDash]]+1,5))</f>
        <v>4</v>
      </c>
      <c r="G33" s="1" t="str">
        <f>LEFT(aoc_02_input[[#This Row],[InputChar]],1)</f>
        <v>n</v>
      </c>
      <c r="H33" s="1" cm="1">
        <f t="array" ref="H33">CountChar(aoc_02_input[[#This Row],[Password]],aoc_02_input[[#This Row],[Char]])</f>
        <v>3</v>
      </c>
      <c r="I33" s="1">
        <f>IF(AND(aoc_02_input[[#This Row],[Int1]]&lt;=aoc_02_input[[#This Row],[CountOfChar]],aoc_02_input[[#This Row],[CountOfChar]]&lt;=aoc_02_input[[#This Row],[Int2]]),1,0)</f>
        <v>1</v>
      </c>
      <c r="J33" s="1" t="str">
        <f>MID(aoc_02_input[[#This Row],[Password]],aoc_02_input[[#This Row],[Int1]],1)</f>
        <v>n</v>
      </c>
      <c r="K33" s="1">
        <f>IF(aoc_02_input[[#This Row],[Pos1]]=aoc_02_input[[#This Row],[Char]],1,0)</f>
        <v>1</v>
      </c>
      <c r="L33" s="1" t="str">
        <f>MID(aoc_02_input[[#This Row],[Password]],aoc_02_input[[#This Row],[Int2]],1)</f>
        <v>s</v>
      </c>
      <c r="M33" s="1">
        <f>IF(aoc_02_input[[#This Row],[Pos2]]=aoc_02_input[[#This Row],[Char]],1,0)</f>
        <v>0</v>
      </c>
      <c r="N33" s="1">
        <f>IF(aoc_02_input[[#This Row],[Pos1Valid]]&lt;&gt;aoc_02_input[[#This Row],[Pos2Valid]],1,0)</f>
        <v>1</v>
      </c>
    </row>
    <row r="34" spans="1:14" x14ac:dyDescent="0.45">
      <c r="A34" s="1" t="s">
        <v>283</v>
      </c>
      <c r="B34" s="1" t="s">
        <v>249</v>
      </c>
      <c r="C34" s="1" t="s">
        <v>284</v>
      </c>
      <c r="D34" s="1">
        <f>FIND("-",aoc_02_input[[#This Row],[InputNumbers]])</f>
        <v>2</v>
      </c>
      <c r="E34" s="1">
        <f>_xlfn.NUMBERVALUE(LEFT(aoc_02_input[[#This Row],[InputNumbers]],aoc_02_input[[#This Row],[PosDash]]-1))</f>
        <v>3</v>
      </c>
      <c r="F34" s="1">
        <f>_xlfn.NUMBERVALUE(MID(aoc_02_input[[#This Row],[InputNumbers]],aoc_02_input[[#This Row],[PosDash]]+1,5))</f>
        <v>4</v>
      </c>
      <c r="G34" s="1" t="str">
        <f>LEFT(aoc_02_input[[#This Row],[InputChar]],1)</f>
        <v>q</v>
      </c>
      <c r="H34" s="1" cm="1">
        <f t="array" ref="H34">CountChar(aoc_02_input[[#This Row],[Password]],aoc_02_input[[#This Row],[Char]])</f>
        <v>1</v>
      </c>
      <c r="I34" s="1">
        <f>IF(AND(aoc_02_input[[#This Row],[Int1]]&lt;=aoc_02_input[[#This Row],[CountOfChar]],aoc_02_input[[#This Row],[CountOfChar]]&lt;=aoc_02_input[[#This Row],[Int2]]),1,0)</f>
        <v>0</v>
      </c>
      <c r="J34" s="1" t="str">
        <f>MID(aoc_02_input[[#This Row],[Password]],aoc_02_input[[#This Row],[Int1]],1)</f>
        <v>z</v>
      </c>
      <c r="K34" s="1">
        <f>IF(aoc_02_input[[#This Row],[Pos1]]=aoc_02_input[[#This Row],[Char]],1,0)</f>
        <v>0</v>
      </c>
      <c r="L34" s="1" t="str">
        <f>MID(aoc_02_input[[#This Row],[Password]],aoc_02_input[[#This Row],[Int2]],1)</f>
        <v>s</v>
      </c>
      <c r="M34" s="1">
        <f>IF(aoc_02_input[[#This Row],[Pos2]]=aoc_02_input[[#This Row],[Char]],1,0)</f>
        <v>0</v>
      </c>
      <c r="N34" s="1">
        <f>IF(aoc_02_input[[#This Row],[Pos1Valid]]&lt;&gt;aoc_02_input[[#This Row],[Pos2Valid]],1,0)</f>
        <v>0</v>
      </c>
    </row>
    <row r="35" spans="1:14" x14ac:dyDescent="0.45">
      <c r="A35" s="1" t="s">
        <v>224</v>
      </c>
      <c r="B35" s="1" t="s">
        <v>222</v>
      </c>
      <c r="C35" s="1" t="s">
        <v>285</v>
      </c>
      <c r="D35" s="1">
        <f>FIND("-",aoc_02_input[[#This Row],[InputNumbers]])</f>
        <v>2</v>
      </c>
      <c r="E35" s="1">
        <f>_xlfn.NUMBERVALUE(LEFT(aoc_02_input[[#This Row],[InputNumbers]],aoc_02_input[[#This Row],[PosDash]]-1))</f>
        <v>1</v>
      </c>
      <c r="F35" s="1">
        <f>_xlfn.NUMBERVALUE(MID(aoc_02_input[[#This Row],[InputNumbers]],aoc_02_input[[#This Row],[PosDash]]+1,5))</f>
        <v>5</v>
      </c>
      <c r="G35" s="1" t="str">
        <f>LEFT(aoc_02_input[[#This Row],[InputChar]],1)</f>
        <v>l</v>
      </c>
      <c r="H35" s="1" cm="1">
        <f t="array" ref="H35">CountChar(aoc_02_input[[#This Row],[Password]],aoc_02_input[[#This Row],[Char]])</f>
        <v>7</v>
      </c>
      <c r="I35" s="1">
        <f>IF(AND(aoc_02_input[[#This Row],[Int1]]&lt;=aoc_02_input[[#This Row],[CountOfChar]],aoc_02_input[[#This Row],[CountOfChar]]&lt;=aoc_02_input[[#This Row],[Int2]]),1,0)</f>
        <v>0</v>
      </c>
      <c r="J35" s="1" t="str">
        <f>MID(aoc_02_input[[#This Row],[Password]],aoc_02_input[[#This Row],[Int1]],1)</f>
        <v>s</v>
      </c>
      <c r="K35" s="1">
        <f>IF(aoc_02_input[[#This Row],[Pos1]]=aoc_02_input[[#This Row],[Char]],1,0)</f>
        <v>0</v>
      </c>
      <c r="L35" s="1" t="str">
        <f>MID(aoc_02_input[[#This Row],[Password]],aoc_02_input[[#This Row],[Int2]],1)</f>
        <v>j</v>
      </c>
      <c r="M35" s="1">
        <f>IF(aoc_02_input[[#This Row],[Pos2]]=aoc_02_input[[#This Row],[Char]],1,0)</f>
        <v>0</v>
      </c>
      <c r="N35" s="1">
        <f>IF(aoc_02_input[[#This Row],[Pos1Valid]]&lt;&gt;aoc_02_input[[#This Row],[Pos2Valid]],1,0)</f>
        <v>0</v>
      </c>
    </row>
    <row r="36" spans="1:14" x14ac:dyDescent="0.45">
      <c r="A36" s="1" t="s">
        <v>286</v>
      </c>
      <c r="B36" s="1" t="s">
        <v>222</v>
      </c>
      <c r="C36" s="1" t="s">
        <v>287</v>
      </c>
      <c r="D36" s="1">
        <f>FIND("-",aoc_02_input[[#This Row],[InputNumbers]])</f>
        <v>2</v>
      </c>
      <c r="E36" s="1">
        <f>_xlfn.NUMBERVALUE(LEFT(aoc_02_input[[#This Row],[InputNumbers]],aoc_02_input[[#This Row],[PosDash]]-1))</f>
        <v>8</v>
      </c>
      <c r="F36" s="1">
        <f>_xlfn.NUMBERVALUE(MID(aoc_02_input[[#This Row],[InputNumbers]],aoc_02_input[[#This Row],[PosDash]]+1,5))</f>
        <v>13</v>
      </c>
      <c r="G36" s="1" t="str">
        <f>LEFT(aoc_02_input[[#This Row],[InputChar]],1)</f>
        <v>l</v>
      </c>
      <c r="H36" s="1" cm="1">
        <f t="array" ref="H36">CountChar(aoc_02_input[[#This Row],[Password]],aoc_02_input[[#This Row],[Char]])</f>
        <v>5</v>
      </c>
      <c r="I36" s="1">
        <f>IF(AND(aoc_02_input[[#This Row],[Int1]]&lt;=aoc_02_input[[#This Row],[CountOfChar]],aoc_02_input[[#This Row],[CountOfChar]]&lt;=aoc_02_input[[#This Row],[Int2]]),1,0)</f>
        <v>0</v>
      </c>
      <c r="J36" s="1" t="str">
        <f>MID(aoc_02_input[[#This Row],[Password]],aoc_02_input[[#This Row],[Int1]],1)</f>
        <v>m</v>
      </c>
      <c r="K36" s="1">
        <f>IF(aoc_02_input[[#This Row],[Pos1]]=aoc_02_input[[#This Row],[Char]],1,0)</f>
        <v>0</v>
      </c>
      <c r="L36" s="1" t="str">
        <f>MID(aoc_02_input[[#This Row],[Password]],aoc_02_input[[#This Row],[Int2]],1)</f>
        <v>l</v>
      </c>
      <c r="M36" s="1">
        <f>IF(aoc_02_input[[#This Row],[Pos2]]=aoc_02_input[[#This Row],[Char]],1,0)</f>
        <v>1</v>
      </c>
      <c r="N36" s="1">
        <f>IF(aoc_02_input[[#This Row],[Pos1Valid]]&lt;&gt;aoc_02_input[[#This Row],[Pos2Valid]],1,0)</f>
        <v>1</v>
      </c>
    </row>
    <row r="37" spans="1:14" x14ac:dyDescent="0.45">
      <c r="A37" s="1" t="s">
        <v>288</v>
      </c>
      <c r="B37" s="1" t="s">
        <v>225</v>
      </c>
      <c r="C37" s="1" t="s">
        <v>289</v>
      </c>
      <c r="D37" s="1">
        <f>FIND("-",aoc_02_input[[#This Row],[InputNumbers]])</f>
        <v>2</v>
      </c>
      <c r="E37" s="1">
        <f>_xlfn.NUMBERVALUE(LEFT(aoc_02_input[[#This Row],[InputNumbers]],aoc_02_input[[#This Row],[PosDash]]-1))</f>
        <v>1</v>
      </c>
      <c r="F37" s="1">
        <f>_xlfn.NUMBERVALUE(MID(aoc_02_input[[#This Row],[InputNumbers]],aoc_02_input[[#This Row],[PosDash]]+1,5))</f>
        <v>4</v>
      </c>
      <c r="G37" s="1" t="str">
        <f>LEFT(aoc_02_input[[#This Row],[InputChar]],1)</f>
        <v>j</v>
      </c>
      <c r="H37" s="1" cm="1">
        <f t="array" ref="H37">CountChar(aoc_02_input[[#This Row],[Password]],aoc_02_input[[#This Row],[Char]])</f>
        <v>2</v>
      </c>
      <c r="I37" s="1">
        <f>IF(AND(aoc_02_input[[#This Row],[Int1]]&lt;=aoc_02_input[[#This Row],[CountOfChar]],aoc_02_input[[#This Row],[CountOfChar]]&lt;=aoc_02_input[[#This Row],[Int2]]),1,0)</f>
        <v>1</v>
      </c>
      <c r="J37" s="1" t="str">
        <f>MID(aoc_02_input[[#This Row],[Password]],aoc_02_input[[#This Row],[Int1]],1)</f>
        <v>j</v>
      </c>
      <c r="K37" s="1">
        <f>IF(aoc_02_input[[#This Row],[Pos1]]=aoc_02_input[[#This Row],[Char]],1,0)</f>
        <v>1</v>
      </c>
      <c r="L37" s="1" t="str">
        <f>MID(aoc_02_input[[#This Row],[Password]],aoc_02_input[[#This Row],[Int2]],1)</f>
        <v>j</v>
      </c>
      <c r="M37" s="1">
        <f>IF(aoc_02_input[[#This Row],[Pos2]]=aoc_02_input[[#This Row],[Char]],1,0)</f>
        <v>1</v>
      </c>
      <c r="N37" s="1">
        <f>IF(aoc_02_input[[#This Row],[Pos1Valid]]&lt;&gt;aoc_02_input[[#This Row],[Pos2Valid]],1,0)</f>
        <v>0</v>
      </c>
    </row>
    <row r="38" spans="1:14" x14ac:dyDescent="0.45">
      <c r="A38" s="1" t="s">
        <v>290</v>
      </c>
      <c r="B38" s="1" t="s">
        <v>207</v>
      </c>
      <c r="C38" s="1" t="s">
        <v>291</v>
      </c>
      <c r="D38" s="1">
        <f>FIND("-",aoc_02_input[[#This Row],[InputNumbers]])</f>
        <v>2</v>
      </c>
      <c r="E38" s="1">
        <f>_xlfn.NUMBERVALUE(LEFT(aoc_02_input[[#This Row],[InputNumbers]],aoc_02_input[[#This Row],[PosDash]]-1))</f>
        <v>8</v>
      </c>
      <c r="F38" s="1">
        <f>_xlfn.NUMBERVALUE(MID(aoc_02_input[[#This Row],[InputNumbers]],aoc_02_input[[#This Row],[PosDash]]+1,5))</f>
        <v>10</v>
      </c>
      <c r="G38" s="1" t="str">
        <f>LEFT(aoc_02_input[[#This Row],[InputChar]],1)</f>
        <v>b</v>
      </c>
      <c r="H38" s="1" cm="1">
        <f t="array" ref="H38">CountChar(aoc_02_input[[#This Row],[Password]],aoc_02_input[[#This Row],[Char]])</f>
        <v>1</v>
      </c>
      <c r="I38" s="1">
        <f>IF(AND(aoc_02_input[[#This Row],[Int1]]&lt;=aoc_02_input[[#This Row],[CountOfChar]],aoc_02_input[[#This Row],[CountOfChar]]&lt;=aoc_02_input[[#This Row],[Int2]]),1,0)</f>
        <v>0</v>
      </c>
      <c r="J38" s="1" t="str">
        <f>MID(aoc_02_input[[#This Row],[Password]],aoc_02_input[[#This Row],[Int1]],1)</f>
        <v>c</v>
      </c>
      <c r="K38" s="1">
        <f>IF(aoc_02_input[[#This Row],[Pos1]]=aoc_02_input[[#This Row],[Char]],1,0)</f>
        <v>0</v>
      </c>
      <c r="L38" s="1" t="str">
        <f>MID(aoc_02_input[[#This Row],[Password]],aoc_02_input[[#This Row],[Int2]],1)</f>
        <v>s</v>
      </c>
      <c r="M38" s="1">
        <f>IF(aoc_02_input[[#This Row],[Pos2]]=aoc_02_input[[#This Row],[Char]],1,0)</f>
        <v>0</v>
      </c>
      <c r="N38" s="1">
        <f>IF(aoc_02_input[[#This Row],[Pos1Valid]]&lt;&gt;aoc_02_input[[#This Row],[Pos2Valid]],1,0)</f>
        <v>0</v>
      </c>
    </row>
    <row r="39" spans="1:14" x14ac:dyDescent="0.45">
      <c r="A39" s="1" t="s">
        <v>292</v>
      </c>
      <c r="B39" s="1" t="s">
        <v>254</v>
      </c>
      <c r="C39" s="1" t="s">
        <v>293</v>
      </c>
      <c r="D39" s="1">
        <f>FIND("-",aoc_02_input[[#This Row],[InputNumbers]])</f>
        <v>2</v>
      </c>
      <c r="E39" s="1">
        <f>_xlfn.NUMBERVALUE(LEFT(aoc_02_input[[#This Row],[InputNumbers]],aoc_02_input[[#This Row],[PosDash]]-1))</f>
        <v>7</v>
      </c>
      <c r="F39" s="1">
        <f>_xlfn.NUMBERVALUE(MID(aoc_02_input[[#This Row],[InputNumbers]],aoc_02_input[[#This Row],[PosDash]]+1,5))</f>
        <v>9</v>
      </c>
      <c r="G39" s="1" t="str">
        <f>LEFT(aoc_02_input[[#This Row],[InputChar]],1)</f>
        <v>k</v>
      </c>
      <c r="H39" s="1" cm="1">
        <f t="array" ref="H39">CountChar(aoc_02_input[[#This Row],[Password]],aoc_02_input[[#This Row],[Char]])</f>
        <v>7</v>
      </c>
      <c r="I39" s="1">
        <f>IF(AND(aoc_02_input[[#This Row],[Int1]]&lt;=aoc_02_input[[#This Row],[CountOfChar]],aoc_02_input[[#This Row],[CountOfChar]]&lt;=aoc_02_input[[#This Row],[Int2]]),1,0)</f>
        <v>1</v>
      </c>
      <c r="J39" s="1" t="str">
        <f>MID(aoc_02_input[[#This Row],[Password]],aoc_02_input[[#This Row],[Int1]],1)</f>
        <v>k</v>
      </c>
      <c r="K39" s="1">
        <f>IF(aoc_02_input[[#This Row],[Pos1]]=aoc_02_input[[#This Row],[Char]],1,0)</f>
        <v>1</v>
      </c>
      <c r="L39" s="1" t="str">
        <f>MID(aoc_02_input[[#This Row],[Password]],aoc_02_input[[#This Row],[Int2]],1)</f>
        <v>k</v>
      </c>
      <c r="M39" s="1">
        <f>IF(aoc_02_input[[#This Row],[Pos2]]=aoc_02_input[[#This Row],[Char]],1,0)</f>
        <v>1</v>
      </c>
      <c r="N39" s="1">
        <f>IF(aoc_02_input[[#This Row],[Pos1Valid]]&lt;&gt;aoc_02_input[[#This Row],[Pos2Valid]],1,0)</f>
        <v>0</v>
      </c>
    </row>
    <row r="40" spans="1:14" x14ac:dyDescent="0.45">
      <c r="A40" s="1" t="s">
        <v>294</v>
      </c>
      <c r="B40" s="1" t="s">
        <v>295</v>
      </c>
      <c r="C40" s="1" t="s">
        <v>296</v>
      </c>
      <c r="D40" s="1">
        <f>FIND("-",aoc_02_input[[#This Row],[InputNumbers]])</f>
        <v>2</v>
      </c>
      <c r="E40" s="1">
        <f>_xlfn.NUMBERVALUE(LEFT(aoc_02_input[[#This Row],[InputNumbers]],aoc_02_input[[#This Row],[PosDash]]-1))</f>
        <v>7</v>
      </c>
      <c r="F40" s="1">
        <f>_xlfn.NUMBERVALUE(MID(aoc_02_input[[#This Row],[InputNumbers]],aoc_02_input[[#This Row],[PosDash]]+1,5))</f>
        <v>11</v>
      </c>
      <c r="G40" s="1" t="str">
        <f>LEFT(aoc_02_input[[#This Row],[InputChar]],1)</f>
        <v>c</v>
      </c>
      <c r="H40" s="1" cm="1">
        <f t="array" ref="H40">CountChar(aoc_02_input[[#This Row],[Password]],aoc_02_input[[#This Row],[Char]])</f>
        <v>4</v>
      </c>
      <c r="I40" s="1">
        <f>IF(AND(aoc_02_input[[#This Row],[Int1]]&lt;=aoc_02_input[[#This Row],[CountOfChar]],aoc_02_input[[#This Row],[CountOfChar]]&lt;=aoc_02_input[[#This Row],[Int2]]),1,0)</f>
        <v>0</v>
      </c>
      <c r="J40" s="1" t="str">
        <f>MID(aoc_02_input[[#This Row],[Password]],aoc_02_input[[#This Row],[Int1]],1)</f>
        <v>c</v>
      </c>
      <c r="K40" s="1">
        <f>IF(aoc_02_input[[#This Row],[Pos1]]=aoc_02_input[[#This Row],[Char]],1,0)</f>
        <v>1</v>
      </c>
      <c r="L40" s="1" t="str">
        <f>MID(aoc_02_input[[#This Row],[Password]],aoc_02_input[[#This Row],[Int2]],1)</f>
        <v>c</v>
      </c>
      <c r="M40" s="1">
        <f>IF(aoc_02_input[[#This Row],[Pos2]]=aoc_02_input[[#This Row],[Char]],1,0)</f>
        <v>1</v>
      </c>
      <c r="N40" s="1">
        <f>IF(aoc_02_input[[#This Row],[Pos1Valid]]&lt;&gt;aoc_02_input[[#This Row],[Pos2Valid]],1,0)</f>
        <v>0</v>
      </c>
    </row>
    <row r="41" spans="1:14" x14ac:dyDescent="0.45">
      <c r="A41" s="1" t="s">
        <v>224</v>
      </c>
      <c r="B41" s="1" t="s">
        <v>222</v>
      </c>
      <c r="C41" s="1" t="s">
        <v>297</v>
      </c>
      <c r="D41" s="1">
        <f>FIND("-",aoc_02_input[[#This Row],[InputNumbers]])</f>
        <v>2</v>
      </c>
      <c r="E41" s="1">
        <f>_xlfn.NUMBERVALUE(LEFT(aoc_02_input[[#This Row],[InputNumbers]],aoc_02_input[[#This Row],[PosDash]]-1))</f>
        <v>1</v>
      </c>
      <c r="F41" s="1">
        <f>_xlfn.NUMBERVALUE(MID(aoc_02_input[[#This Row],[InputNumbers]],aoc_02_input[[#This Row],[PosDash]]+1,5))</f>
        <v>5</v>
      </c>
      <c r="G41" s="1" t="str">
        <f>LEFT(aoc_02_input[[#This Row],[InputChar]],1)</f>
        <v>l</v>
      </c>
      <c r="H41" s="1" cm="1">
        <f t="array" ref="H41">CountChar(aoc_02_input[[#This Row],[Password]],aoc_02_input[[#This Row],[Char]])</f>
        <v>6</v>
      </c>
      <c r="I41" s="1">
        <f>IF(AND(aoc_02_input[[#This Row],[Int1]]&lt;=aoc_02_input[[#This Row],[CountOfChar]],aoc_02_input[[#This Row],[CountOfChar]]&lt;=aoc_02_input[[#This Row],[Int2]]),1,0)</f>
        <v>0</v>
      </c>
      <c r="J41" s="1" t="str">
        <f>MID(aoc_02_input[[#This Row],[Password]],aoc_02_input[[#This Row],[Int1]],1)</f>
        <v>l</v>
      </c>
      <c r="K41" s="1">
        <f>IF(aoc_02_input[[#This Row],[Pos1]]=aoc_02_input[[#This Row],[Char]],1,0)</f>
        <v>1</v>
      </c>
      <c r="L41" s="1" t="str">
        <f>MID(aoc_02_input[[#This Row],[Password]],aoc_02_input[[#This Row],[Int2]],1)</f>
        <v>l</v>
      </c>
      <c r="M41" s="1">
        <f>IF(aoc_02_input[[#This Row],[Pos2]]=aoc_02_input[[#This Row],[Char]],1,0)</f>
        <v>1</v>
      </c>
      <c r="N41" s="1">
        <f>IF(aoc_02_input[[#This Row],[Pos1Valid]]&lt;&gt;aoc_02_input[[#This Row],[Pos2Valid]],1,0)</f>
        <v>0</v>
      </c>
    </row>
    <row r="42" spans="1:14" x14ac:dyDescent="0.45">
      <c r="A42" s="1" t="s">
        <v>232</v>
      </c>
      <c r="B42" s="1" t="s">
        <v>265</v>
      </c>
      <c r="C42" s="1" t="s">
        <v>298</v>
      </c>
      <c r="D42" s="1">
        <f>FIND("-",aoc_02_input[[#This Row],[InputNumbers]])</f>
        <v>2</v>
      </c>
      <c r="E42" s="1">
        <f>_xlfn.NUMBERVALUE(LEFT(aoc_02_input[[#This Row],[InputNumbers]],aoc_02_input[[#This Row],[PosDash]]-1))</f>
        <v>4</v>
      </c>
      <c r="F42" s="1">
        <f>_xlfn.NUMBERVALUE(MID(aoc_02_input[[#This Row],[InputNumbers]],aoc_02_input[[#This Row],[PosDash]]+1,5))</f>
        <v>6</v>
      </c>
      <c r="G42" s="1" t="str">
        <f>LEFT(aoc_02_input[[#This Row],[InputChar]],1)</f>
        <v>r</v>
      </c>
      <c r="H42" s="1" cm="1">
        <f t="array" ref="H42">CountChar(aoc_02_input[[#This Row],[Password]],aoc_02_input[[#This Row],[Char]])</f>
        <v>2</v>
      </c>
      <c r="I42" s="1">
        <f>IF(AND(aoc_02_input[[#This Row],[Int1]]&lt;=aoc_02_input[[#This Row],[CountOfChar]],aoc_02_input[[#This Row],[CountOfChar]]&lt;=aoc_02_input[[#This Row],[Int2]]),1,0)</f>
        <v>0</v>
      </c>
      <c r="J42" s="1" t="str">
        <f>MID(aoc_02_input[[#This Row],[Password]],aoc_02_input[[#This Row],[Int1]],1)</f>
        <v>z</v>
      </c>
      <c r="K42" s="1">
        <f>IF(aoc_02_input[[#This Row],[Pos1]]=aoc_02_input[[#This Row],[Char]],1,0)</f>
        <v>0</v>
      </c>
      <c r="L42" s="1" t="str">
        <f>MID(aoc_02_input[[#This Row],[Password]],aoc_02_input[[#This Row],[Int2]],1)</f>
        <v>r</v>
      </c>
      <c r="M42" s="1">
        <f>IF(aoc_02_input[[#This Row],[Pos2]]=aoc_02_input[[#This Row],[Char]],1,0)</f>
        <v>1</v>
      </c>
      <c r="N42" s="1">
        <f>IF(aoc_02_input[[#This Row],[Pos1Valid]]&lt;&gt;aoc_02_input[[#This Row],[Pos2Valid]],1,0)</f>
        <v>1</v>
      </c>
    </row>
    <row r="43" spans="1:14" x14ac:dyDescent="0.45">
      <c r="A43" s="1" t="s">
        <v>299</v>
      </c>
      <c r="B43" s="1" t="s">
        <v>228</v>
      </c>
      <c r="C43" s="1" t="s">
        <v>300</v>
      </c>
      <c r="D43" s="1">
        <f>FIND("-",aoc_02_input[[#This Row],[InputNumbers]])</f>
        <v>2</v>
      </c>
      <c r="E43" s="1">
        <f>_xlfn.NUMBERVALUE(LEFT(aoc_02_input[[#This Row],[InputNumbers]],aoc_02_input[[#This Row],[PosDash]]-1))</f>
        <v>1</v>
      </c>
      <c r="F43" s="1">
        <f>_xlfn.NUMBERVALUE(MID(aoc_02_input[[#This Row],[InputNumbers]],aoc_02_input[[#This Row],[PosDash]]+1,5))</f>
        <v>2</v>
      </c>
      <c r="G43" s="1" t="str">
        <f>LEFT(aoc_02_input[[#This Row],[InputChar]],1)</f>
        <v>t</v>
      </c>
      <c r="H43" s="1" cm="1">
        <f t="array" ref="H43">CountChar(aoc_02_input[[#This Row],[Password]],aoc_02_input[[#This Row],[Char]])</f>
        <v>8</v>
      </c>
      <c r="I43" s="1">
        <f>IF(AND(aoc_02_input[[#This Row],[Int1]]&lt;=aoc_02_input[[#This Row],[CountOfChar]],aoc_02_input[[#This Row],[CountOfChar]]&lt;=aoc_02_input[[#This Row],[Int2]]),1,0)</f>
        <v>0</v>
      </c>
      <c r="J43" s="1" t="str">
        <f>MID(aoc_02_input[[#This Row],[Password]],aoc_02_input[[#This Row],[Int1]],1)</f>
        <v>b</v>
      </c>
      <c r="K43" s="1">
        <f>IF(aoc_02_input[[#This Row],[Pos1]]=aoc_02_input[[#This Row],[Char]],1,0)</f>
        <v>0</v>
      </c>
      <c r="L43" s="1" t="str">
        <f>MID(aoc_02_input[[#This Row],[Password]],aoc_02_input[[#This Row],[Int2]],1)</f>
        <v>t</v>
      </c>
      <c r="M43" s="1">
        <f>IF(aoc_02_input[[#This Row],[Pos2]]=aoc_02_input[[#This Row],[Char]],1,0)</f>
        <v>1</v>
      </c>
      <c r="N43" s="1">
        <f>IF(aoc_02_input[[#This Row],[Pos1Valid]]&lt;&gt;aoc_02_input[[#This Row],[Pos2Valid]],1,0)</f>
        <v>1</v>
      </c>
    </row>
    <row r="44" spans="1:14" x14ac:dyDescent="0.45">
      <c r="A44" s="1" t="s">
        <v>301</v>
      </c>
      <c r="B44" s="1" t="s">
        <v>213</v>
      </c>
      <c r="C44" s="1" t="s">
        <v>302</v>
      </c>
      <c r="D44" s="1">
        <f>FIND("-",aoc_02_input[[#This Row],[InputNumbers]])</f>
        <v>3</v>
      </c>
      <c r="E44" s="1">
        <f>_xlfn.NUMBERVALUE(LEFT(aoc_02_input[[#This Row],[InputNumbers]],aoc_02_input[[#This Row],[PosDash]]-1))</f>
        <v>14</v>
      </c>
      <c r="F44" s="1">
        <f>_xlfn.NUMBERVALUE(MID(aoc_02_input[[#This Row],[InputNumbers]],aoc_02_input[[#This Row],[PosDash]]+1,5))</f>
        <v>19</v>
      </c>
      <c r="G44" s="1" t="str">
        <f>LEFT(aoc_02_input[[#This Row],[InputChar]],1)</f>
        <v>m</v>
      </c>
      <c r="H44" s="1" cm="1">
        <f t="array" ref="H44">CountChar(aoc_02_input[[#This Row],[Password]],aoc_02_input[[#This Row],[Char]])</f>
        <v>13</v>
      </c>
      <c r="I44" s="1">
        <f>IF(AND(aoc_02_input[[#This Row],[Int1]]&lt;=aoc_02_input[[#This Row],[CountOfChar]],aoc_02_input[[#This Row],[CountOfChar]]&lt;=aoc_02_input[[#This Row],[Int2]]),1,0)</f>
        <v>0</v>
      </c>
      <c r="J44" s="1" t="str">
        <f>MID(aoc_02_input[[#This Row],[Password]],aoc_02_input[[#This Row],[Int1]],1)</f>
        <v>m</v>
      </c>
      <c r="K44" s="1">
        <f>IF(aoc_02_input[[#This Row],[Pos1]]=aoc_02_input[[#This Row],[Char]],1,0)</f>
        <v>1</v>
      </c>
      <c r="L44" s="1" t="str">
        <f>MID(aoc_02_input[[#This Row],[Password]],aoc_02_input[[#This Row],[Int2]],1)</f>
        <v>z</v>
      </c>
      <c r="M44" s="1">
        <f>IF(aoc_02_input[[#This Row],[Pos2]]=aoc_02_input[[#This Row],[Char]],1,0)</f>
        <v>0</v>
      </c>
      <c r="N44" s="1">
        <f>IF(aoc_02_input[[#This Row],[Pos1Valid]]&lt;&gt;aoc_02_input[[#This Row],[Pos2Valid]],1,0)</f>
        <v>1</v>
      </c>
    </row>
    <row r="45" spans="1:14" x14ac:dyDescent="0.45">
      <c r="A45" s="1" t="s">
        <v>288</v>
      </c>
      <c r="B45" s="1" t="s">
        <v>278</v>
      </c>
      <c r="C45" s="1" t="s">
        <v>303</v>
      </c>
      <c r="D45" s="1">
        <f>FIND("-",aoc_02_input[[#This Row],[InputNumbers]])</f>
        <v>2</v>
      </c>
      <c r="E45" s="1">
        <f>_xlfn.NUMBERVALUE(LEFT(aoc_02_input[[#This Row],[InputNumbers]],aoc_02_input[[#This Row],[PosDash]]-1))</f>
        <v>1</v>
      </c>
      <c r="F45" s="1">
        <f>_xlfn.NUMBERVALUE(MID(aoc_02_input[[#This Row],[InputNumbers]],aoc_02_input[[#This Row],[PosDash]]+1,5))</f>
        <v>4</v>
      </c>
      <c r="G45" s="1" t="str">
        <f>LEFT(aoc_02_input[[#This Row],[InputChar]],1)</f>
        <v>x</v>
      </c>
      <c r="H45" s="1" cm="1">
        <f t="array" ref="H45">CountChar(aoc_02_input[[#This Row],[Password]],aoc_02_input[[#This Row],[Char]])</f>
        <v>2</v>
      </c>
      <c r="I45" s="1">
        <f>IF(AND(aoc_02_input[[#This Row],[Int1]]&lt;=aoc_02_input[[#This Row],[CountOfChar]],aoc_02_input[[#This Row],[CountOfChar]]&lt;=aoc_02_input[[#This Row],[Int2]]),1,0)</f>
        <v>1</v>
      </c>
      <c r="J45" s="1" t="str">
        <f>MID(aoc_02_input[[#This Row],[Password]],aoc_02_input[[#This Row],[Int1]],1)</f>
        <v>x</v>
      </c>
      <c r="K45" s="1">
        <f>IF(aoc_02_input[[#This Row],[Pos1]]=aoc_02_input[[#This Row],[Char]],1,0)</f>
        <v>1</v>
      </c>
      <c r="L45" s="1" t="str">
        <f>MID(aoc_02_input[[#This Row],[Password]],aoc_02_input[[#This Row],[Int2]],1)</f>
        <v>g</v>
      </c>
      <c r="M45" s="1">
        <f>IF(aoc_02_input[[#This Row],[Pos2]]=aoc_02_input[[#This Row],[Char]],1,0)</f>
        <v>0</v>
      </c>
      <c r="N45" s="1">
        <f>IF(aoc_02_input[[#This Row],[Pos1Valid]]&lt;&gt;aoc_02_input[[#This Row],[Pos2Valid]],1,0)</f>
        <v>1</v>
      </c>
    </row>
    <row r="46" spans="1:14" x14ac:dyDescent="0.45">
      <c r="A46" s="1" t="s">
        <v>304</v>
      </c>
      <c r="B46" s="1" t="s">
        <v>305</v>
      </c>
      <c r="C46" s="1" t="s">
        <v>306</v>
      </c>
      <c r="D46" s="1">
        <f>FIND("-",aoc_02_input[[#This Row],[InputNumbers]])</f>
        <v>2</v>
      </c>
      <c r="E46" s="1">
        <f>_xlfn.NUMBERVALUE(LEFT(aoc_02_input[[#This Row],[InputNumbers]],aoc_02_input[[#This Row],[PosDash]]-1))</f>
        <v>2</v>
      </c>
      <c r="F46" s="1">
        <f>_xlfn.NUMBERVALUE(MID(aoc_02_input[[#This Row],[InputNumbers]],aoc_02_input[[#This Row],[PosDash]]+1,5))</f>
        <v>16</v>
      </c>
      <c r="G46" s="1" t="str">
        <f>LEFT(aoc_02_input[[#This Row],[InputChar]],1)</f>
        <v>s</v>
      </c>
      <c r="H46" s="1" cm="1">
        <f t="array" ref="H46">CountChar(aoc_02_input[[#This Row],[Password]],aoc_02_input[[#This Row],[Char]])</f>
        <v>2</v>
      </c>
      <c r="I46" s="1">
        <f>IF(AND(aoc_02_input[[#This Row],[Int1]]&lt;=aoc_02_input[[#This Row],[CountOfChar]],aoc_02_input[[#This Row],[CountOfChar]]&lt;=aoc_02_input[[#This Row],[Int2]]),1,0)</f>
        <v>1</v>
      </c>
      <c r="J46" s="1" t="str">
        <f>MID(aoc_02_input[[#This Row],[Password]],aoc_02_input[[#This Row],[Int1]],1)</f>
        <v>x</v>
      </c>
      <c r="K46" s="1">
        <f>IF(aoc_02_input[[#This Row],[Pos1]]=aoc_02_input[[#This Row],[Char]],1,0)</f>
        <v>0</v>
      </c>
      <c r="L46" s="1" t="str">
        <f>MID(aoc_02_input[[#This Row],[Password]],aoc_02_input[[#This Row],[Int2]],1)</f>
        <v>s</v>
      </c>
      <c r="M46" s="1">
        <f>IF(aoc_02_input[[#This Row],[Pos2]]=aoc_02_input[[#This Row],[Char]],1,0)</f>
        <v>1</v>
      </c>
      <c r="N46" s="1">
        <f>IF(aoc_02_input[[#This Row],[Pos1Valid]]&lt;&gt;aoc_02_input[[#This Row],[Pos2Valid]],1,0)</f>
        <v>1</v>
      </c>
    </row>
    <row r="47" spans="1:14" x14ac:dyDescent="0.45">
      <c r="A47" s="1" t="s">
        <v>307</v>
      </c>
      <c r="B47" s="1" t="s">
        <v>305</v>
      </c>
      <c r="C47" s="1" t="s">
        <v>308</v>
      </c>
      <c r="D47" s="1">
        <f>FIND("-",aoc_02_input[[#This Row],[InputNumbers]])</f>
        <v>2</v>
      </c>
      <c r="E47" s="1">
        <f>_xlfn.NUMBERVALUE(LEFT(aoc_02_input[[#This Row],[InputNumbers]],aoc_02_input[[#This Row],[PosDash]]-1))</f>
        <v>3</v>
      </c>
      <c r="F47" s="1">
        <f>_xlfn.NUMBERVALUE(MID(aoc_02_input[[#This Row],[InputNumbers]],aoc_02_input[[#This Row],[PosDash]]+1,5))</f>
        <v>5</v>
      </c>
      <c r="G47" s="1" t="str">
        <f>LEFT(aoc_02_input[[#This Row],[InputChar]],1)</f>
        <v>s</v>
      </c>
      <c r="H47" s="1" cm="1">
        <f t="array" ref="H47">CountChar(aoc_02_input[[#This Row],[Password]],aoc_02_input[[#This Row],[Char]])</f>
        <v>4</v>
      </c>
      <c r="I47" s="1">
        <f>IF(AND(aoc_02_input[[#This Row],[Int1]]&lt;=aoc_02_input[[#This Row],[CountOfChar]],aoc_02_input[[#This Row],[CountOfChar]]&lt;=aoc_02_input[[#This Row],[Int2]]),1,0)</f>
        <v>1</v>
      </c>
      <c r="J47" s="1" t="str">
        <f>MID(aoc_02_input[[#This Row],[Password]],aoc_02_input[[#This Row],[Int1]],1)</f>
        <v>s</v>
      </c>
      <c r="K47" s="1">
        <f>IF(aoc_02_input[[#This Row],[Pos1]]=aoc_02_input[[#This Row],[Char]],1,0)</f>
        <v>1</v>
      </c>
      <c r="L47" s="1" t="str">
        <f>MID(aoc_02_input[[#This Row],[Password]],aoc_02_input[[#This Row],[Int2]],1)</f>
        <v>s</v>
      </c>
      <c r="M47" s="1">
        <f>IF(aoc_02_input[[#This Row],[Pos2]]=aoc_02_input[[#This Row],[Char]],1,0)</f>
        <v>1</v>
      </c>
      <c r="N47" s="1">
        <f>IF(aoc_02_input[[#This Row],[Pos1Valid]]&lt;&gt;aoc_02_input[[#This Row],[Pos2Valid]],1,0)</f>
        <v>0</v>
      </c>
    </row>
    <row r="48" spans="1:14" x14ac:dyDescent="0.45">
      <c r="A48" s="1" t="s">
        <v>309</v>
      </c>
      <c r="B48" s="1" t="s">
        <v>235</v>
      </c>
      <c r="C48" s="1" t="s">
        <v>310</v>
      </c>
      <c r="D48" s="1">
        <f>FIND("-",aoc_02_input[[#This Row],[InputNumbers]])</f>
        <v>2</v>
      </c>
      <c r="E48" s="1">
        <f>_xlfn.NUMBERVALUE(LEFT(aoc_02_input[[#This Row],[InputNumbers]],aoc_02_input[[#This Row],[PosDash]]-1))</f>
        <v>8</v>
      </c>
      <c r="F48" s="1">
        <f>_xlfn.NUMBERVALUE(MID(aoc_02_input[[#This Row],[InputNumbers]],aoc_02_input[[#This Row],[PosDash]]+1,5))</f>
        <v>11</v>
      </c>
      <c r="G48" s="1" t="str">
        <f>LEFT(aoc_02_input[[#This Row],[InputChar]],1)</f>
        <v>d</v>
      </c>
      <c r="H48" s="1" cm="1">
        <f t="array" ref="H48">CountChar(aoc_02_input[[#This Row],[Password]],aoc_02_input[[#This Row],[Char]])</f>
        <v>12</v>
      </c>
      <c r="I48" s="1">
        <f>IF(AND(aoc_02_input[[#This Row],[Int1]]&lt;=aoc_02_input[[#This Row],[CountOfChar]],aoc_02_input[[#This Row],[CountOfChar]]&lt;=aoc_02_input[[#This Row],[Int2]]),1,0)</f>
        <v>0</v>
      </c>
      <c r="J48" s="1" t="str">
        <f>MID(aoc_02_input[[#This Row],[Password]],aoc_02_input[[#This Row],[Int1]],1)</f>
        <v>d</v>
      </c>
      <c r="K48" s="1">
        <f>IF(aoc_02_input[[#This Row],[Pos1]]=aoc_02_input[[#This Row],[Char]],1,0)</f>
        <v>1</v>
      </c>
      <c r="L48" s="1" t="str">
        <f>MID(aoc_02_input[[#This Row],[Password]],aoc_02_input[[#This Row],[Int2]],1)</f>
        <v>d</v>
      </c>
      <c r="M48" s="1">
        <f>IF(aoc_02_input[[#This Row],[Pos2]]=aoc_02_input[[#This Row],[Char]],1,0)</f>
        <v>1</v>
      </c>
      <c r="N48" s="1">
        <f>IF(aoc_02_input[[#This Row],[Pos1Valid]]&lt;&gt;aoc_02_input[[#This Row],[Pos2Valid]],1,0)</f>
        <v>0</v>
      </c>
    </row>
    <row r="49" spans="1:14" x14ac:dyDescent="0.45">
      <c r="A49" s="1" t="s">
        <v>311</v>
      </c>
      <c r="B49" s="1" t="s">
        <v>210</v>
      </c>
      <c r="C49" s="1" t="s">
        <v>312</v>
      </c>
      <c r="D49" s="1">
        <f>FIND("-",aoc_02_input[[#This Row],[InputNumbers]])</f>
        <v>2</v>
      </c>
      <c r="E49" s="1">
        <f>_xlfn.NUMBERVALUE(LEFT(aoc_02_input[[#This Row],[InputNumbers]],aoc_02_input[[#This Row],[PosDash]]-1))</f>
        <v>3</v>
      </c>
      <c r="F49" s="1">
        <f>_xlfn.NUMBERVALUE(MID(aoc_02_input[[#This Row],[InputNumbers]],aoc_02_input[[#This Row],[PosDash]]+1,5))</f>
        <v>6</v>
      </c>
      <c r="G49" s="1" t="str">
        <f>LEFT(aoc_02_input[[#This Row],[InputChar]],1)</f>
        <v>v</v>
      </c>
      <c r="H49" s="1" cm="1">
        <f t="array" ref="H49">CountChar(aoc_02_input[[#This Row],[Password]],aoc_02_input[[#This Row],[Char]])</f>
        <v>2</v>
      </c>
      <c r="I49" s="1">
        <f>IF(AND(aoc_02_input[[#This Row],[Int1]]&lt;=aoc_02_input[[#This Row],[CountOfChar]],aoc_02_input[[#This Row],[CountOfChar]]&lt;=aoc_02_input[[#This Row],[Int2]]),1,0)</f>
        <v>0</v>
      </c>
      <c r="J49" s="1" t="str">
        <f>MID(aoc_02_input[[#This Row],[Password]],aoc_02_input[[#This Row],[Int1]],1)</f>
        <v>s</v>
      </c>
      <c r="K49" s="1">
        <f>IF(aoc_02_input[[#This Row],[Pos1]]=aoc_02_input[[#This Row],[Char]],1,0)</f>
        <v>0</v>
      </c>
      <c r="L49" s="1" t="str">
        <f>MID(aoc_02_input[[#This Row],[Password]],aoc_02_input[[#This Row],[Int2]],1)</f>
        <v>v</v>
      </c>
      <c r="M49" s="1">
        <f>IF(aoc_02_input[[#This Row],[Pos2]]=aoc_02_input[[#This Row],[Char]],1,0)</f>
        <v>1</v>
      </c>
      <c r="N49" s="1">
        <f>IF(aoc_02_input[[#This Row],[Pos1Valid]]&lt;&gt;aoc_02_input[[#This Row],[Pos2Valid]],1,0)</f>
        <v>1</v>
      </c>
    </row>
    <row r="50" spans="1:14" x14ac:dyDescent="0.45">
      <c r="A50" s="1" t="s">
        <v>313</v>
      </c>
      <c r="B50" s="1" t="s">
        <v>314</v>
      </c>
      <c r="C50" s="1" t="s">
        <v>315</v>
      </c>
      <c r="D50" s="1">
        <f>FIND("-",aoc_02_input[[#This Row],[InputNumbers]])</f>
        <v>2</v>
      </c>
      <c r="E50" s="1">
        <f>_xlfn.NUMBERVALUE(LEFT(aoc_02_input[[#This Row],[InputNumbers]],aoc_02_input[[#This Row],[PosDash]]-1))</f>
        <v>8</v>
      </c>
      <c r="F50" s="1">
        <f>_xlfn.NUMBERVALUE(MID(aoc_02_input[[#This Row],[InputNumbers]],aoc_02_input[[#This Row],[PosDash]]+1,5))</f>
        <v>17</v>
      </c>
      <c r="G50" s="1" t="str">
        <f>LEFT(aoc_02_input[[#This Row],[InputChar]],1)</f>
        <v>h</v>
      </c>
      <c r="H50" s="1" cm="1">
        <f t="array" ref="H50">CountChar(aoc_02_input[[#This Row],[Password]],aoc_02_input[[#This Row],[Char]])</f>
        <v>16</v>
      </c>
      <c r="I50" s="1">
        <f>IF(AND(aoc_02_input[[#This Row],[Int1]]&lt;=aoc_02_input[[#This Row],[CountOfChar]],aoc_02_input[[#This Row],[CountOfChar]]&lt;=aoc_02_input[[#This Row],[Int2]]),1,0)</f>
        <v>1</v>
      </c>
      <c r="J50" s="1" t="str">
        <f>MID(aoc_02_input[[#This Row],[Password]],aoc_02_input[[#This Row],[Int1]],1)</f>
        <v>q</v>
      </c>
      <c r="K50" s="1">
        <f>IF(aoc_02_input[[#This Row],[Pos1]]=aoc_02_input[[#This Row],[Char]],1,0)</f>
        <v>0</v>
      </c>
      <c r="L50" s="1" t="str">
        <f>MID(aoc_02_input[[#This Row],[Password]],aoc_02_input[[#This Row],[Int2]],1)</f>
        <v>t</v>
      </c>
      <c r="M50" s="1">
        <f>IF(aoc_02_input[[#This Row],[Pos2]]=aoc_02_input[[#This Row],[Char]],1,0)</f>
        <v>0</v>
      </c>
      <c r="N50" s="1">
        <f>IF(aoc_02_input[[#This Row],[Pos1Valid]]&lt;&gt;aoc_02_input[[#This Row],[Pos2Valid]],1,0)</f>
        <v>0</v>
      </c>
    </row>
    <row r="51" spans="1:14" x14ac:dyDescent="0.45">
      <c r="A51" s="1" t="s">
        <v>316</v>
      </c>
      <c r="B51" s="1" t="s">
        <v>225</v>
      </c>
      <c r="C51" s="1" t="s">
        <v>317</v>
      </c>
      <c r="D51" s="1">
        <f>FIND("-",aoc_02_input[[#This Row],[InputNumbers]])</f>
        <v>2</v>
      </c>
      <c r="E51" s="1">
        <f>_xlfn.NUMBERVALUE(LEFT(aoc_02_input[[#This Row],[InputNumbers]],aoc_02_input[[#This Row],[PosDash]]-1))</f>
        <v>1</v>
      </c>
      <c r="F51" s="1">
        <f>_xlfn.NUMBERVALUE(MID(aoc_02_input[[#This Row],[InputNumbers]],aoc_02_input[[#This Row],[PosDash]]+1,5))</f>
        <v>6</v>
      </c>
      <c r="G51" s="1" t="str">
        <f>LEFT(aoc_02_input[[#This Row],[InputChar]],1)</f>
        <v>j</v>
      </c>
      <c r="H51" s="1" cm="1">
        <f t="array" ref="H51">CountChar(aoc_02_input[[#This Row],[Password]],aoc_02_input[[#This Row],[Char]])</f>
        <v>9</v>
      </c>
      <c r="I51" s="1">
        <f>IF(AND(aoc_02_input[[#This Row],[Int1]]&lt;=aoc_02_input[[#This Row],[CountOfChar]],aoc_02_input[[#This Row],[CountOfChar]]&lt;=aoc_02_input[[#This Row],[Int2]]),1,0)</f>
        <v>0</v>
      </c>
      <c r="J51" s="1" t="str">
        <f>MID(aoc_02_input[[#This Row],[Password]],aoc_02_input[[#This Row],[Int1]],1)</f>
        <v>j</v>
      </c>
      <c r="K51" s="1">
        <f>IF(aoc_02_input[[#This Row],[Pos1]]=aoc_02_input[[#This Row],[Char]],1,0)</f>
        <v>1</v>
      </c>
      <c r="L51" s="1" t="str">
        <f>MID(aoc_02_input[[#This Row],[Password]],aoc_02_input[[#This Row],[Int2]],1)</f>
        <v>j</v>
      </c>
      <c r="M51" s="1">
        <f>IF(aoc_02_input[[#This Row],[Pos2]]=aoc_02_input[[#This Row],[Char]],1,0)</f>
        <v>1</v>
      </c>
      <c r="N51" s="1">
        <f>IF(aoc_02_input[[#This Row],[Pos1Valid]]&lt;&gt;aoc_02_input[[#This Row],[Pos2Valid]],1,0)</f>
        <v>0</v>
      </c>
    </row>
    <row r="52" spans="1:14" x14ac:dyDescent="0.45">
      <c r="A52" s="1" t="s">
        <v>271</v>
      </c>
      <c r="B52" s="1" t="s">
        <v>216</v>
      </c>
      <c r="C52" s="1" t="s">
        <v>318</v>
      </c>
      <c r="D52" s="1">
        <f>FIND("-",aoc_02_input[[#This Row],[InputNumbers]])</f>
        <v>2</v>
      </c>
      <c r="E52" s="1">
        <f>_xlfn.NUMBERVALUE(LEFT(aoc_02_input[[#This Row],[InputNumbers]],aoc_02_input[[#This Row],[PosDash]]-1))</f>
        <v>9</v>
      </c>
      <c r="F52" s="1">
        <f>_xlfn.NUMBERVALUE(MID(aoc_02_input[[#This Row],[InputNumbers]],aoc_02_input[[#This Row],[PosDash]]+1,5))</f>
        <v>10</v>
      </c>
      <c r="G52" s="1" t="str">
        <f>LEFT(aoc_02_input[[#This Row],[InputChar]],1)</f>
        <v>z</v>
      </c>
      <c r="H52" s="1" cm="1">
        <f t="array" ref="H52">CountChar(aoc_02_input[[#This Row],[Password]],aoc_02_input[[#This Row],[Char]])</f>
        <v>9</v>
      </c>
      <c r="I52" s="1">
        <f>IF(AND(aoc_02_input[[#This Row],[Int1]]&lt;=aoc_02_input[[#This Row],[CountOfChar]],aoc_02_input[[#This Row],[CountOfChar]]&lt;=aoc_02_input[[#This Row],[Int2]]),1,0)</f>
        <v>1</v>
      </c>
      <c r="J52" s="1" t="str">
        <f>MID(aoc_02_input[[#This Row],[Password]],aoc_02_input[[#This Row],[Int1]],1)</f>
        <v>z</v>
      </c>
      <c r="K52" s="1">
        <f>IF(aoc_02_input[[#This Row],[Pos1]]=aoc_02_input[[#This Row],[Char]],1,0)</f>
        <v>1</v>
      </c>
      <c r="L52" s="1" t="str">
        <f>MID(aoc_02_input[[#This Row],[Password]],aoc_02_input[[#This Row],[Int2]],1)</f>
        <v>z</v>
      </c>
      <c r="M52" s="1">
        <f>IF(aoc_02_input[[#This Row],[Pos2]]=aoc_02_input[[#This Row],[Char]],1,0)</f>
        <v>1</v>
      </c>
      <c r="N52" s="1">
        <f>IF(aoc_02_input[[#This Row],[Pos1Valid]]&lt;&gt;aoc_02_input[[#This Row],[Pos2Valid]],1,0)</f>
        <v>0</v>
      </c>
    </row>
    <row r="53" spans="1:14" x14ac:dyDescent="0.45">
      <c r="A53" s="1" t="s">
        <v>307</v>
      </c>
      <c r="B53" s="1" t="s">
        <v>254</v>
      </c>
      <c r="C53" s="1" t="s">
        <v>319</v>
      </c>
      <c r="D53" s="1">
        <f>FIND("-",aoc_02_input[[#This Row],[InputNumbers]])</f>
        <v>2</v>
      </c>
      <c r="E53" s="1">
        <f>_xlfn.NUMBERVALUE(LEFT(aoc_02_input[[#This Row],[InputNumbers]],aoc_02_input[[#This Row],[PosDash]]-1))</f>
        <v>3</v>
      </c>
      <c r="F53" s="1">
        <f>_xlfn.NUMBERVALUE(MID(aoc_02_input[[#This Row],[InputNumbers]],aoc_02_input[[#This Row],[PosDash]]+1,5))</f>
        <v>5</v>
      </c>
      <c r="G53" s="1" t="str">
        <f>LEFT(aoc_02_input[[#This Row],[InputChar]],1)</f>
        <v>k</v>
      </c>
      <c r="H53" s="1" cm="1">
        <f t="array" ref="H53">CountChar(aoc_02_input[[#This Row],[Password]],aoc_02_input[[#This Row],[Char]])</f>
        <v>4</v>
      </c>
      <c r="I53" s="1">
        <f>IF(AND(aoc_02_input[[#This Row],[Int1]]&lt;=aoc_02_input[[#This Row],[CountOfChar]],aoc_02_input[[#This Row],[CountOfChar]]&lt;=aoc_02_input[[#This Row],[Int2]]),1,0)</f>
        <v>1</v>
      </c>
      <c r="J53" s="1" t="str">
        <f>MID(aoc_02_input[[#This Row],[Password]],aoc_02_input[[#This Row],[Int1]],1)</f>
        <v>z</v>
      </c>
      <c r="K53" s="1">
        <f>IF(aoc_02_input[[#This Row],[Pos1]]=aoc_02_input[[#This Row],[Char]],1,0)</f>
        <v>0</v>
      </c>
      <c r="L53" s="1" t="str">
        <f>MID(aoc_02_input[[#This Row],[Password]],aoc_02_input[[#This Row],[Int2]],1)</f>
        <v>k</v>
      </c>
      <c r="M53" s="1">
        <f>IF(aoc_02_input[[#This Row],[Pos2]]=aoc_02_input[[#This Row],[Char]],1,0)</f>
        <v>1</v>
      </c>
      <c r="N53" s="1">
        <f>IF(aoc_02_input[[#This Row],[Pos1Valid]]&lt;&gt;aoc_02_input[[#This Row],[Pos2Valid]],1,0)</f>
        <v>1</v>
      </c>
    </row>
    <row r="54" spans="1:14" x14ac:dyDescent="0.45">
      <c r="A54" s="1" t="s">
        <v>320</v>
      </c>
      <c r="B54" s="1" t="s">
        <v>213</v>
      </c>
      <c r="C54" s="1" t="s">
        <v>321</v>
      </c>
      <c r="D54" s="1">
        <f>FIND("-",aoc_02_input[[#This Row],[InputNumbers]])</f>
        <v>2</v>
      </c>
      <c r="E54" s="1">
        <f>_xlfn.NUMBERVALUE(LEFT(aoc_02_input[[#This Row],[InputNumbers]],aoc_02_input[[#This Row],[PosDash]]-1))</f>
        <v>6</v>
      </c>
      <c r="F54" s="1">
        <f>_xlfn.NUMBERVALUE(MID(aoc_02_input[[#This Row],[InputNumbers]],aoc_02_input[[#This Row],[PosDash]]+1,5))</f>
        <v>7</v>
      </c>
      <c r="G54" s="1" t="str">
        <f>LEFT(aoc_02_input[[#This Row],[InputChar]],1)</f>
        <v>m</v>
      </c>
      <c r="H54" s="1" cm="1">
        <f t="array" ref="H54">CountChar(aoc_02_input[[#This Row],[Password]],aoc_02_input[[#This Row],[Char]])</f>
        <v>3</v>
      </c>
      <c r="I54" s="1">
        <f>IF(AND(aoc_02_input[[#This Row],[Int1]]&lt;=aoc_02_input[[#This Row],[CountOfChar]],aoc_02_input[[#This Row],[CountOfChar]]&lt;=aoc_02_input[[#This Row],[Int2]]),1,0)</f>
        <v>0</v>
      </c>
      <c r="J54" s="1" t="str">
        <f>MID(aoc_02_input[[#This Row],[Password]],aoc_02_input[[#This Row],[Int1]],1)</f>
        <v>m</v>
      </c>
      <c r="K54" s="1">
        <f>IF(aoc_02_input[[#This Row],[Pos1]]=aoc_02_input[[#This Row],[Char]],1,0)</f>
        <v>1</v>
      </c>
      <c r="L54" s="1" t="str">
        <f>MID(aoc_02_input[[#This Row],[Password]],aoc_02_input[[#This Row],[Int2]],1)</f>
        <v>b</v>
      </c>
      <c r="M54" s="1">
        <f>IF(aoc_02_input[[#This Row],[Pos2]]=aoc_02_input[[#This Row],[Char]],1,0)</f>
        <v>0</v>
      </c>
      <c r="N54" s="1">
        <f>IF(aoc_02_input[[#This Row],[Pos1Valid]]&lt;&gt;aoc_02_input[[#This Row],[Pos2Valid]],1,0)</f>
        <v>1</v>
      </c>
    </row>
    <row r="55" spans="1:14" x14ac:dyDescent="0.45">
      <c r="A55" s="1" t="s">
        <v>322</v>
      </c>
      <c r="B55" s="1" t="s">
        <v>254</v>
      </c>
      <c r="C55" s="1" t="s">
        <v>323</v>
      </c>
      <c r="D55" s="1">
        <f>FIND("-",aoc_02_input[[#This Row],[InputNumbers]])</f>
        <v>2</v>
      </c>
      <c r="E55" s="1">
        <f>_xlfn.NUMBERVALUE(LEFT(aoc_02_input[[#This Row],[InputNumbers]],aoc_02_input[[#This Row],[PosDash]]-1))</f>
        <v>5</v>
      </c>
      <c r="F55" s="1">
        <f>_xlfn.NUMBERVALUE(MID(aoc_02_input[[#This Row],[InputNumbers]],aoc_02_input[[#This Row],[PosDash]]+1,5))</f>
        <v>13</v>
      </c>
      <c r="G55" s="1" t="str">
        <f>LEFT(aoc_02_input[[#This Row],[InputChar]],1)</f>
        <v>k</v>
      </c>
      <c r="H55" s="1" cm="1">
        <f t="array" ref="H55">CountChar(aoc_02_input[[#This Row],[Password]],aoc_02_input[[#This Row],[Char]])</f>
        <v>13</v>
      </c>
      <c r="I55" s="1">
        <f>IF(AND(aoc_02_input[[#This Row],[Int1]]&lt;=aoc_02_input[[#This Row],[CountOfChar]],aoc_02_input[[#This Row],[CountOfChar]]&lt;=aoc_02_input[[#This Row],[Int2]]),1,0)</f>
        <v>1</v>
      </c>
      <c r="J55" s="1" t="str">
        <f>MID(aoc_02_input[[#This Row],[Password]],aoc_02_input[[#This Row],[Int1]],1)</f>
        <v>k</v>
      </c>
      <c r="K55" s="1">
        <f>IF(aoc_02_input[[#This Row],[Pos1]]=aoc_02_input[[#This Row],[Char]],1,0)</f>
        <v>1</v>
      </c>
      <c r="L55" s="1" t="str">
        <f>MID(aoc_02_input[[#This Row],[Password]],aoc_02_input[[#This Row],[Int2]],1)</f>
        <v>k</v>
      </c>
      <c r="M55" s="1">
        <f>IF(aoc_02_input[[#This Row],[Pos2]]=aoc_02_input[[#This Row],[Char]],1,0)</f>
        <v>1</v>
      </c>
      <c r="N55" s="1">
        <f>IF(aoc_02_input[[#This Row],[Pos1Valid]]&lt;&gt;aoc_02_input[[#This Row],[Pos2Valid]],1,0)</f>
        <v>0</v>
      </c>
    </row>
    <row r="56" spans="1:14" x14ac:dyDescent="0.45">
      <c r="A56" s="1" t="s">
        <v>324</v>
      </c>
      <c r="B56" s="1" t="s">
        <v>219</v>
      </c>
      <c r="C56" s="1" t="s">
        <v>325</v>
      </c>
      <c r="D56" s="1">
        <f>FIND("-",aoc_02_input[[#This Row],[InputNumbers]])</f>
        <v>2</v>
      </c>
      <c r="E56" s="1">
        <f>_xlfn.NUMBERVALUE(LEFT(aoc_02_input[[#This Row],[InputNumbers]],aoc_02_input[[#This Row],[PosDash]]-1))</f>
        <v>1</v>
      </c>
      <c r="F56" s="1">
        <f>_xlfn.NUMBERVALUE(MID(aoc_02_input[[#This Row],[InputNumbers]],aoc_02_input[[#This Row],[PosDash]]+1,5))</f>
        <v>3</v>
      </c>
      <c r="G56" s="1" t="str">
        <f>LEFT(aoc_02_input[[#This Row],[InputChar]],1)</f>
        <v>g</v>
      </c>
      <c r="H56" s="1" cm="1">
        <f t="array" ref="H56">CountChar(aoc_02_input[[#This Row],[Password]],aoc_02_input[[#This Row],[Char]])</f>
        <v>3</v>
      </c>
      <c r="I56" s="1">
        <f>IF(AND(aoc_02_input[[#This Row],[Int1]]&lt;=aoc_02_input[[#This Row],[CountOfChar]],aoc_02_input[[#This Row],[CountOfChar]]&lt;=aoc_02_input[[#This Row],[Int2]]),1,0)</f>
        <v>1</v>
      </c>
      <c r="J56" s="1" t="str">
        <f>MID(aoc_02_input[[#This Row],[Password]],aoc_02_input[[#This Row],[Int1]],1)</f>
        <v>m</v>
      </c>
      <c r="K56" s="1">
        <f>IF(aoc_02_input[[#This Row],[Pos1]]=aoc_02_input[[#This Row],[Char]],1,0)</f>
        <v>0</v>
      </c>
      <c r="L56" s="1" t="str">
        <f>MID(aoc_02_input[[#This Row],[Password]],aoc_02_input[[#This Row],[Int2]],1)</f>
        <v>g</v>
      </c>
      <c r="M56" s="1">
        <f>IF(aoc_02_input[[#This Row],[Pos2]]=aoc_02_input[[#This Row],[Char]],1,0)</f>
        <v>1</v>
      </c>
      <c r="N56" s="1">
        <f>IF(aoc_02_input[[#This Row],[Pos1Valid]]&lt;&gt;aoc_02_input[[#This Row],[Pos2Valid]],1,0)</f>
        <v>1</v>
      </c>
    </row>
    <row r="57" spans="1:14" x14ac:dyDescent="0.45">
      <c r="A57" s="1" t="s">
        <v>326</v>
      </c>
      <c r="B57" s="1" t="s">
        <v>219</v>
      </c>
      <c r="C57" s="1" t="s">
        <v>327</v>
      </c>
      <c r="D57" s="1">
        <f>FIND("-",aoc_02_input[[#This Row],[InputNumbers]])</f>
        <v>3</v>
      </c>
      <c r="E57" s="1">
        <f>_xlfn.NUMBERVALUE(LEFT(aoc_02_input[[#This Row],[InputNumbers]],aoc_02_input[[#This Row],[PosDash]]-1))</f>
        <v>10</v>
      </c>
      <c r="F57" s="1">
        <f>_xlfn.NUMBERVALUE(MID(aoc_02_input[[#This Row],[InputNumbers]],aoc_02_input[[#This Row],[PosDash]]+1,5))</f>
        <v>12</v>
      </c>
      <c r="G57" s="1" t="str">
        <f>LEFT(aoc_02_input[[#This Row],[InputChar]],1)</f>
        <v>g</v>
      </c>
      <c r="H57" s="1" cm="1">
        <f t="array" ref="H57">CountChar(aoc_02_input[[#This Row],[Password]],aoc_02_input[[#This Row],[Char]])</f>
        <v>12</v>
      </c>
      <c r="I57" s="1">
        <f>IF(AND(aoc_02_input[[#This Row],[Int1]]&lt;=aoc_02_input[[#This Row],[CountOfChar]],aoc_02_input[[#This Row],[CountOfChar]]&lt;=aoc_02_input[[#This Row],[Int2]]),1,0)</f>
        <v>1</v>
      </c>
      <c r="J57" s="1" t="str">
        <f>MID(aoc_02_input[[#This Row],[Password]],aoc_02_input[[#This Row],[Int1]],1)</f>
        <v>g</v>
      </c>
      <c r="K57" s="1">
        <f>IF(aoc_02_input[[#This Row],[Pos1]]=aoc_02_input[[#This Row],[Char]],1,0)</f>
        <v>1</v>
      </c>
      <c r="L57" s="1" t="str">
        <f>MID(aoc_02_input[[#This Row],[Password]],aoc_02_input[[#This Row],[Int2]],1)</f>
        <v>f</v>
      </c>
      <c r="M57" s="1">
        <f>IF(aoc_02_input[[#This Row],[Pos2]]=aoc_02_input[[#This Row],[Char]],1,0)</f>
        <v>0</v>
      </c>
      <c r="N57" s="1">
        <f>IF(aoc_02_input[[#This Row],[Pos1Valid]]&lt;&gt;aoc_02_input[[#This Row],[Pos2Valid]],1,0)</f>
        <v>1</v>
      </c>
    </row>
    <row r="58" spans="1:14" x14ac:dyDescent="0.45">
      <c r="A58" s="1" t="s">
        <v>269</v>
      </c>
      <c r="B58" s="1" t="s">
        <v>246</v>
      </c>
      <c r="C58" s="1" t="s">
        <v>328</v>
      </c>
      <c r="D58" s="1">
        <f>FIND("-",aoc_02_input[[#This Row],[InputNumbers]])</f>
        <v>2</v>
      </c>
      <c r="E58" s="1">
        <f>_xlfn.NUMBERVALUE(LEFT(aoc_02_input[[#This Row],[InputNumbers]],aoc_02_input[[#This Row],[PosDash]]-1))</f>
        <v>4</v>
      </c>
      <c r="F58" s="1">
        <f>_xlfn.NUMBERVALUE(MID(aoc_02_input[[#This Row],[InputNumbers]],aoc_02_input[[#This Row],[PosDash]]+1,5))</f>
        <v>9</v>
      </c>
      <c r="G58" s="1" t="str">
        <f>LEFT(aoc_02_input[[#This Row],[InputChar]],1)</f>
        <v>n</v>
      </c>
      <c r="H58" s="1" cm="1">
        <f t="array" ref="H58">CountChar(aoc_02_input[[#This Row],[Password]],aoc_02_input[[#This Row],[Char]])</f>
        <v>9</v>
      </c>
      <c r="I58" s="1">
        <f>IF(AND(aoc_02_input[[#This Row],[Int1]]&lt;=aoc_02_input[[#This Row],[CountOfChar]],aoc_02_input[[#This Row],[CountOfChar]]&lt;=aoc_02_input[[#This Row],[Int2]]),1,0)</f>
        <v>1</v>
      </c>
      <c r="J58" s="1" t="str">
        <f>MID(aoc_02_input[[#This Row],[Password]],aoc_02_input[[#This Row],[Int1]],1)</f>
        <v>n</v>
      </c>
      <c r="K58" s="1">
        <f>IF(aoc_02_input[[#This Row],[Pos1]]=aoc_02_input[[#This Row],[Char]],1,0)</f>
        <v>1</v>
      </c>
      <c r="L58" s="1" t="str">
        <f>MID(aoc_02_input[[#This Row],[Password]],aoc_02_input[[#This Row],[Int2]],1)</f>
        <v>n</v>
      </c>
      <c r="M58" s="1">
        <f>IF(aoc_02_input[[#This Row],[Pos2]]=aoc_02_input[[#This Row],[Char]],1,0)</f>
        <v>1</v>
      </c>
      <c r="N58" s="1">
        <f>IF(aoc_02_input[[#This Row],[Pos1Valid]]&lt;&gt;aoc_02_input[[#This Row],[Pos2Valid]],1,0)</f>
        <v>0</v>
      </c>
    </row>
    <row r="59" spans="1:14" x14ac:dyDescent="0.45">
      <c r="A59" s="1" t="s">
        <v>280</v>
      </c>
      <c r="B59" s="1" t="s">
        <v>252</v>
      </c>
      <c r="C59" s="1" t="s">
        <v>329</v>
      </c>
      <c r="D59" s="1">
        <f>FIND("-",aoc_02_input[[#This Row],[InputNumbers]])</f>
        <v>3</v>
      </c>
      <c r="E59" s="1">
        <f>_xlfn.NUMBERVALUE(LEFT(aoc_02_input[[#This Row],[InputNumbers]],aoc_02_input[[#This Row],[PosDash]]-1))</f>
        <v>17</v>
      </c>
      <c r="F59" s="1">
        <f>_xlfn.NUMBERVALUE(MID(aoc_02_input[[#This Row],[InputNumbers]],aoc_02_input[[#This Row],[PosDash]]+1,5))</f>
        <v>19</v>
      </c>
      <c r="G59" s="1" t="str">
        <f>LEFT(aoc_02_input[[#This Row],[InputChar]],1)</f>
        <v>p</v>
      </c>
      <c r="H59" s="1" cm="1">
        <f t="array" ref="H59">CountChar(aoc_02_input[[#This Row],[Password]],aoc_02_input[[#This Row],[Char]])</f>
        <v>17</v>
      </c>
      <c r="I59" s="1">
        <f>IF(AND(aoc_02_input[[#This Row],[Int1]]&lt;=aoc_02_input[[#This Row],[CountOfChar]],aoc_02_input[[#This Row],[CountOfChar]]&lt;=aoc_02_input[[#This Row],[Int2]]),1,0)</f>
        <v>1</v>
      </c>
      <c r="J59" s="1" t="str">
        <f>MID(aoc_02_input[[#This Row],[Password]],aoc_02_input[[#This Row],[Int1]],1)</f>
        <v>c</v>
      </c>
      <c r="K59" s="1">
        <f>IF(aoc_02_input[[#This Row],[Pos1]]=aoc_02_input[[#This Row],[Char]],1,0)</f>
        <v>0</v>
      </c>
      <c r="L59" s="1" t="str">
        <f>MID(aoc_02_input[[#This Row],[Password]],aoc_02_input[[#This Row],[Int2]],1)</f>
        <v>v</v>
      </c>
      <c r="M59" s="1">
        <f>IF(aoc_02_input[[#This Row],[Pos2]]=aoc_02_input[[#This Row],[Char]],1,0)</f>
        <v>0</v>
      </c>
      <c r="N59" s="1">
        <f>IF(aoc_02_input[[#This Row],[Pos1Valid]]&lt;&gt;aoc_02_input[[#This Row],[Pos2Valid]],1,0)</f>
        <v>0</v>
      </c>
    </row>
    <row r="60" spans="1:14" x14ac:dyDescent="0.45">
      <c r="A60" s="1" t="s">
        <v>330</v>
      </c>
      <c r="B60" s="1" t="s">
        <v>252</v>
      </c>
      <c r="C60" s="1" t="s">
        <v>331</v>
      </c>
      <c r="D60" s="1">
        <f>FIND("-",aoc_02_input[[#This Row],[InputNumbers]])</f>
        <v>3</v>
      </c>
      <c r="E60" s="1">
        <f>_xlfn.NUMBERVALUE(LEFT(aoc_02_input[[#This Row],[InputNumbers]],aoc_02_input[[#This Row],[PosDash]]-1))</f>
        <v>13</v>
      </c>
      <c r="F60" s="1">
        <f>_xlfn.NUMBERVALUE(MID(aoc_02_input[[#This Row],[InputNumbers]],aoc_02_input[[#This Row],[PosDash]]+1,5))</f>
        <v>14</v>
      </c>
      <c r="G60" s="1" t="str">
        <f>LEFT(aoc_02_input[[#This Row],[InputChar]],1)</f>
        <v>p</v>
      </c>
      <c r="H60" s="1" cm="1">
        <f t="array" ref="H60">CountChar(aoc_02_input[[#This Row],[Password]],aoc_02_input[[#This Row],[Char]])</f>
        <v>8</v>
      </c>
      <c r="I60" s="1">
        <f>IF(AND(aoc_02_input[[#This Row],[Int1]]&lt;=aoc_02_input[[#This Row],[CountOfChar]],aoc_02_input[[#This Row],[CountOfChar]]&lt;=aoc_02_input[[#This Row],[Int2]]),1,0)</f>
        <v>0</v>
      </c>
      <c r="J60" s="1" t="str">
        <f>MID(aoc_02_input[[#This Row],[Password]],aoc_02_input[[#This Row],[Int1]],1)</f>
        <v>k</v>
      </c>
      <c r="K60" s="1">
        <f>IF(aoc_02_input[[#This Row],[Pos1]]=aoc_02_input[[#This Row],[Char]],1,0)</f>
        <v>0</v>
      </c>
      <c r="L60" s="1" t="str">
        <f>MID(aoc_02_input[[#This Row],[Password]],aoc_02_input[[#This Row],[Int2]],1)</f>
        <v>f</v>
      </c>
      <c r="M60" s="1">
        <f>IF(aoc_02_input[[#This Row],[Pos2]]=aoc_02_input[[#This Row],[Char]],1,0)</f>
        <v>0</v>
      </c>
      <c r="N60" s="1">
        <f>IF(aoc_02_input[[#This Row],[Pos1Valid]]&lt;&gt;aoc_02_input[[#This Row],[Pos2Valid]],1,0)</f>
        <v>0</v>
      </c>
    </row>
    <row r="61" spans="1:14" x14ac:dyDescent="0.45">
      <c r="A61" s="1" t="s">
        <v>248</v>
      </c>
      <c r="B61" s="1" t="s">
        <v>222</v>
      </c>
      <c r="C61" s="1" t="s">
        <v>332</v>
      </c>
      <c r="D61" s="1">
        <f>FIND("-",aoc_02_input[[#This Row],[InputNumbers]])</f>
        <v>3</v>
      </c>
      <c r="E61" s="1">
        <f>_xlfn.NUMBERVALUE(LEFT(aoc_02_input[[#This Row],[InputNumbers]],aoc_02_input[[#This Row],[PosDash]]-1))</f>
        <v>11</v>
      </c>
      <c r="F61" s="1">
        <f>_xlfn.NUMBERVALUE(MID(aoc_02_input[[#This Row],[InputNumbers]],aoc_02_input[[#This Row],[PosDash]]+1,5))</f>
        <v>12</v>
      </c>
      <c r="G61" s="1" t="str">
        <f>LEFT(aoc_02_input[[#This Row],[InputChar]],1)</f>
        <v>l</v>
      </c>
      <c r="H61" s="1" cm="1">
        <f t="array" ref="H61">CountChar(aoc_02_input[[#This Row],[Password]],aoc_02_input[[#This Row],[Char]])</f>
        <v>13</v>
      </c>
      <c r="I61" s="1">
        <f>IF(AND(aoc_02_input[[#This Row],[Int1]]&lt;=aoc_02_input[[#This Row],[CountOfChar]],aoc_02_input[[#This Row],[CountOfChar]]&lt;=aoc_02_input[[#This Row],[Int2]]),1,0)</f>
        <v>0</v>
      </c>
      <c r="J61" s="1" t="str">
        <f>MID(aoc_02_input[[#This Row],[Password]],aoc_02_input[[#This Row],[Int1]],1)</f>
        <v>l</v>
      </c>
      <c r="K61" s="1">
        <f>IF(aoc_02_input[[#This Row],[Pos1]]=aoc_02_input[[#This Row],[Char]],1,0)</f>
        <v>1</v>
      </c>
      <c r="L61" s="1" t="str">
        <f>MID(aoc_02_input[[#This Row],[Password]],aoc_02_input[[#This Row],[Int2]],1)</f>
        <v>m</v>
      </c>
      <c r="M61" s="1">
        <f>IF(aoc_02_input[[#This Row],[Pos2]]=aoc_02_input[[#This Row],[Char]],1,0)</f>
        <v>0</v>
      </c>
      <c r="N61" s="1">
        <f>IF(aoc_02_input[[#This Row],[Pos1Valid]]&lt;&gt;aoc_02_input[[#This Row],[Pos2Valid]],1,0)</f>
        <v>1</v>
      </c>
    </row>
    <row r="62" spans="1:14" x14ac:dyDescent="0.45">
      <c r="A62" s="1" t="s">
        <v>333</v>
      </c>
      <c r="B62" s="1" t="s">
        <v>210</v>
      </c>
      <c r="C62" s="1" t="s">
        <v>334</v>
      </c>
      <c r="D62" s="1">
        <f>FIND("-",aoc_02_input[[#This Row],[InputNumbers]])</f>
        <v>2</v>
      </c>
      <c r="E62" s="1">
        <f>_xlfn.NUMBERVALUE(LEFT(aoc_02_input[[#This Row],[InputNumbers]],aoc_02_input[[#This Row],[PosDash]]-1))</f>
        <v>1</v>
      </c>
      <c r="F62" s="1">
        <f>_xlfn.NUMBERVALUE(MID(aoc_02_input[[#This Row],[InputNumbers]],aoc_02_input[[#This Row],[PosDash]]+1,5))</f>
        <v>8</v>
      </c>
      <c r="G62" s="1" t="str">
        <f>LEFT(aoc_02_input[[#This Row],[InputChar]],1)</f>
        <v>v</v>
      </c>
      <c r="H62" s="1" cm="1">
        <f t="array" ref="H62">CountChar(aoc_02_input[[#This Row],[Password]],aoc_02_input[[#This Row],[Char]])</f>
        <v>5</v>
      </c>
      <c r="I62" s="1">
        <f>IF(AND(aoc_02_input[[#This Row],[Int1]]&lt;=aoc_02_input[[#This Row],[CountOfChar]],aoc_02_input[[#This Row],[CountOfChar]]&lt;=aoc_02_input[[#This Row],[Int2]]),1,0)</f>
        <v>1</v>
      </c>
      <c r="J62" s="1" t="str">
        <f>MID(aoc_02_input[[#This Row],[Password]],aoc_02_input[[#This Row],[Int1]],1)</f>
        <v>v</v>
      </c>
      <c r="K62" s="1">
        <f>IF(aoc_02_input[[#This Row],[Pos1]]=aoc_02_input[[#This Row],[Char]],1,0)</f>
        <v>1</v>
      </c>
      <c r="L62" s="1" t="str">
        <f>MID(aoc_02_input[[#This Row],[Password]],aoc_02_input[[#This Row],[Int2]],1)</f>
        <v>v</v>
      </c>
      <c r="M62" s="1">
        <f>IF(aoc_02_input[[#This Row],[Pos2]]=aoc_02_input[[#This Row],[Char]],1,0)</f>
        <v>1</v>
      </c>
      <c r="N62" s="1">
        <f>IF(aoc_02_input[[#This Row],[Pos1Valid]]&lt;&gt;aoc_02_input[[#This Row],[Pos2Valid]],1,0)</f>
        <v>0</v>
      </c>
    </row>
    <row r="63" spans="1:14" x14ac:dyDescent="0.45">
      <c r="A63" s="1" t="s">
        <v>262</v>
      </c>
      <c r="B63" s="1" t="s">
        <v>238</v>
      </c>
      <c r="C63" s="1" t="s">
        <v>335</v>
      </c>
      <c r="D63" s="1">
        <f>FIND("-",aoc_02_input[[#This Row],[InputNumbers]])</f>
        <v>2</v>
      </c>
      <c r="E63" s="1">
        <f>_xlfn.NUMBERVALUE(LEFT(aoc_02_input[[#This Row],[InputNumbers]],aoc_02_input[[#This Row],[PosDash]]-1))</f>
        <v>8</v>
      </c>
      <c r="F63" s="1">
        <f>_xlfn.NUMBERVALUE(MID(aoc_02_input[[#This Row],[InputNumbers]],aoc_02_input[[#This Row],[PosDash]]+1,5))</f>
        <v>16</v>
      </c>
      <c r="G63" s="1" t="str">
        <f>LEFT(aoc_02_input[[#This Row],[InputChar]],1)</f>
        <v>w</v>
      </c>
      <c r="H63" s="1" cm="1">
        <f t="array" ref="H63">CountChar(aoc_02_input[[#This Row],[Password]],aoc_02_input[[#This Row],[Char]])</f>
        <v>6</v>
      </c>
      <c r="I63" s="1">
        <f>IF(AND(aoc_02_input[[#This Row],[Int1]]&lt;=aoc_02_input[[#This Row],[CountOfChar]],aoc_02_input[[#This Row],[CountOfChar]]&lt;=aoc_02_input[[#This Row],[Int2]]),1,0)</f>
        <v>0</v>
      </c>
      <c r="J63" s="1" t="str">
        <f>MID(aoc_02_input[[#This Row],[Password]],aoc_02_input[[#This Row],[Int1]],1)</f>
        <v>w</v>
      </c>
      <c r="K63" s="1">
        <f>IF(aoc_02_input[[#This Row],[Pos1]]=aoc_02_input[[#This Row],[Char]],1,0)</f>
        <v>1</v>
      </c>
      <c r="L63" s="1" t="str">
        <f>MID(aoc_02_input[[#This Row],[Password]],aoc_02_input[[#This Row],[Int2]],1)</f>
        <v>w</v>
      </c>
      <c r="M63" s="1">
        <f>IF(aoc_02_input[[#This Row],[Pos2]]=aoc_02_input[[#This Row],[Char]],1,0)</f>
        <v>1</v>
      </c>
      <c r="N63" s="1">
        <f>IF(aoc_02_input[[#This Row],[Pos1Valid]]&lt;&gt;aoc_02_input[[#This Row],[Pos2Valid]],1,0)</f>
        <v>0</v>
      </c>
    </row>
    <row r="64" spans="1:14" x14ac:dyDescent="0.45">
      <c r="A64" s="1" t="s">
        <v>224</v>
      </c>
      <c r="B64" s="1" t="s">
        <v>305</v>
      </c>
      <c r="C64" s="1" t="s">
        <v>336</v>
      </c>
      <c r="D64" s="1">
        <f>FIND("-",aoc_02_input[[#This Row],[InputNumbers]])</f>
        <v>2</v>
      </c>
      <c r="E64" s="1">
        <f>_xlfn.NUMBERVALUE(LEFT(aoc_02_input[[#This Row],[InputNumbers]],aoc_02_input[[#This Row],[PosDash]]-1))</f>
        <v>1</v>
      </c>
      <c r="F64" s="1">
        <f>_xlfn.NUMBERVALUE(MID(aoc_02_input[[#This Row],[InputNumbers]],aoc_02_input[[#This Row],[PosDash]]+1,5))</f>
        <v>5</v>
      </c>
      <c r="G64" s="1" t="str">
        <f>LEFT(aoc_02_input[[#This Row],[InputChar]],1)</f>
        <v>s</v>
      </c>
      <c r="H64" s="1" cm="1">
        <f t="array" ref="H64">CountChar(aoc_02_input[[#This Row],[Password]],aoc_02_input[[#This Row],[Char]])</f>
        <v>2</v>
      </c>
      <c r="I64" s="1">
        <f>IF(AND(aoc_02_input[[#This Row],[Int1]]&lt;=aoc_02_input[[#This Row],[CountOfChar]],aoc_02_input[[#This Row],[CountOfChar]]&lt;=aoc_02_input[[#This Row],[Int2]]),1,0)</f>
        <v>1</v>
      </c>
      <c r="J64" s="1" t="str">
        <f>MID(aoc_02_input[[#This Row],[Password]],aoc_02_input[[#This Row],[Int1]],1)</f>
        <v>l</v>
      </c>
      <c r="K64" s="1">
        <f>IF(aoc_02_input[[#This Row],[Pos1]]=aoc_02_input[[#This Row],[Char]],1,0)</f>
        <v>0</v>
      </c>
      <c r="L64" s="1" t="str">
        <f>MID(aoc_02_input[[#This Row],[Password]],aoc_02_input[[#This Row],[Int2]],1)</f>
        <v>x</v>
      </c>
      <c r="M64" s="1">
        <f>IF(aoc_02_input[[#This Row],[Pos2]]=aoc_02_input[[#This Row],[Char]],1,0)</f>
        <v>0</v>
      </c>
      <c r="N64" s="1">
        <f>IF(aoc_02_input[[#This Row],[Pos1Valid]]&lt;&gt;aoc_02_input[[#This Row],[Pos2Valid]],1,0)</f>
        <v>0</v>
      </c>
    </row>
    <row r="65" spans="1:14" x14ac:dyDescent="0.45">
      <c r="A65" s="1" t="s">
        <v>337</v>
      </c>
      <c r="B65" s="1" t="s">
        <v>243</v>
      </c>
      <c r="C65" s="1" t="s">
        <v>338</v>
      </c>
      <c r="D65" s="1">
        <f>FIND("-",aoc_02_input[[#This Row],[InputNumbers]])</f>
        <v>3</v>
      </c>
      <c r="E65" s="1">
        <f>_xlfn.NUMBERVALUE(LEFT(aoc_02_input[[#This Row],[InputNumbers]],aoc_02_input[[#This Row],[PosDash]]-1))</f>
        <v>10</v>
      </c>
      <c r="F65" s="1">
        <f>_xlfn.NUMBERVALUE(MID(aoc_02_input[[#This Row],[InputNumbers]],aoc_02_input[[#This Row],[PosDash]]+1,5))</f>
        <v>13</v>
      </c>
      <c r="G65" s="1" t="str">
        <f>LEFT(aoc_02_input[[#This Row],[InputChar]],1)</f>
        <v>f</v>
      </c>
      <c r="H65" s="1" cm="1">
        <f t="array" ref="H65">CountChar(aoc_02_input[[#This Row],[Password]],aoc_02_input[[#This Row],[Char]])</f>
        <v>15</v>
      </c>
      <c r="I65" s="1">
        <f>IF(AND(aoc_02_input[[#This Row],[Int1]]&lt;=aoc_02_input[[#This Row],[CountOfChar]],aoc_02_input[[#This Row],[CountOfChar]]&lt;=aoc_02_input[[#This Row],[Int2]]),1,0)</f>
        <v>0</v>
      </c>
      <c r="J65" s="1" t="str">
        <f>MID(aoc_02_input[[#This Row],[Password]],aoc_02_input[[#This Row],[Int1]],1)</f>
        <v>f</v>
      </c>
      <c r="K65" s="1">
        <f>IF(aoc_02_input[[#This Row],[Pos1]]=aoc_02_input[[#This Row],[Char]],1,0)</f>
        <v>1</v>
      </c>
      <c r="L65" s="1" t="str">
        <f>MID(aoc_02_input[[#This Row],[Password]],aoc_02_input[[#This Row],[Int2]],1)</f>
        <v>b</v>
      </c>
      <c r="M65" s="1">
        <f>IF(aoc_02_input[[#This Row],[Pos2]]=aoc_02_input[[#This Row],[Char]],1,0)</f>
        <v>0</v>
      </c>
      <c r="N65" s="1">
        <f>IF(aoc_02_input[[#This Row],[Pos1Valid]]&lt;&gt;aoc_02_input[[#This Row],[Pos2Valid]],1,0)</f>
        <v>1</v>
      </c>
    </row>
    <row r="66" spans="1:14" x14ac:dyDescent="0.45">
      <c r="A66" s="1" t="s">
        <v>339</v>
      </c>
      <c r="B66" s="1" t="s">
        <v>216</v>
      </c>
      <c r="C66" s="1" t="s">
        <v>340</v>
      </c>
      <c r="D66" s="1">
        <f>FIND("-",aoc_02_input[[#This Row],[InputNumbers]])</f>
        <v>2</v>
      </c>
      <c r="E66" s="1">
        <f>_xlfn.NUMBERVALUE(LEFT(aoc_02_input[[#This Row],[InputNumbers]],aoc_02_input[[#This Row],[PosDash]]-1))</f>
        <v>6</v>
      </c>
      <c r="F66" s="1">
        <f>_xlfn.NUMBERVALUE(MID(aoc_02_input[[#This Row],[InputNumbers]],aoc_02_input[[#This Row],[PosDash]]+1,5))</f>
        <v>10</v>
      </c>
      <c r="G66" s="1" t="str">
        <f>LEFT(aoc_02_input[[#This Row],[InputChar]],1)</f>
        <v>z</v>
      </c>
      <c r="H66" s="1" cm="1">
        <f t="array" ref="H66">CountChar(aoc_02_input[[#This Row],[Password]],aoc_02_input[[#This Row],[Char]])</f>
        <v>10</v>
      </c>
      <c r="I66" s="1">
        <f>IF(AND(aoc_02_input[[#This Row],[Int1]]&lt;=aoc_02_input[[#This Row],[CountOfChar]],aoc_02_input[[#This Row],[CountOfChar]]&lt;=aoc_02_input[[#This Row],[Int2]]),1,0)</f>
        <v>1</v>
      </c>
      <c r="J66" s="1" t="str">
        <f>MID(aoc_02_input[[#This Row],[Password]],aoc_02_input[[#This Row],[Int1]],1)</f>
        <v>z</v>
      </c>
      <c r="K66" s="1">
        <f>IF(aoc_02_input[[#This Row],[Pos1]]=aoc_02_input[[#This Row],[Char]],1,0)</f>
        <v>1</v>
      </c>
      <c r="L66" s="1" t="str">
        <f>MID(aoc_02_input[[#This Row],[Password]],aoc_02_input[[#This Row],[Int2]],1)</f>
        <v>d</v>
      </c>
      <c r="M66" s="1">
        <f>IF(aoc_02_input[[#This Row],[Pos2]]=aoc_02_input[[#This Row],[Char]],1,0)</f>
        <v>0</v>
      </c>
      <c r="N66" s="1">
        <f>IF(aoc_02_input[[#This Row],[Pos1Valid]]&lt;&gt;aoc_02_input[[#This Row],[Pos2Valid]],1,0)</f>
        <v>1</v>
      </c>
    </row>
    <row r="67" spans="1:14" x14ac:dyDescent="0.45">
      <c r="A67" s="1" t="s">
        <v>341</v>
      </c>
      <c r="B67" s="1" t="s">
        <v>213</v>
      </c>
      <c r="C67" s="1" t="s">
        <v>342</v>
      </c>
      <c r="D67" s="1">
        <f>FIND("-",aoc_02_input[[#This Row],[InputNumbers]])</f>
        <v>2</v>
      </c>
      <c r="E67" s="1">
        <f>_xlfn.NUMBERVALUE(LEFT(aoc_02_input[[#This Row],[InputNumbers]],aoc_02_input[[#This Row],[PosDash]]-1))</f>
        <v>5</v>
      </c>
      <c r="F67" s="1">
        <f>_xlfn.NUMBERVALUE(MID(aoc_02_input[[#This Row],[InputNumbers]],aoc_02_input[[#This Row],[PosDash]]+1,5))</f>
        <v>8</v>
      </c>
      <c r="G67" s="1" t="str">
        <f>LEFT(aoc_02_input[[#This Row],[InputChar]],1)</f>
        <v>m</v>
      </c>
      <c r="H67" s="1" cm="1">
        <f t="array" ref="H67">CountChar(aoc_02_input[[#This Row],[Password]],aoc_02_input[[#This Row],[Char]])</f>
        <v>4</v>
      </c>
      <c r="I67" s="1">
        <f>IF(AND(aoc_02_input[[#This Row],[Int1]]&lt;=aoc_02_input[[#This Row],[CountOfChar]],aoc_02_input[[#This Row],[CountOfChar]]&lt;=aoc_02_input[[#This Row],[Int2]]),1,0)</f>
        <v>0</v>
      </c>
      <c r="J67" s="1" t="str">
        <f>MID(aoc_02_input[[#This Row],[Password]],aoc_02_input[[#This Row],[Int1]],1)</f>
        <v>m</v>
      </c>
      <c r="K67" s="1">
        <f>IF(aoc_02_input[[#This Row],[Pos1]]=aoc_02_input[[#This Row],[Char]],1,0)</f>
        <v>1</v>
      </c>
      <c r="L67" s="1" t="str">
        <f>MID(aoc_02_input[[#This Row],[Password]],aoc_02_input[[#This Row],[Int2]],1)</f>
        <v>m</v>
      </c>
      <c r="M67" s="1">
        <f>IF(aoc_02_input[[#This Row],[Pos2]]=aoc_02_input[[#This Row],[Char]],1,0)</f>
        <v>1</v>
      </c>
      <c r="N67" s="1">
        <f>IF(aoc_02_input[[#This Row],[Pos1Valid]]&lt;&gt;aoc_02_input[[#This Row],[Pos2Valid]],1,0)</f>
        <v>0</v>
      </c>
    </row>
    <row r="68" spans="1:14" x14ac:dyDescent="0.45">
      <c r="A68" s="1" t="s">
        <v>324</v>
      </c>
      <c r="B68" s="1" t="s">
        <v>213</v>
      </c>
      <c r="C68" s="1" t="s">
        <v>343</v>
      </c>
      <c r="D68" s="1">
        <f>FIND("-",aoc_02_input[[#This Row],[InputNumbers]])</f>
        <v>2</v>
      </c>
      <c r="E68" s="1">
        <f>_xlfn.NUMBERVALUE(LEFT(aoc_02_input[[#This Row],[InputNumbers]],aoc_02_input[[#This Row],[PosDash]]-1))</f>
        <v>1</v>
      </c>
      <c r="F68" s="1">
        <f>_xlfn.NUMBERVALUE(MID(aoc_02_input[[#This Row],[InputNumbers]],aoc_02_input[[#This Row],[PosDash]]+1,5))</f>
        <v>3</v>
      </c>
      <c r="G68" s="1" t="str">
        <f>LEFT(aoc_02_input[[#This Row],[InputChar]],1)</f>
        <v>m</v>
      </c>
      <c r="H68" s="1" cm="1">
        <f t="array" ref="H68">CountChar(aoc_02_input[[#This Row],[Password]],aoc_02_input[[#This Row],[Char]])</f>
        <v>4</v>
      </c>
      <c r="I68" s="1">
        <f>IF(AND(aoc_02_input[[#This Row],[Int1]]&lt;=aoc_02_input[[#This Row],[CountOfChar]],aoc_02_input[[#This Row],[CountOfChar]]&lt;=aoc_02_input[[#This Row],[Int2]]),1,0)</f>
        <v>0</v>
      </c>
      <c r="J68" s="1" t="str">
        <f>MID(aoc_02_input[[#This Row],[Password]],aoc_02_input[[#This Row],[Int1]],1)</f>
        <v>m</v>
      </c>
      <c r="K68" s="1">
        <f>IF(aoc_02_input[[#This Row],[Pos1]]=aoc_02_input[[#This Row],[Char]],1,0)</f>
        <v>1</v>
      </c>
      <c r="L68" s="1" t="str">
        <f>MID(aoc_02_input[[#This Row],[Password]],aoc_02_input[[#This Row],[Int2]],1)</f>
        <v>q</v>
      </c>
      <c r="M68" s="1">
        <f>IF(aoc_02_input[[#This Row],[Pos2]]=aoc_02_input[[#This Row],[Char]],1,0)</f>
        <v>0</v>
      </c>
      <c r="N68" s="1">
        <f>IF(aoc_02_input[[#This Row],[Pos1Valid]]&lt;&gt;aoc_02_input[[#This Row],[Pos2Valid]],1,0)</f>
        <v>1</v>
      </c>
    </row>
    <row r="69" spans="1:14" x14ac:dyDescent="0.45">
      <c r="A69" s="1" t="s">
        <v>232</v>
      </c>
      <c r="B69" s="1" t="s">
        <v>295</v>
      </c>
      <c r="C69" s="1" t="s">
        <v>344</v>
      </c>
      <c r="D69" s="1">
        <f>FIND("-",aoc_02_input[[#This Row],[InputNumbers]])</f>
        <v>2</v>
      </c>
      <c r="E69" s="1">
        <f>_xlfn.NUMBERVALUE(LEFT(aoc_02_input[[#This Row],[InputNumbers]],aoc_02_input[[#This Row],[PosDash]]-1))</f>
        <v>4</v>
      </c>
      <c r="F69" s="1">
        <f>_xlfn.NUMBERVALUE(MID(aoc_02_input[[#This Row],[InputNumbers]],aoc_02_input[[#This Row],[PosDash]]+1,5))</f>
        <v>6</v>
      </c>
      <c r="G69" s="1" t="str">
        <f>LEFT(aoc_02_input[[#This Row],[InputChar]],1)</f>
        <v>c</v>
      </c>
      <c r="H69" s="1" cm="1">
        <f t="array" ref="H69">CountChar(aoc_02_input[[#This Row],[Password]],aoc_02_input[[#This Row],[Char]])</f>
        <v>5</v>
      </c>
      <c r="I69" s="1">
        <f>IF(AND(aoc_02_input[[#This Row],[Int1]]&lt;=aoc_02_input[[#This Row],[CountOfChar]],aoc_02_input[[#This Row],[CountOfChar]]&lt;=aoc_02_input[[#This Row],[Int2]]),1,0)</f>
        <v>1</v>
      </c>
      <c r="J69" s="1" t="str">
        <f>MID(aoc_02_input[[#This Row],[Password]],aoc_02_input[[#This Row],[Int1]],1)</f>
        <v>r</v>
      </c>
      <c r="K69" s="1">
        <f>IF(aoc_02_input[[#This Row],[Pos1]]=aoc_02_input[[#This Row],[Char]],1,0)</f>
        <v>0</v>
      </c>
      <c r="L69" s="1" t="str">
        <f>MID(aoc_02_input[[#This Row],[Password]],aoc_02_input[[#This Row],[Int2]],1)</f>
        <v>c</v>
      </c>
      <c r="M69" s="1">
        <f>IF(aoc_02_input[[#This Row],[Pos2]]=aoc_02_input[[#This Row],[Char]],1,0)</f>
        <v>1</v>
      </c>
      <c r="N69" s="1">
        <f>IF(aoc_02_input[[#This Row],[Pos1Valid]]&lt;&gt;aoc_02_input[[#This Row],[Pos2Valid]],1,0)</f>
        <v>1</v>
      </c>
    </row>
    <row r="70" spans="1:14" x14ac:dyDescent="0.45">
      <c r="A70" s="1" t="s">
        <v>345</v>
      </c>
      <c r="B70" s="1" t="s">
        <v>243</v>
      </c>
      <c r="C70" s="1" t="s">
        <v>346</v>
      </c>
      <c r="D70" s="1">
        <f>FIND("-",aoc_02_input[[#This Row],[InputNumbers]])</f>
        <v>2</v>
      </c>
      <c r="E70" s="1">
        <f>_xlfn.NUMBERVALUE(LEFT(aoc_02_input[[#This Row],[InputNumbers]],aoc_02_input[[#This Row],[PosDash]]-1))</f>
        <v>8</v>
      </c>
      <c r="F70" s="1">
        <f>_xlfn.NUMBERVALUE(MID(aoc_02_input[[#This Row],[InputNumbers]],aoc_02_input[[#This Row],[PosDash]]+1,5))</f>
        <v>15</v>
      </c>
      <c r="G70" s="1" t="str">
        <f>LEFT(aoc_02_input[[#This Row],[InputChar]],1)</f>
        <v>f</v>
      </c>
      <c r="H70" s="1" cm="1">
        <f t="array" ref="H70">CountChar(aoc_02_input[[#This Row],[Password]],aoc_02_input[[#This Row],[Char]])</f>
        <v>18</v>
      </c>
      <c r="I70" s="1">
        <f>IF(AND(aoc_02_input[[#This Row],[Int1]]&lt;=aoc_02_input[[#This Row],[CountOfChar]],aoc_02_input[[#This Row],[CountOfChar]]&lt;=aoc_02_input[[#This Row],[Int2]]),1,0)</f>
        <v>0</v>
      </c>
      <c r="J70" s="1" t="str">
        <f>MID(aoc_02_input[[#This Row],[Password]],aoc_02_input[[#This Row],[Int1]],1)</f>
        <v>f</v>
      </c>
      <c r="K70" s="1">
        <f>IF(aoc_02_input[[#This Row],[Pos1]]=aoc_02_input[[#This Row],[Char]],1,0)</f>
        <v>1</v>
      </c>
      <c r="L70" s="1" t="str">
        <f>MID(aoc_02_input[[#This Row],[Password]],aoc_02_input[[#This Row],[Int2]],1)</f>
        <v>t</v>
      </c>
      <c r="M70" s="1">
        <f>IF(aoc_02_input[[#This Row],[Pos2]]=aoc_02_input[[#This Row],[Char]],1,0)</f>
        <v>0</v>
      </c>
      <c r="N70" s="1">
        <f>IF(aoc_02_input[[#This Row],[Pos1Valid]]&lt;&gt;aoc_02_input[[#This Row],[Pos2Valid]],1,0)</f>
        <v>1</v>
      </c>
    </row>
    <row r="71" spans="1:14" x14ac:dyDescent="0.45">
      <c r="A71" s="1" t="s">
        <v>251</v>
      </c>
      <c r="B71" s="1" t="s">
        <v>254</v>
      </c>
      <c r="C71" s="1" t="s">
        <v>347</v>
      </c>
      <c r="D71" s="1">
        <f>FIND("-",aoc_02_input[[#This Row],[InputNumbers]])</f>
        <v>2</v>
      </c>
      <c r="E71" s="1">
        <f>_xlfn.NUMBERVALUE(LEFT(aoc_02_input[[#This Row],[InputNumbers]],aoc_02_input[[#This Row],[PosDash]]-1))</f>
        <v>5</v>
      </c>
      <c r="F71" s="1">
        <f>_xlfn.NUMBERVALUE(MID(aoc_02_input[[#This Row],[InputNumbers]],aoc_02_input[[#This Row],[PosDash]]+1,5))</f>
        <v>6</v>
      </c>
      <c r="G71" s="1" t="str">
        <f>LEFT(aoc_02_input[[#This Row],[InputChar]],1)</f>
        <v>k</v>
      </c>
      <c r="H71" s="1" cm="1">
        <f t="array" ref="H71">CountChar(aoc_02_input[[#This Row],[Password]],aoc_02_input[[#This Row],[Char]])</f>
        <v>2</v>
      </c>
      <c r="I71" s="1">
        <f>IF(AND(aoc_02_input[[#This Row],[Int1]]&lt;=aoc_02_input[[#This Row],[CountOfChar]],aoc_02_input[[#This Row],[CountOfChar]]&lt;=aoc_02_input[[#This Row],[Int2]]),1,0)</f>
        <v>0</v>
      </c>
      <c r="J71" s="1" t="str">
        <f>MID(aoc_02_input[[#This Row],[Password]],aoc_02_input[[#This Row],[Int1]],1)</f>
        <v>k</v>
      </c>
      <c r="K71" s="1">
        <f>IF(aoc_02_input[[#This Row],[Pos1]]=aoc_02_input[[#This Row],[Char]],1,0)</f>
        <v>1</v>
      </c>
      <c r="L71" s="1" t="str">
        <f>MID(aoc_02_input[[#This Row],[Password]],aoc_02_input[[#This Row],[Int2]],1)</f>
        <v>n</v>
      </c>
      <c r="M71" s="1">
        <f>IF(aoc_02_input[[#This Row],[Pos2]]=aoc_02_input[[#This Row],[Char]],1,0)</f>
        <v>0</v>
      </c>
      <c r="N71" s="1">
        <f>IF(aoc_02_input[[#This Row],[Pos1Valid]]&lt;&gt;aoc_02_input[[#This Row],[Pos2Valid]],1,0)</f>
        <v>1</v>
      </c>
    </row>
    <row r="72" spans="1:14" x14ac:dyDescent="0.45">
      <c r="A72" s="1" t="s">
        <v>299</v>
      </c>
      <c r="B72" s="1" t="s">
        <v>238</v>
      </c>
      <c r="C72" s="1" t="s">
        <v>348</v>
      </c>
      <c r="D72" s="1">
        <f>FIND("-",aoc_02_input[[#This Row],[InputNumbers]])</f>
        <v>2</v>
      </c>
      <c r="E72" s="1">
        <f>_xlfn.NUMBERVALUE(LEFT(aoc_02_input[[#This Row],[InputNumbers]],aoc_02_input[[#This Row],[PosDash]]-1))</f>
        <v>1</v>
      </c>
      <c r="F72" s="1">
        <f>_xlfn.NUMBERVALUE(MID(aoc_02_input[[#This Row],[InputNumbers]],aoc_02_input[[#This Row],[PosDash]]+1,5))</f>
        <v>2</v>
      </c>
      <c r="G72" s="1" t="str">
        <f>LEFT(aoc_02_input[[#This Row],[InputChar]],1)</f>
        <v>w</v>
      </c>
      <c r="H72" s="1" cm="1">
        <f t="array" ref="H72">CountChar(aoc_02_input[[#This Row],[Password]],aoc_02_input[[#This Row],[Char]])</f>
        <v>2</v>
      </c>
      <c r="I72" s="1">
        <f>IF(AND(aoc_02_input[[#This Row],[Int1]]&lt;=aoc_02_input[[#This Row],[CountOfChar]],aoc_02_input[[#This Row],[CountOfChar]]&lt;=aoc_02_input[[#This Row],[Int2]]),1,0)</f>
        <v>1</v>
      </c>
      <c r="J72" s="1" t="str">
        <f>MID(aoc_02_input[[#This Row],[Password]],aoc_02_input[[#This Row],[Int1]],1)</f>
        <v>p</v>
      </c>
      <c r="K72" s="1">
        <f>IF(aoc_02_input[[#This Row],[Pos1]]=aoc_02_input[[#This Row],[Char]],1,0)</f>
        <v>0</v>
      </c>
      <c r="L72" s="1" t="str">
        <f>MID(aoc_02_input[[#This Row],[Password]],aoc_02_input[[#This Row],[Int2]],1)</f>
        <v>w</v>
      </c>
      <c r="M72" s="1">
        <f>IF(aoc_02_input[[#This Row],[Pos2]]=aoc_02_input[[#This Row],[Char]],1,0)</f>
        <v>1</v>
      </c>
      <c r="N72" s="1">
        <f>IF(aoc_02_input[[#This Row],[Pos1Valid]]&lt;&gt;aoc_02_input[[#This Row],[Pos2Valid]],1,0)</f>
        <v>1</v>
      </c>
    </row>
    <row r="73" spans="1:14" x14ac:dyDescent="0.45">
      <c r="A73" s="1" t="s">
        <v>349</v>
      </c>
      <c r="B73" s="1" t="s">
        <v>252</v>
      </c>
      <c r="C73" s="1" t="s">
        <v>350</v>
      </c>
      <c r="D73" s="1">
        <f>FIND("-",aoc_02_input[[#This Row],[InputNumbers]])</f>
        <v>2</v>
      </c>
      <c r="E73" s="1">
        <f>_xlfn.NUMBERVALUE(LEFT(aoc_02_input[[#This Row],[InputNumbers]],aoc_02_input[[#This Row],[PosDash]]-1))</f>
        <v>7</v>
      </c>
      <c r="F73" s="1">
        <f>_xlfn.NUMBERVALUE(MID(aoc_02_input[[#This Row],[InputNumbers]],aoc_02_input[[#This Row],[PosDash]]+1,5))</f>
        <v>16</v>
      </c>
      <c r="G73" s="1" t="str">
        <f>LEFT(aoc_02_input[[#This Row],[InputChar]],1)</f>
        <v>p</v>
      </c>
      <c r="H73" s="1" cm="1">
        <f t="array" ref="H73">CountChar(aoc_02_input[[#This Row],[Password]],aoc_02_input[[#This Row],[Char]])</f>
        <v>18</v>
      </c>
      <c r="I73" s="1">
        <f>IF(AND(aoc_02_input[[#This Row],[Int1]]&lt;=aoc_02_input[[#This Row],[CountOfChar]],aoc_02_input[[#This Row],[CountOfChar]]&lt;=aoc_02_input[[#This Row],[Int2]]),1,0)</f>
        <v>0</v>
      </c>
      <c r="J73" s="1" t="str">
        <f>MID(aoc_02_input[[#This Row],[Password]],aoc_02_input[[#This Row],[Int1]],1)</f>
        <v>p</v>
      </c>
      <c r="K73" s="1">
        <f>IF(aoc_02_input[[#This Row],[Pos1]]=aoc_02_input[[#This Row],[Char]],1,0)</f>
        <v>1</v>
      </c>
      <c r="L73" s="1" t="str">
        <f>MID(aoc_02_input[[#This Row],[Password]],aoc_02_input[[#This Row],[Int2]],1)</f>
        <v>p</v>
      </c>
      <c r="M73" s="1">
        <f>IF(aoc_02_input[[#This Row],[Pos2]]=aoc_02_input[[#This Row],[Char]],1,0)</f>
        <v>1</v>
      </c>
      <c r="N73" s="1">
        <f>IF(aoc_02_input[[#This Row],[Pos1Valid]]&lt;&gt;aoc_02_input[[#This Row],[Pos2Valid]],1,0)</f>
        <v>0</v>
      </c>
    </row>
    <row r="74" spans="1:14" x14ac:dyDescent="0.45">
      <c r="A74" s="1" t="s">
        <v>294</v>
      </c>
      <c r="B74" s="1" t="s">
        <v>210</v>
      </c>
      <c r="C74" s="1" t="s">
        <v>351</v>
      </c>
      <c r="D74" s="1">
        <f>FIND("-",aoc_02_input[[#This Row],[InputNumbers]])</f>
        <v>2</v>
      </c>
      <c r="E74" s="1">
        <f>_xlfn.NUMBERVALUE(LEFT(aoc_02_input[[#This Row],[InputNumbers]],aoc_02_input[[#This Row],[PosDash]]-1))</f>
        <v>7</v>
      </c>
      <c r="F74" s="1">
        <f>_xlfn.NUMBERVALUE(MID(aoc_02_input[[#This Row],[InputNumbers]],aoc_02_input[[#This Row],[PosDash]]+1,5))</f>
        <v>11</v>
      </c>
      <c r="G74" s="1" t="str">
        <f>LEFT(aoc_02_input[[#This Row],[InputChar]],1)</f>
        <v>v</v>
      </c>
      <c r="H74" s="1" cm="1">
        <f t="array" ref="H74">CountChar(aoc_02_input[[#This Row],[Password]],aoc_02_input[[#This Row],[Char]])</f>
        <v>2</v>
      </c>
      <c r="I74" s="1">
        <f>IF(AND(aoc_02_input[[#This Row],[Int1]]&lt;=aoc_02_input[[#This Row],[CountOfChar]],aoc_02_input[[#This Row],[CountOfChar]]&lt;=aoc_02_input[[#This Row],[Int2]]),1,0)</f>
        <v>0</v>
      </c>
      <c r="J74" s="1" t="str">
        <f>MID(aoc_02_input[[#This Row],[Password]],aoc_02_input[[#This Row],[Int1]],1)</f>
        <v>v</v>
      </c>
      <c r="K74" s="1">
        <f>IF(aoc_02_input[[#This Row],[Pos1]]=aoc_02_input[[#This Row],[Char]],1,0)</f>
        <v>1</v>
      </c>
      <c r="L74" s="1" t="str">
        <f>MID(aoc_02_input[[#This Row],[Password]],aoc_02_input[[#This Row],[Int2]],1)</f>
        <v>b</v>
      </c>
      <c r="M74" s="1">
        <f>IF(aoc_02_input[[#This Row],[Pos2]]=aoc_02_input[[#This Row],[Char]],1,0)</f>
        <v>0</v>
      </c>
      <c r="N74" s="1">
        <f>IF(aoc_02_input[[#This Row],[Pos1Valid]]&lt;&gt;aoc_02_input[[#This Row],[Pos2Valid]],1,0)</f>
        <v>1</v>
      </c>
    </row>
    <row r="75" spans="1:14" x14ac:dyDescent="0.45">
      <c r="A75" s="1" t="s">
        <v>352</v>
      </c>
      <c r="B75" s="1" t="s">
        <v>254</v>
      </c>
      <c r="C75" s="1" t="s">
        <v>353</v>
      </c>
      <c r="D75" s="1">
        <f>FIND("-",aoc_02_input[[#This Row],[InputNumbers]])</f>
        <v>3</v>
      </c>
      <c r="E75" s="1">
        <f>_xlfn.NUMBERVALUE(LEFT(aoc_02_input[[#This Row],[InputNumbers]],aoc_02_input[[#This Row],[PosDash]]-1))</f>
        <v>15</v>
      </c>
      <c r="F75" s="1">
        <f>_xlfn.NUMBERVALUE(MID(aoc_02_input[[#This Row],[InputNumbers]],aoc_02_input[[#This Row],[PosDash]]+1,5))</f>
        <v>16</v>
      </c>
      <c r="G75" s="1" t="str">
        <f>LEFT(aoc_02_input[[#This Row],[InputChar]],1)</f>
        <v>k</v>
      </c>
      <c r="H75" s="1" cm="1">
        <f t="array" ref="H75">CountChar(aoc_02_input[[#This Row],[Password]],aoc_02_input[[#This Row],[Char]])</f>
        <v>15</v>
      </c>
      <c r="I75" s="1">
        <f>IF(AND(aoc_02_input[[#This Row],[Int1]]&lt;=aoc_02_input[[#This Row],[CountOfChar]],aoc_02_input[[#This Row],[CountOfChar]]&lt;=aoc_02_input[[#This Row],[Int2]]),1,0)</f>
        <v>1</v>
      </c>
      <c r="J75" s="1" t="str">
        <f>MID(aoc_02_input[[#This Row],[Password]],aoc_02_input[[#This Row],[Int1]],1)</f>
        <v>k</v>
      </c>
      <c r="K75" s="1">
        <f>IF(aoc_02_input[[#This Row],[Pos1]]=aoc_02_input[[#This Row],[Char]],1,0)</f>
        <v>1</v>
      </c>
      <c r="L75" s="1" t="str">
        <f>MID(aoc_02_input[[#This Row],[Password]],aoc_02_input[[#This Row],[Int2]],1)</f>
        <v>k</v>
      </c>
      <c r="M75" s="1">
        <f>IF(aoc_02_input[[#This Row],[Pos2]]=aoc_02_input[[#This Row],[Char]],1,0)</f>
        <v>1</v>
      </c>
      <c r="N75" s="1">
        <f>IF(aoc_02_input[[#This Row],[Pos1Valid]]&lt;&gt;aoc_02_input[[#This Row],[Pos2Valid]],1,0)</f>
        <v>0</v>
      </c>
    </row>
    <row r="76" spans="1:14" x14ac:dyDescent="0.45">
      <c r="A76" s="1" t="s">
        <v>227</v>
      </c>
      <c r="B76" s="1" t="s">
        <v>219</v>
      </c>
      <c r="C76" s="1" t="s">
        <v>354</v>
      </c>
      <c r="D76" s="1">
        <f>FIND("-",aoc_02_input[[#This Row],[InputNumbers]])</f>
        <v>2</v>
      </c>
      <c r="E76" s="1">
        <f>_xlfn.NUMBERVALUE(LEFT(aoc_02_input[[#This Row],[InputNumbers]],aoc_02_input[[#This Row],[PosDash]]-1))</f>
        <v>4</v>
      </c>
      <c r="F76" s="1">
        <f>_xlfn.NUMBERVALUE(MID(aoc_02_input[[#This Row],[InputNumbers]],aoc_02_input[[#This Row],[PosDash]]+1,5))</f>
        <v>5</v>
      </c>
      <c r="G76" s="1" t="str">
        <f>LEFT(aoc_02_input[[#This Row],[InputChar]],1)</f>
        <v>g</v>
      </c>
      <c r="H76" s="1" cm="1">
        <f t="array" ref="H76">CountChar(aoc_02_input[[#This Row],[Password]],aoc_02_input[[#This Row],[Char]])</f>
        <v>6</v>
      </c>
      <c r="I76" s="1">
        <f>IF(AND(aoc_02_input[[#This Row],[Int1]]&lt;=aoc_02_input[[#This Row],[CountOfChar]],aoc_02_input[[#This Row],[CountOfChar]]&lt;=aoc_02_input[[#This Row],[Int2]]),1,0)</f>
        <v>0</v>
      </c>
      <c r="J76" s="1" t="str">
        <f>MID(aoc_02_input[[#This Row],[Password]],aoc_02_input[[#This Row],[Int1]],1)</f>
        <v>g</v>
      </c>
      <c r="K76" s="1">
        <f>IF(aoc_02_input[[#This Row],[Pos1]]=aoc_02_input[[#This Row],[Char]],1,0)</f>
        <v>1</v>
      </c>
      <c r="L76" s="1" t="str">
        <f>MID(aoc_02_input[[#This Row],[Password]],aoc_02_input[[#This Row],[Int2]],1)</f>
        <v>g</v>
      </c>
      <c r="M76" s="1">
        <f>IF(aoc_02_input[[#This Row],[Pos2]]=aoc_02_input[[#This Row],[Char]],1,0)</f>
        <v>1</v>
      </c>
      <c r="N76" s="1">
        <f>IF(aoc_02_input[[#This Row],[Pos1Valid]]&lt;&gt;aoc_02_input[[#This Row],[Pos2Valid]],1,0)</f>
        <v>0</v>
      </c>
    </row>
    <row r="77" spans="1:14" x14ac:dyDescent="0.45">
      <c r="A77" s="1" t="s">
        <v>316</v>
      </c>
      <c r="B77" s="1" t="s">
        <v>225</v>
      </c>
      <c r="C77" s="1" t="s">
        <v>355</v>
      </c>
      <c r="D77" s="1">
        <f>FIND("-",aoc_02_input[[#This Row],[InputNumbers]])</f>
        <v>2</v>
      </c>
      <c r="E77" s="1">
        <f>_xlfn.NUMBERVALUE(LEFT(aoc_02_input[[#This Row],[InputNumbers]],aoc_02_input[[#This Row],[PosDash]]-1))</f>
        <v>1</v>
      </c>
      <c r="F77" s="1">
        <f>_xlfn.NUMBERVALUE(MID(aoc_02_input[[#This Row],[InputNumbers]],aoc_02_input[[#This Row],[PosDash]]+1,5))</f>
        <v>6</v>
      </c>
      <c r="G77" s="1" t="str">
        <f>LEFT(aoc_02_input[[#This Row],[InputChar]],1)</f>
        <v>j</v>
      </c>
      <c r="H77" s="1" cm="1">
        <f t="array" ref="H77">CountChar(aoc_02_input[[#This Row],[Password]],aoc_02_input[[#This Row],[Char]])</f>
        <v>13</v>
      </c>
      <c r="I77" s="1">
        <f>IF(AND(aoc_02_input[[#This Row],[Int1]]&lt;=aoc_02_input[[#This Row],[CountOfChar]],aoc_02_input[[#This Row],[CountOfChar]]&lt;=aoc_02_input[[#This Row],[Int2]]),1,0)</f>
        <v>0</v>
      </c>
      <c r="J77" s="1" t="str">
        <f>MID(aoc_02_input[[#This Row],[Password]],aoc_02_input[[#This Row],[Int1]],1)</f>
        <v>t</v>
      </c>
      <c r="K77" s="1">
        <f>IF(aoc_02_input[[#This Row],[Pos1]]=aoc_02_input[[#This Row],[Char]],1,0)</f>
        <v>0</v>
      </c>
      <c r="L77" s="1" t="str">
        <f>MID(aoc_02_input[[#This Row],[Password]],aoc_02_input[[#This Row],[Int2]],1)</f>
        <v>f</v>
      </c>
      <c r="M77" s="1">
        <f>IF(aoc_02_input[[#This Row],[Pos2]]=aoc_02_input[[#This Row],[Char]],1,0)</f>
        <v>0</v>
      </c>
      <c r="N77" s="1">
        <f>IF(aoc_02_input[[#This Row],[Pos1Valid]]&lt;&gt;aoc_02_input[[#This Row],[Pos2Valid]],1,0)</f>
        <v>0</v>
      </c>
    </row>
    <row r="78" spans="1:14" x14ac:dyDescent="0.45">
      <c r="A78" s="1" t="s">
        <v>256</v>
      </c>
      <c r="B78" s="1" t="s">
        <v>216</v>
      </c>
      <c r="C78" s="1" t="s">
        <v>356</v>
      </c>
      <c r="D78" s="1">
        <f>FIND("-",aoc_02_input[[#This Row],[InputNumbers]])</f>
        <v>2</v>
      </c>
      <c r="E78" s="1">
        <f>_xlfn.NUMBERVALUE(LEFT(aoc_02_input[[#This Row],[InputNumbers]],aoc_02_input[[#This Row],[PosDash]]-1))</f>
        <v>5</v>
      </c>
      <c r="F78" s="1">
        <f>_xlfn.NUMBERVALUE(MID(aoc_02_input[[#This Row],[InputNumbers]],aoc_02_input[[#This Row],[PosDash]]+1,5))</f>
        <v>7</v>
      </c>
      <c r="G78" s="1" t="str">
        <f>LEFT(aoc_02_input[[#This Row],[InputChar]],1)</f>
        <v>z</v>
      </c>
      <c r="H78" s="1" cm="1">
        <f t="array" ref="H78">CountChar(aoc_02_input[[#This Row],[Password]],aoc_02_input[[#This Row],[Char]])</f>
        <v>5</v>
      </c>
      <c r="I78" s="1">
        <f>IF(AND(aoc_02_input[[#This Row],[Int1]]&lt;=aoc_02_input[[#This Row],[CountOfChar]],aoc_02_input[[#This Row],[CountOfChar]]&lt;=aoc_02_input[[#This Row],[Int2]]),1,0)</f>
        <v>1</v>
      </c>
      <c r="J78" s="1" t="str">
        <f>MID(aoc_02_input[[#This Row],[Password]],aoc_02_input[[#This Row],[Int1]],1)</f>
        <v>p</v>
      </c>
      <c r="K78" s="1">
        <f>IF(aoc_02_input[[#This Row],[Pos1]]=aoc_02_input[[#This Row],[Char]],1,0)</f>
        <v>0</v>
      </c>
      <c r="L78" s="1" t="str">
        <f>MID(aoc_02_input[[#This Row],[Password]],aoc_02_input[[#This Row],[Int2]],1)</f>
        <v>z</v>
      </c>
      <c r="M78" s="1">
        <f>IF(aoc_02_input[[#This Row],[Pos2]]=aoc_02_input[[#This Row],[Char]],1,0)</f>
        <v>1</v>
      </c>
      <c r="N78" s="1">
        <f>IF(aoc_02_input[[#This Row],[Pos1Valid]]&lt;&gt;aoc_02_input[[#This Row],[Pos2Valid]],1,0)</f>
        <v>1</v>
      </c>
    </row>
    <row r="79" spans="1:14" x14ac:dyDescent="0.45">
      <c r="A79" s="1" t="s">
        <v>357</v>
      </c>
      <c r="B79" s="1" t="s">
        <v>238</v>
      </c>
      <c r="C79" s="1" t="s">
        <v>358</v>
      </c>
      <c r="D79" s="1">
        <f>FIND("-",aoc_02_input[[#This Row],[InputNumbers]])</f>
        <v>3</v>
      </c>
      <c r="E79" s="1">
        <f>_xlfn.NUMBERVALUE(LEFT(aoc_02_input[[#This Row],[InputNumbers]],aoc_02_input[[#This Row],[PosDash]]-1))</f>
        <v>13</v>
      </c>
      <c r="F79" s="1">
        <f>_xlfn.NUMBERVALUE(MID(aoc_02_input[[#This Row],[InputNumbers]],aoc_02_input[[#This Row],[PosDash]]+1,5))</f>
        <v>15</v>
      </c>
      <c r="G79" s="1" t="str">
        <f>LEFT(aoc_02_input[[#This Row],[InputChar]],1)</f>
        <v>w</v>
      </c>
      <c r="H79" s="1" cm="1">
        <f t="array" ref="H79">CountChar(aoc_02_input[[#This Row],[Password]],aoc_02_input[[#This Row],[Char]])</f>
        <v>11</v>
      </c>
      <c r="I79" s="1">
        <f>IF(AND(aoc_02_input[[#This Row],[Int1]]&lt;=aoc_02_input[[#This Row],[CountOfChar]],aoc_02_input[[#This Row],[CountOfChar]]&lt;=aoc_02_input[[#This Row],[Int2]]),1,0)</f>
        <v>0</v>
      </c>
      <c r="J79" s="1" t="str">
        <f>MID(aoc_02_input[[#This Row],[Password]],aoc_02_input[[#This Row],[Int1]],1)</f>
        <v>w</v>
      </c>
      <c r="K79" s="1">
        <f>IF(aoc_02_input[[#This Row],[Pos1]]=aoc_02_input[[#This Row],[Char]],1,0)</f>
        <v>1</v>
      </c>
      <c r="L79" s="1" t="str">
        <f>MID(aoc_02_input[[#This Row],[Password]],aoc_02_input[[#This Row],[Int2]],1)</f>
        <v>b</v>
      </c>
      <c r="M79" s="1">
        <f>IF(aoc_02_input[[#This Row],[Pos2]]=aoc_02_input[[#This Row],[Char]],1,0)</f>
        <v>0</v>
      </c>
      <c r="N79" s="1">
        <f>IF(aoc_02_input[[#This Row],[Pos1Valid]]&lt;&gt;aoc_02_input[[#This Row],[Pos2Valid]],1,0)</f>
        <v>1</v>
      </c>
    </row>
    <row r="80" spans="1:14" x14ac:dyDescent="0.45">
      <c r="A80" s="1" t="s">
        <v>359</v>
      </c>
      <c r="B80" s="1" t="s">
        <v>216</v>
      </c>
      <c r="C80" s="1" t="s">
        <v>360</v>
      </c>
      <c r="D80" s="1">
        <f>FIND("-",aoc_02_input[[#This Row],[InputNumbers]])</f>
        <v>2</v>
      </c>
      <c r="E80" s="1">
        <f>_xlfn.NUMBERVALUE(LEFT(aoc_02_input[[#This Row],[InputNumbers]],aoc_02_input[[#This Row],[PosDash]]-1))</f>
        <v>5</v>
      </c>
      <c r="F80" s="1">
        <f>_xlfn.NUMBERVALUE(MID(aoc_02_input[[#This Row],[InputNumbers]],aoc_02_input[[#This Row],[PosDash]]+1,5))</f>
        <v>19</v>
      </c>
      <c r="G80" s="1" t="str">
        <f>LEFT(aoc_02_input[[#This Row],[InputChar]],1)</f>
        <v>z</v>
      </c>
      <c r="H80" s="1" cm="1">
        <f t="array" ref="H80">CountChar(aoc_02_input[[#This Row],[Password]],aoc_02_input[[#This Row],[Char]])</f>
        <v>8</v>
      </c>
      <c r="I80" s="1">
        <f>IF(AND(aoc_02_input[[#This Row],[Int1]]&lt;=aoc_02_input[[#This Row],[CountOfChar]],aoc_02_input[[#This Row],[CountOfChar]]&lt;=aoc_02_input[[#This Row],[Int2]]),1,0)</f>
        <v>1</v>
      </c>
      <c r="J80" s="1" t="str">
        <f>MID(aoc_02_input[[#This Row],[Password]],aoc_02_input[[#This Row],[Int1]],1)</f>
        <v>t</v>
      </c>
      <c r="K80" s="1">
        <f>IF(aoc_02_input[[#This Row],[Pos1]]=aoc_02_input[[#This Row],[Char]],1,0)</f>
        <v>0</v>
      </c>
      <c r="L80" s="1" t="str">
        <f>MID(aoc_02_input[[#This Row],[Password]],aoc_02_input[[#This Row],[Int2]],1)</f>
        <v>d</v>
      </c>
      <c r="M80" s="1">
        <f>IF(aoc_02_input[[#This Row],[Pos2]]=aoc_02_input[[#This Row],[Char]],1,0)</f>
        <v>0</v>
      </c>
      <c r="N80" s="1">
        <f>IF(aoc_02_input[[#This Row],[Pos1Valid]]&lt;&gt;aoc_02_input[[#This Row],[Pos2Valid]],1,0)</f>
        <v>0</v>
      </c>
    </row>
    <row r="81" spans="1:14" x14ac:dyDescent="0.45">
      <c r="A81" s="1" t="s">
        <v>361</v>
      </c>
      <c r="B81" s="1" t="s">
        <v>213</v>
      </c>
      <c r="C81" s="1" t="s">
        <v>362</v>
      </c>
      <c r="D81" s="1">
        <f>FIND("-",aoc_02_input[[#This Row],[InputNumbers]])</f>
        <v>2</v>
      </c>
      <c r="E81" s="1">
        <f>_xlfn.NUMBERVALUE(LEFT(aoc_02_input[[#This Row],[InputNumbers]],aoc_02_input[[#This Row],[PosDash]]-1))</f>
        <v>2</v>
      </c>
      <c r="F81" s="1">
        <f>_xlfn.NUMBERVALUE(MID(aoc_02_input[[#This Row],[InputNumbers]],aoc_02_input[[#This Row],[PosDash]]+1,5))</f>
        <v>7</v>
      </c>
      <c r="G81" s="1" t="str">
        <f>LEFT(aoc_02_input[[#This Row],[InputChar]],1)</f>
        <v>m</v>
      </c>
      <c r="H81" s="1" cm="1">
        <f t="array" ref="H81">CountChar(aoc_02_input[[#This Row],[Password]],aoc_02_input[[#This Row],[Char]])</f>
        <v>1</v>
      </c>
      <c r="I81" s="1">
        <f>IF(AND(aoc_02_input[[#This Row],[Int1]]&lt;=aoc_02_input[[#This Row],[CountOfChar]],aoc_02_input[[#This Row],[CountOfChar]]&lt;=aoc_02_input[[#This Row],[Int2]]),1,0)</f>
        <v>0</v>
      </c>
      <c r="J81" s="1" t="str">
        <f>MID(aoc_02_input[[#This Row],[Password]],aoc_02_input[[#This Row],[Int1]],1)</f>
        <v>j</v>
      </c>
      <c r="K81" s="1">
        <f>IF(aoc_02_input[[#This Row],[Pos1]]=aoc_02_input[[#This Row],[Char]],1,0)</f>
        <v>0</v>
      </c>
      <c r="L81" s="1" t="str">
        <f>MID(aoc_02_input[[#This Row],[Password]],aoc_02_input[[#This Row],[Int2]],1)</f>
        <v>w</v>
      </c>
      <c r="M81" s="1">
        <f>IF(aoc_02_input[[#This Row],[Pos2]]=aoc_02_input[[#This Row],[Char]],1,0)</f>
        <v>0</v>
      </c>
      <c r="N81" s="1">
        <f>IF(aoc_02_input[[#This Row],[Pos1Valid]]&lt;&gt;aoc_02_input[[#This Row],[Pos2Valid]],1,0)</f>
        <v>0</v>
      </c>
    </row>
    <row r="82" spans="1:14" x14ac:dyDescent="0.45">
      <c r="A82" s="1" t="s">
        <v>363</v>
      </c>
      <c r="B82" s="1" t="s">
        <v>228</v>
      </c>
      <c r="C82" s="1" t="s">
        <v>364</v>
      </c>
      <c r="D82" s="1">
        <f>FIND("-",aoc_02_input[[#This Row],[InputNumbers]])</f>
        <v>3</v>
      </c>
      <c r="E82" s="1">
        <f>_xlfn.NUMBERVALUE(LEFT(aoc_02_input[[#This Row],[InputNumbers]],aoc_02_input[[#This Row],[PosDash]]-1))</f>
        <v>11</v>
      </c>
      <c r="F82" s="1">
        <f>_xlfn.NUMBERVALUE(MID(aoc_02_input[[#This Row],[InputNumbers]],aoc_02_input[[#This Row],[PosDash]]+1,5))</f>
        <v>16</v>
      </c>
      <c r="G82" s="1" t="str">
        <f>LEFT(aoc_02_input[[#This Row],[InputChar]],1)</f>
        <v>t</v>
      </c>
      <c r="H82" s="1" cm="1">
        <f t="array" ref="H82">CountChar(aoc_02_input[[#This Row],[Password]],aoc_02_input[[#This Row],[Char]])</f>
        <v>11</v>
      </c>
      <c r="I82" s="1">
        <f>IF(AND(aoc_02_input[[#This Row],[Int1]]&lt;=aoc_02_input[[#This Row],[CountOfChar]],aoc_02_input[[#This Row],[CountOfChar]]&lt;=aoc_02_input[[#This Row],[Int2]]),1,0)</f>
        <v>1</v>
      </c>
      <c r="J82" s="1" t="str">
        <f>MID(aoc_02_input[[#This Row],[Password]],aoc_02_input[[#This Row],[Int1]],1)</f>
        <v>b</v>
      </c>
      <c r="K82" s="1">
        <f>IF(aoc_02_input[[#This Row],[Pos1]]=aoc_02_input[[#This Row],[Char]],1,0)</f>
        <v>0</v>
      </c>
      <c r="L82" s="1" t="str">
        <f>MID(aoc_02_input[[#This Row],[Password]],aoc_02_input[[#This Row],[Int2]],1)</f>
        <v>t</v>
      </c>
      <c r="M82" s="1">
        <f>IF(aoc_02_input[[#This Row],[Pos2]]=aoc_02_input[[#This Row],[Char]],1,0)</f>
        <v>1</v>
      </c>
      <c r="N82" s="1">
        <f>IF(aoc_02_input[[#This Row],[Pos1Valid]]&lt;&gt;aoc_02_input[[#This Row],[Pos2Valid]],1,0)</f>
        <v>1</v>
      </c>
    </row>
    <row r="83" spans="1:14" x14ac:dyDescent="0.45">
      <c r="A83" s="1" t="s">
        <v>365</v>
      </c>
      <c r="B83" s="1" t="s">
        <v>254</v>
      </c>
      <c r="C83" s="1" t="s">
        <v>366</v>
      </c>
      <c r="D83" s="1">
        <f>FIND("-",aoc_02_input[[#This Row],[InputNumbers]])</f>
        <v>2</v>
      </c>
      <c r="E83" s="1">
        <f>_xlfn.NUMBERVALUE(LEFT(aoc_02_input[[#This Row],[InputNumbers]],aoc_02_input[[#This Row],[PosDash]]-1))</f>
        <v>6</v>
      </c>
      <c r="F83" s="1">
        <f>_xlfn.NUMBERVALUE(MID(aoc_02_input[[#This Row],[InputNumbers]],aoc_02_input[[#This Row],[PosDash]]+1,5))</f>
        <v>9</v>
      </c>
      <c r="G83" s="1" t="str">
        <f>LEFT(aoc_02_input[[#This Row],[InputChar]],1)</f>
        <v>k</v>
      </c>
      <c r="H83" s="1" cm="1">
        <f t="array" ref="H83">CountChar(aoc_02_input[[#This Row],[Password]],aoc_02_input[[#This Row],[Char]])</f>
        <v>9</v>
      </c>
      <c r="I83" s="1">
        <f>IF(AND(aoc_02_input[[#This Row],[Int1]]&lt;=aoc_02_input[[#This Row],[CountOfChar]],aoc_02_input[[#This Row],[CountOfChar]]&lt;=aoc_02_input[[#This Row],[Int2]]),1,0)</f>
        <v>1</v>
      </c>
      <c r="J83" s="1" t="str">
        <f>MID(aoc_02_input[[#This Row],[Password]],aoc_02_input[[#This Row],[Int1]],1)</f>
        <v>h</v>
      </c>
      <c r="K83" s="1">
        <f>IF(aoc_02_input[[#This Row],[Pos1]]=aoc_02_input[[#This Row],[Char]],1,0)</f>
        <v>0</v>
      </c>
      <c r="L83" s="1" t="str">
        <f>MID(aoc_02_input[[#This Row],[Password]],aoc_02_input[[#This Row],[Int2]],1)</f>
        <v>k</v>
      </c>
      <c r="M83" s="1">
        <f>IF(aoc_02_input[[#This Row],[Pos2]]=aoc_02_input[[#This Row],[Char]],1,0)</f>
        <v>1</v>
      </c>
      <c r="N83" s="1">
        <f>IF(aoc_02_input[[#This Row],[Pos1Valid]]&lt;&gt;aoc_02_input[[#This Row],[Pos2Valid]],1,0)</f>
        <v>1</v>
      </c>
    </row>
    <row r="84" spans="1:14" x14ac:dyDescent="0.45">
      <c r="A84" s="1" t="s">
        <v>363</v>
      </c>
      <c r="B84" s="1" t="s">
        <v>222</v>
      </c>
      <c r="C84" s="1" t="s">
        <v>367</v>
      </c>
      <c r="D84" s="1">
        <f>FIND("-",aoc_02_input[[#This Row],[InputNumbers]])</f>
        <v>3</v>
      </c>
      <c r="E84" s="1">
        <f>_xlfn.NUMBERVALUE(LEFT(aoc_02_input[[#This Row],[InputNumbers]],aoc_02_input[[#This Row],[PosDash]]-1))</f>
        <v>11</v>
      </c>
      <c r="F84" s="1">
        <f>_xlfn.NUMBERVALUE(MID(aoc_02_input[[#This Row],[InputNumbers]],aoc_02_input[[#This Row],[PosDash]]+1,5))</f>
        <v>16</v>
      </c>
      <c r="G84" s="1" t="str">
        <f>LEFT(aoc_02_input[[#This Row],[InputChar]],1)</f>
        <v>l</v>
      </c>
      <c r="H84" s="1" cm="1">
        <f t="array" ref="H84">CountChar(aoc_02_input[[#This Row],[Password]],aoc_02_input[[#This Row],[Char]])</f>
        <v>15</v>
      </c>
      <c r="I84" s="1">
        <f>IF(AND(aoc_02_input[[#This Row],[Int1]]&lt;=aoc_02_input[[#This Row],[CountOfChar]],aoc_02_input[[#This Row],[CountOfChar]]&lt;=aoc_02_input[[#This Row],[Int2]]),1,0)</f>
        <v>1</v>
      </c>
      <c r="J84" s="1" t="str">
        <f>MID(aoc_02_input[[#This Row],[Password]],aoc_02_input[[#This Row],[Int1]],1)</f>
        <v>t</v>
      </c>
      <c r="K84" s="1">
        <f>IF(aoc_02_input[[#This Row],[Pos1]]=aoc_02_input[[#This Row],[Char]],1,0)</f>
        <v>0</v>
      </c>
      <c r="L84" s="1" t="str">
        <f>MID(aoc_02_input[[#This Row],[Password]],aoc_02_input[[#This Row],[Int2]],1)</f>
        <v>l</v>
      </c>
      <c r="M84" s="1">
        <f>IF(aoc_02_input[[#This Row],[Pos2]]=aoc_02_input[[#This Row],[Char]],1,0)</f>
        <v>1</v>
      </c>
      <c r="N84" s="1">
        <f>IF(aoc_02_input[[#This Row],[Pos1Valid]]&lt;&gt;aoc_02_input[[#This Row],[Pos2Valid]],1,0)</f>
        <v>1</v>
      </c>
    </row>
    <row r="85" spans="1:14" x14ac:dyDescent="0.45">
      <c r="A85" s="1" t="s">
        <v>234</v>
      </c>
      <c r="B85" s="1" t="s">
        <v>278</v>
      </c>
      <c r="C85" s="1" t="s">
        <v>368</v>
      </c>
      <c r="D85" s="1">
        <f>FIND("-",aoc_02_input[[#This Row],[InputNumbers]])</f>
        <v>2</v>
      </c>
      <c r="E85" s="1">
        <f>_xlfn.NUMBERVALUE(LEFT(aoc_02_input[[#This Row],[InputNumbers]],aoc_02_input[[#This Row],[PosDash]]-1))</f>
        <v>7</v>
      </c>
      <c r="F85" s="1">
        <f>_xlfn.NUMBERVALUE(MID(aoc_02_input[[#This Row],[InputNumbers]],aoc_02_input[[#This Row],[PosDash]]+1,5))</f>
        <v>8</v>
      </c>
      <c r="G85" s="1" t="str">
        <f>LEFT(aoc_02_input[[#This Row],[InputChar]],1)</f>
        <v>x</v>
      </c>
      <c r="H85" s="1" cm="1">
        <f t="array" ref="H85">CountChar(aoc_02_input[[#This Row],[Password]],aoc_02_input[[#This Row],[Char]])</f>
        <v>8</v>
      </c>
      <c r="I85" s="1">
        <f>IF(AND(aoc_02_input[[#This Row],[Int1]]&lt;=aoc_02_input[[#This Row],[CountOfChar]],aoc_02_input[[#This Row],[CountOfChar]]&lt;=aoc_02_input[[#This Row],[Int2]]),1,0)</f>
        <v>1</v>
      </c>
      <c r="J85" s="1" t="str">
        <f>MID(aoc_02_input[[#This Row],[Password]],aoc_02_input[[#This Row],[Int1]],1)</f>
        <v>x</v>
      </c>
      <c r="K85" s="1">
        <f>IF(aoc_02_input[[#This Row],[Pos1]]=aoc_02_input[[#This Row],[Char]],1,0)</f>
        <v>1</v>
      </c>
      <c r="L85" s="1" t="str">
        <f>MID(aoc_02_input[[#This Row],[Password]],aoc_02_input[[#This Row],[Int2]],1)</f>
        <v>x</v>
      </c>
      <c r="M85" s="1">
        <f>IF(aoc_02_input[[#This Row],[Pos2]]=aoc_02_input[[#This Row],[Char]],1,0)</f>
        <v>1</v>
      </c>
      <c r="N85" s="1">
        <f>IF(aoc_02_input[[#This Row],[Pos1Valid]]&lt;&gt;aoc_02_input[[#This Row],[Pos2Valid]],1,0)</f>
        <v>0</v>
      </c>
    </row>
    <row r="86" spans="1:14" x14ac:dyDescent="0.45">
      <c r="A86" s="1" t="s">
        <v>307</v>
      </c>
      <c r="B86" s="1" t="s">
        <v>278</v>
      </c>
      <c r="C86" s="1" t="s">
        <v>369</v>
      </c>
      <c r="D86" s="1">
        <f>FIND("-",aoc_02_input[[#This Row],[InputNumbers]])</f>
        <v>2</v>
      </c>
      <c r="E86" s="1">
        <f>_xlfn.NUMBERVALUE(LEFT(aoc_02_input[[#This Row],[InputNumbers]],aoc_02_input[[#This Row],[PosDash]]-1))</f>
        <v>3</v>
      </c>
      <c r="F86" s="1">
        <f>_xlfn.NUMBERVALUE(MID(aoc_02_input[[#This Row],[InputNumbers]],aoc_02_input[[#This Row],[PosDash]]+1,5))</f>
        <v>5</v>
      </c>
      <c r="G86" s="1" t="str">
        <f>LEFT(aoc_02_input[[#This Row],[InputChar]],1)</f>
        <v>x</v>
      </c>
      <c r="H86" s="1" cm="1">
        <f t="array" ref="H86">CountChar(aoc_02_input[[#This Row],[Password]],aoc_02_input[[#This Row],[Char]])</f>
        <v>1</v>
      </c>
      <c r="I86" s="1">
        <f>IF(AND(aoc_02_input[[#This Row],[Int1]]&lt;=aoc_02_input[[#This Row],[CountOfChar]],aoc_02_input[[#This Row],[CountOfChar]]&lt;=aoc_02_input[[#This Row],[Int2]]),1,0)</f>
        <v>0</v>
      </c>
      <c r="J86" s="1" t="str">
        <f>MID(aoc_02_input[[#This Row],[Password]],aoc_02_input[[#This Row],[Int1]],1)</f>
        <v>x</v>
      </c>
      <c r="K86" s="1">
        <f>IF(aoc_02_input[[#This Row],[Pos1]]=aoc_02_input[[#This Row],[Char]],1,0)</f>
        <v>1</v>
      </c>
      <c r="L86" s="1" t="str">
        <f>MID(aoc_02_input[[#This Row],[Password]],aoc_02_input[[#This Row],[Int2]],1)</f>
        <v>b</v>
      </c>
      <c r="M86" s="1">
        <f>IF(aoc_02_input[[#This Row],[Pos2]]=aoc_02_input[[#This Row],[Char]],1,0)</f>
        <v>0</v>
      </c>
      <c r="N86" s="1">
        <f>IF(aoc_02_input[[#This Row],[Pos1Valid]]&lt;&gt;aoc_02_input[[#This Row],[Pos2Valid]],1,0)</f>
        <v>1</v>
      </c>
    </row>
    <row r="87" spans="1:14" x14ac:dyDescent="0.45">
      <c r="A87" s="1" t="s">
        <v>365</v>
      </c>
      <c r="B87" s="1" t="s">
        <v>254</v>
      </c>
      <c r="C87" s="1" t="s">
        <v>370</v>
      </c>
      <c r="D87" s="1">
        <f>FIND("-",aoc_02_input[[#This Row],[InputNumbers]])</f>
        <v>2</v>
      </c>
      <c r="E87" s="1">
        <f>_xlfn.NUMBERVALUE(LEFT(aoc_02_input[[#This Row],[InputNumbers]],aoc_02_input[[#This Row],[PosDash]]-1))</f>
        <v>6</v>
      </c>
      <c r="F87" s="1">
        <f>_xlfn.NUMBERVALUE(MID(aoc_02_input[[#This Row],[InputNumbers]],aoc_02_input[[#This Row],[PosDash]]+1,5))</f>
        <v>9</v>
      </c>
      <c r="G87" s="1" t="str">
        <f>LEFT(aoc_02_input[[#This Row],[InputChar]],1)</f>
        <v>k</v>
      </c>
      <c r="H87" s="1" cm="1">
        <f t="array" ref="H87">CountChar(aoc_02_input[[#This Row],[Password]],aoc_02_input[[#This Row],[Char]])</f>
        <v>5</v>
      </c>
      <c r="I87" s="1">
        <f>IF(AND(aoc_02_input[[#This Row],[Int1]]&lt;=aoc_02_input[[#This Row],[CountOfChar]],aoc_02_input[[#This Row],[CountOfChar]]&lt;=aoc_02_input[[#This Row],[Int2]]),1,0)</f>
        <v>0</v>
      </c>
      <c r="J87" s="1" t="str">
        <f>MID(aoc_02_input[[#This Row],[Password]],aoc_02_input[[#This Row],[Int1]],1)</f>
        <v>k</v>
      </c>
      <c r="K87" s="1">
        <f>IF(aoc_02_input[[#This Row],[Pos1]]=aoc_02_input[[#This Row],[Char]],1,0)</f>
        <v>1</v>
      </c>
      <c r="L87" s="1" t="str">
        <f>MID(aoc_02_input[[#This Row],[Password]],aoc_02_input[[#This Row],[Int2]],1)</f>
        <v>k</v>
      </c>
      <c r="M87" s="1">
        <f>IF(aoc_02_input[[#This Row],[Pos2]]=aoc_02_input[[#This Row],[Char]],1,0)</f>
        <v>1</v>
      </c>
      <c r="N87" s="1">
        <f>IF(aoc_02_input[[#This Row],[Pos1Valid]]&lt;&gt;aoc_02_input[[#This Row],[Pos2Valid]],1,0)</f>
        <v>0</v>
      </c>
    </row>
    <row r="88" spans="1:14" x14ac:dyDescent="0.45">
      <c r="A88" s="1" t="s">
        <v>290</v>
      </c>
      <c r="B88" s="1" t="s">
        <v>314</v>
      </c>
      <c r="C88" s="1" t="s">
        <v>371</v>
      </c>
      <c r="D88" s="1">
        <f>FIND("-",aoc_02_input[[#This Row],[InputNumbers]])</f>
        <v>2</v>
      </c>
      <c r="E88" s="1">
        <f>_xlfn.NUMBERVALUE(LEFT(aoc_02_input[[#This Row],[InputNumbers]],aoc_02_input[[#This Row],[PosDash]]-1))</f>
        <v>8</v>
      </c>
      <c r="F88" s="1">
        <f>_xlfn.NUMBERVALUE(MID(aoc_02_input[[#This Row],[InputNumbers]],aoc_02_input[[#This Row],[PosDash]]+1,5))</f>
        <v>10</v>
      </c>
      <c r="G88" s="1" t="str">
        <f>LEFT(aoc_02_input[[#This Row],[InputChar]],1)</f>
        <v>h</v>
      </c>
      <c r="H88" s="1" cm="1">
        <f t="array" ref="H88">CountChar(aoc_02_input[[#This Row],[Password]],aoc_02_input[[#This Row],[Char]])</f>
        <v>9</v>
      </c>
      <c r="I88" s="1">
        <f>IF(AND(aoc_02_input[[#This Row],[Int1]]&lt;=aoc_02_input[[#This Row],[CountOfChar]],aoc_02_input[[#This Row],[CountOfChar]]&lt;=aoc_02_input[[#This Row],[Int2]]),1,0)</f>
        <v>1</v>
      </c>
      <c r="J88" s="1" t="str">
        <f>MID(aoc_02_input[[#This Row],[Password]],aoc_02_input[[#This Row],[Int1]],1)</f>
        <v>h</v>
      </c>
      <c r="K88" s="1">
        <f>IF(aoc_02_input[[#This Row],[Pos1]]=aoc_02_input[[#This Row],[Char]],1,0)</f>
        <v>1</v>
      </c>
      <c r="L88" s="1" t="str">
        <f>MID(aoc_02_input[[#This Row],[Password]],aoc_02_input[[#This Row],[Int2]],1)</f>
        <v>g</v>
      </c>
      <c r="M88" s="1">
        <f>IF(aoc_02_input[[#This Row],[Pos2]]=aoc_02_input[[#This Row],[Char]],1,0)</f>
        <v>0</v>
      </c>
      <c r="N88" s="1">
        <f>IF(aoc_02_input[[#This Row],[Pos1Valid]]&lt;&gt;aoc_02_input[[#This Row],[Pos2Valid]],1,0)</f>
        <v>1</v>
      </c>
    </row>
    <row r="89" spans="1:14" x14ac:dyDescent="0.45">
      <c r="A89" s="1" t="s">
        <v>283</v>
      </c>
      <c r="B89" s="1" t="s">
        <v>228</v>
      </c>
      <c r="C89" s="1" t="s">
        <v>372</v>
      </c>
      <c r="D89" s="1">
        <f>FIND("-",aoc_02_input[[#This Row],[InputNumbers]])</f>
        <v>2</v>
      </c>
      <c r="E89" s="1">
        <f>_xlfn.NUMBERVALUE(LEFT(aoc_02_input[[#This Row],[InputNumbers]],aoc_02_input[[#This Row],[PosDash]]-1))</f>
        <v>3</v>
      </c>
      <c r="F89" s="1">
        <f>_xlfn.NUMBERVALUE(MID(aoc_02_input[[#This Row],[InputNumbers]],aoc_02_input[[#This Row],[PosDash]]+1,5))</f>
        <v>4</v>
      </c>
      <c r="G89" s="1" t="str">
        <f>LEFT(aoc_02_input[[#This Row],[InputChar]],1)</f>
        <v>t</v>
      </c>
      <c r="H89" s="1" cm="1">
        <f t="array" ref="H89">CountChar(aoc_02_input[[#This Row],[Password]],aoc_02_input[[#This Row],[Char]])</f>
        <v>3</v>
      </c>
      <c r="I89" s="1">
        <f>IF(AND(aoc_02_input[[#This Row],[Int1]]&lt;=aoc_02_input[[#This Row],[CountOfChar]],aoc_02_input[[#This Row],[CountOfChar]]&lt;=aoc_02_input[[#This Row],[Int2]]),1,0)</f>
        <v>1</v>
      </c>
      <c r="J89" s="1" t="str">
        <f>MID(aoc_02_input[[#This Row],[Password]],aoc_02_input[[#This Row],[Int1]],1)</f>
        <v>m</v>
      </c>
      <c r="K89" s="1">
        <f>IF(aoc_02_input[[#This Row],[Pos1]]=aoc_02_input[[#This Row],[Char]],1,0)</f>
        <v>0</v>
      </c>
      <c r="L89" s="1" t="str">
        <f>MID(aoc_02_input[[#This Row],[Password]],aoc_02_input[[#This Row],[Int2]],1)</f>
        <v>r</v>
      </c>
      <c r="M89" s="1">
        <f>IF(aoc_02_input[[#This Row],[Pos2]]=aoc_02_input[[#This Row],[Char]],1,0)</f>
        <v>0</v>
      </c>
      <c r="N89" s="1">
        <f>IF(aoc_02_input[[#This Row],[Pos1Valid]]&lt;&gt;aoc_02_input[[#This Row],[Pos2Valid]],1,0)</f>
        <v>0</v>
      </c>
    </row>
    <row r="90" spans="1:14" x14ac:dyDescent="0.45">
      <c r="A90" s="1" t="s">
        <v>240</v>
      </c>
      <c r="B90" s="1" t="s">
        <v>207</v>
      </c>
      <c r="C90" s="1" t="s">
        <v>373</v>
      </c>
      <c r="D90" s="1">
        <f>FIND("-",aoc_02_input[[#This Row],[InputNumbers]])</f>
        <v>3</v>
      </c>
      <c r="E90" s="1">
        <f>_xlfn.NUMBERVALUE(LEFT(aoc_02_input[[#This Row],[InputNumbers]],aoc_02_input[[#This Row],[PosDash]]-1))</f>
        <v>12</v>
      </c>
      <c r="F90" s="1">
        <f>_xlfn.NUMBERVALUE(MID(aoc_02_input[[#This Row],[InputNumbers]],aoc_02_input[[#This Row],[PosDash]]+1,5))</f>
        <v>16</v>
      </c>
      <c r="G90" s="1" t="str">
        <f>LEFT(aoc_02_input[[#This Row],[InputChar]],1)</f>
        <v>b</v>
      </c>
      <c r="H90" s="1" cm="1">
        <f t="array" ref="H90">CountChar(aoc_02_input[[#This Row],[Password]],aoc_02_input[[#This Row],[Char]])</f>
        <v>10</v>
      </c>
      <c r="I90" s="1">
        <f>IF(AND(aoc_02_input[[#This Row],[Int1]]&lt;=aoc_02_input[[#This Row],[CountOfChar]],aoc_02_input[[#This Row],[CountOfChar]]&lt;=aoc_02_input[[#This Row],[Int2]]),1,0)</f>
        <v>0</v>
      </c>
      <c r="J90" s="1" t="str">
        <f>MID(aoc_02_input[[#This Row],[Password]],aoc_02_input[[#This Row],[Int1]],1)</f>
        <v>p</v>
      </c>
      <c r="K90" s="1">
        <f>IF(aoc_02_input[[#This Row],[Pos1]]=aoc_02_input[[#This Row],[Char]],1,0)</f>
        <v>0</v>
      </c>
      <c r="L90" s="1" t="str">
        <f>MID(aoc_02_input[[#This Row],[Password]],aoc_02_input[[#This Row],[Int2]],1)</f>
        <v>b</v>
      </c>
      <c r="M90" s="1">
        <f>IF(aoc_02_input[[#This Row],[Pos2]]=aoc_02_input[[#This Row],[Char]],1,0)</f>
        <v>1</v>
      </c>
      <c r="N90" s="1">
        <f>IF(aoc_02_input[[#This Row],[Pos1Valid]]&lt;&gt;aoc_02_input[[#This Row],[Pos2Valid]],1,0)</f>
        <v>1</v>
      </c>
    </row>
    <row r="91" spans="1:14" x14ac:dyDescent="0.45">
      <c r="A91" s="1" t="s">
        <v>277</v>
      </c>
      <c r="B91" s="1" t="s">
        <v>305</v>
      </c>
      <c r="C91" s="1" t="s">
        <v>374</v>
      </c>
      <c r="D91" s="1">
        <f>FIND("-",aoc_02_input[[#This Row],[InputNumbers]])</f>
        <v>2</v>
      </c>
      <c r="E91" s="1">
        <f>_xlfn.NUMBERVALUE(LEFT(aoc_02_input[[#This Row],[InputNumbers]],aoc_02_input[[#This Row],[PosDash]]-1))</f>
        <v>7</v>
      </c>
      <c r="F91" s="1">
        <f>_xlfn.NUMBERVALUE(MID(aoc_02_input[[#This Row],[InputNumbers]],aoc_02_input[[#This Row],[PosDash]]+1,5))</f>
        <v>12</v>
      </c>
      <c r="G91" s="1" t="str">
        <f>LEFT(aoc_02_input[[#This Row],[InputChar]],1)</f>
        <v>s</v>
      </c>
      <c r="H91" s="1" cm="1">
        <f t="array" ref="H91">CountChar(aoc_02_input[[#This Row],[Password]],aoc_02_input[[#This Row],[Char]])</f>
        <v>17</v>
      </c>
      <c r="I91" s="1">
        <f>IF(AND(aoc_02_input[[#This Row],[Int1]]&lt;=aoc_02_input[[#This Row],[CountOfChar]],aoc_02_input[[#This Row],[CountOfChar]]&lt;=aoc_02_input[[#This Row],[Int2]]),1,0)</f>
        <v>0</v>
      </c>
      <c r="J91" s="1" t="str">
        <f>MID(aoc_02_input[[#This Row],[Password]],aoc_02_input[[#This Row],[Int1]],1)</f>
        <v>t</v>
      </c>
      <c r="K91" s="1">
        <f>IF(aoc_02_input[[#This Row],[Pos1]]=aoc_02_input[[#This Row],[Char]],1,0)</f>
        <v>0</v>
      </c>
      <c r="L91" s="1" t="str">
        <f>MID(aoc_02_input[[#This Row],[Password]],aoc_02_input[[#This Row],[Int2]],1)</f>
        <v>s</v>
      </c>
      <c r="M91" s="1">
        <f>IF(aoc_02_input[[#This Row],[Pos2]]=aoc_02_input[[#This Row],[Char]],1,0)</f>
        <v>1</v>
      </c>
      <c r="N91" s="1">
        <f>IF(aoc_02_input[[#This Row],[Pos1Valid]]&lt;&gt;aoc_02_input[[#This Row],[Pos2Valid]],1,0)</f>
        <v>1</v>
      </c>
    </row>
    <row r="92" spans="1:14" x14ac:dyDescent="0.45">
      <c r="A92" s="1" t="s">
        <v>375</v>
      </c>
      <c r="B92" s="1" t="s">
        <v>314</v>
      </c>
      <c r="C92" s="1" t="s">
        <v>376</v>
      </c>
      <c r="D92" s="1">
        <f>FIND("-",aoc_02_input[[#This Row],[InputNumbers]])</f>
        <v>2</v>
      </c>
      <c r="E92" s="1">
        <f>_xlfn.NUMBERVALUE(LEFT(aoc_02_input[[#This Row],[InputNumbers]],aoc_02_input[[#This Row],[PosDash]]-1))</f>
        <v>3</v>
      </c>
      <c r="F92" s="1">
        <f>_xlfn.NUMBERVALUE(MID(aoc_02_input[[#This Row],[InputNumbers]],aoc_02_input[[#This Row],[PosDash]]+1,5))</f>
        <v>13</v>
      </c>
      <c r="G92" s="1" t="str">
        <f>LEFT(aoc_02_input[[#This Row],[InputChar]],1)</f>
        <v>h</v>
      </c>
      <c r="H92" s="1" cm="1">
        <f t="array" ref="H92">CountChar(aoc_02_input[[#This Row],[Password]],aoc_02_input[[#This Row],[Char]])</f>
        <v>6</v>
      </c>
      <c r="I92" s="1">
        <f>IF(AND(aoc_02_input[[#This Row],[Int1]]&lt;=aoc_02_input[[#This Row],[CountOfChar]],aoc_02_input[[#This Row],[CountOfChar]]&lt;=aoc_02_input[[#This Row],[Int2]]),1,0)</f>
        <v>1</v>
      </c>
      <c r="J92" s="1" t="str">
        <f>MID(aoc_02_input[[#This Row],[Password]],aoc_02_input[[#This Row],[Int1]],1)</f>
        <v>h</v>
      </c>
      <c r="K92" s="1">
        <f>IF(aoc_02_input[[#This Row],[Pos1]]=aoc_02_input[[#This Row],[Char]],1,0)</f>
        <v>1</v>
      </c>
      <c r="L92" s="1" t="str">
        <f>MID(aoc_02_input[[#This Row],[Password]],aoc_02_input[[#This Row],[Int2]],1)</f>
        <v>q</v>
      </c>
      <c r="M92" s="1">
        <f>IF(aoc_02_input[[#This Row],[Pos2]]=aoc_02_input[[#This Row],[Char]],1,0)</f>
        <v>0</v>
      </c>
      <c r="N92" s="1">
        <f>IF(aoc_02_input[[#This Row],[Pos1Valid]]&lt;&gt;aoc_02_input[[#This Row],[Pos2Valid]],1,0)</f>
        <v>1</v>
      </c>
    </row>
    <row r="93" spans="1:14" x14ac:dyDescent="0.45">
      <c r="A93" s="1" t="s">
        <v>240</v>
      </c>
      <c r="B93" s="1" t="s">
        <v>235</v>
      </c>
      <c r="C93" s="1" t="s">
        <v>377</v>
      </c>
      <c r="D93" s="1">
        <f>FIND("-",aoc_02_input[[#This Row],[InputNumbers]])</f>
        <v>3</v>
      </c>
      <c r="E93" s="1">
        <f>_xlfn.NUMBERVALUE(LEFT(aoc_02_input[[#This Row],[InputNumbers]],aoc_02_input[[#This Row],[PosDash]]-1))</f>
        <v>12</v>
      </c>
      <c r="F93" s="1">
        <f>_xlfn.NUMBERVALUE(MID(aoc_02_input[[#This Row],[InputNumbers]],aoc_02_input[[#This Row],[PosDash]]+1,5))</f>
        <v>16</v>
      </c>
      <c r="G93" s="1" t="str">
        <f>LEFT(aoc_02_input[[#This Row],[InputChar]],1)</f>
        <v>d</v>
      </c>
      <c r="H93" s="1" cm="1">
        <f t="array" ref="H93">CountChar(aoc_02_input[[#This Row],[Password]],aoc_02_input[[#This Row],[Char]])</f>
        <v>14</v>
      </c>
      <c r="I93" s="1">
        <f>IF(AND(aoc_02_input[[#This Row],[Int1]]&lt;=aoc_02_input[[#This Row],[CountOfChar]],aoc_02_input[[#This Row],[CountOfChar]]&lt;=aoc_02_input[[#This Row],[Int2]]),1,0)</f>
        <v>1</v>
      </c>
      <c r="J93" s="1" t="str">
        <f>MID(aoc_02_input[[#This Row],[Password]],aoc_02_input[[#This Row],[Int1]],1)</f>
        <v>w</v>
      </c>
      <c r="K93" s="1">
        <f>IF(aoc_02_input[[#This Row],[Pos1]]=aoc_02_input[[#This Row],[Char]],1,0)</f>
        <v>0</v>
      </c>
      <c r="L93" s="1" t="str">
        <f>MID(aoc_02_input[[#This Row],[Password]],aoc_02_input[[#This Row],[Int2]],1)</f>
        <v>k</v>
      </c>
      <c r="M93" s="1">
        <f>IF(aoc_02_input[[#This Row],[Pos2]]=aoc_02_input[[#This Row],[Char]],1,0)</f>
        <v>0</v>
      </c>
      <c r="N93" s="1">
        <f>IF(aoc_02_input[[#This Row],[Pos1Valid]]&lt;&gt;aoc_02_input[[#This Row],[Pos2Valid]],1,0)</f>
        <v>0</v>
      </c>
    </row>
    <row r="94" spans="1:14" x14ac:dyDescent="0.45">
      <c r="A94" s="1" t="s">
        <v>378</v>
      </c>
      <c r="B94" s="1" t="s">
        <v>314</v>
      </c>
      <c r="C94" s="1" t="s">
        <v>379</v>
      </c>
      <c r="D94" s="1">
        <f>FIND("-",aoc_02_input[[#This Row],[InputNumbers]])</f>
        <v>3</v>
      </c>
      <c r="E94" s="1">
        <f>_xlfn.NUMBERVALUE(LEFT(aoc_02_input[[#This Row],[InputNumbers]],aoc_02_input[[#This Row],[PosDash]]-1))</f>
        <v>18</v>
      </c>
      <c r="F94" s="1">
        <f>_xlfn.NUMBERVALUE(MID(aoc_02_input[[#This Row],[InputNumbers]],aoc_02_input[[#This Row],[PosDash]]+1,5))</f>
        <v>19</v>
      </c>
      <c r="G94" s="1" t="str">
        <f>LEFT(aoc_02_input[[#This Row],[InputChar]],1)</f>
        <v>h</v>
      </c>
      <c r="H94" s="1" cm="1">
        <f t="array" ref="H94">CountChar(aoc_02_input[[#This Row],[Password]],aoc_02_input[[#This Row],[Char]])</f>
        <v>19</v>
      </c>
      <c r="I94" s="1">
        <f>IF(AND(aoc_02_input[[#This Row],[Int1]]&lt;=aoc_02_input[[#This Row],[CountOfChar]],aoc_02_input[[#This Row],[CountOfChar]]&lt;=aoc_02_input[[#This Row],[Int2]]),1,0)</f>
        <v>1</v>
      </c>
      <c r="J94" s="1" t="str">
        <f>MID(aoc_02_input[[#This Row],[Password]],aoc_02_input[[#This Row],[Int1]],1)</f>
        <v>h</v>
      </c>
      <c r="K94" s="1">
        <f>IF(aoc_02_input[[#This Row],[Pos1]]=aoc_02_input[[#This Row],[Char]],1,0)</f>
        <v>1</v>
      </c>
      <c r="L94" s="1" t="str">
        <f>MID(aoc_02_input[[#This Row],[Password]],aoc_02_input[[#This Row],[Int2]],1)</f>
        <v>h</v>
      </c>
      <c r="M94" s="1">
        <f>IF(aoc_02_input[[#This Row],[Pos2]]=aoc_02_input[[#This Row],[Char]],1,0)</f>
        <v>1</v>
      </c>
      <c r="N94" s="1">
        <f>IF(aoc_02_input[[#This Row],[Pos1Valid]]&lt;&gt;aoc_02_input[[#This Row],[Pos2Valid]],1,0)</f>
        <v>0</v>
      </c>
    </row>
    <row r="95" spans="1:14" x14ac:dyDescent="0.45">
      <c r="A95" s="1" t="s">
        <v>380</v>
      </c>
      <c r="B95" s="1" t="s">
        <v>219</v>
      </c>
      <c r="C95" s="1" t="s">
        <v>381</v>
      </c>
      <c r="D95" s="1">
        <f>FIND("-",aoc_02_input[[#This Row],[InputNumbers]])</f>
        <v>2</v>
      </c>
      <c r="E95" s="1">
        <f>_xlfn.NUMBERVALUE(LEFT(aoc_02_input[[#This Row],[InputNumbers]],aoc_02_input[[#This Row],[PosDash]]-1))</f>
        <v>3</v>
      </c>
      <c r="F95" s="1">
        <f>_xlfn.NUMBERVALUE(MID(aoc_02_input[[#This Row],[InputNumbers]],aoc_02_input[[#This Row],[PosDash]]+1,5))</f>
        <v>7</v>
      </c>
      <c r="G95" s="1" t="str">
        <f>LEFT(aoc_02_input[[#This Row],[InputChar]],1)</f>
        <v>g</v>
      </c>
      <c r="H95" s="1" cm="1">
        <f t="array" ref="H95">CountChar(aoc_02_input[[#This Row],[Password]],aoc_02_input[[#This Row],[Char]])</f>
        <v>6</v>
      </c>
      <c r="I95" s="1">
        <f>IF(AND(aoc_02_input[[#This Row],[Int1]]&lt;=aoc_02_input[[#This Row],[CountOfChar]],aoc_02_input[[#This Row],[CountOfChar]]&lt;=aoc_02_input[[#This Row],[Int2]]),1,0)</f>
        <v>1</v>
      </c>
      <c r="J95" s="1" t="str">
        <f>MID(aoc_02_input[[#This Row],[Password]],aoc_02_input[[#This Row],[Int1]],1)</f>
        <v>g</v>
      </c>
      <c r="K95" s="1">
        <f>IF(aoc_02_input[[#This Row],[Pos1]]=aoc_02_input[[#This Row],[Char]],1,0)</f>
        <v>1</v>
      </c>
      <c r="L95" s="1" t="str">
        <f>MID(aoc_02_input[[#This Row],[Password]],aoc_02_input[[#This Row],[Int2]],1)</f>
        <v>g</v>
      </c>
      <c r="M95" s="1">
        <f>IF(aoc_02_input[[#This Row],[Pos2]]=aoc_02_input[[#This Row],[Char]],1,0)</f>
        <v>1</v>
      </c>
      <c r="N95" s="1">
        <f>IF(aoc_02_input[[#This Row],[Pos1Valid]]&lt;&gt;aoc_02_input[[#This Row],[Pos2Valid]],1,0)</f>
        <v>0</v>
      </c>
    </row>
    <row r="96" spans="1:14" x14ac:dyDescent="0.45">
      <c r="A96" s="1" t="s">
        <v>292</v>
      </c>
      <c r="B96" s="1" t="s">
        <v>314</v>
      </c>
      <c r="C96" s="1" t="s">
        <v>382</v>
      </c>
      <c r="D96" s="1">
        <f>FIND("-",aoc_02_input[[#This Row],[InputNumbers]])</f>
        <v>2</v>
      </c>
      <c r="E96" s="1">
        <f>_xlfn.NUMBERVALUE(LEFT(aoc_02_input[[#This Row],[InputNumbers]],aoc_02_input[[#This Row],[PosDash]]-1))</f>
        <v>7</v>
      </c>
      <c r="F96" s="1">
        <f>_xlfn.NUMBERVALUE(MID(aoc_02_input[[#This Row],[InputNumbers]],aoc_02_input[[#This Row],[PosDash]]+1,5))</f>
        <v>9</v>
      </c>
      <c r="G96" s="1" t="str">
        <f>LEFT(aoc_02_input[[#This Row],[InputChar]],1)</f>
        <v>h</v>
      </c>
      <c r="H96" s="1" cm="1">
        <f t="array" ref="H96">CountChar(aoc_02_input[[#This Row],[Password]],aoc_02_input[[#This Row],[Char]])</f>
        <v>9</v>
      </c>
      <c r="I96" s="1">
        <f>IF(AND(aoc_02_input[[#This Row],[Int1]]&lt;=aoc_02_input[[#This Row],[CountOfChar]],aoc_02_input[[#This Row],[CountOfChar]]&lt;=aoc_02_input[[#This Row],[Int2]]),1,0)</f>
        <v>1</v>
      </c>
      <c r="J96" s="1" t="str">
        <f>MID(aoc_02_input[[#This Row],[Password]],aoc_02_input[[#This Row],[Int1]],1)</f>
        <v>p</v>
      </c>
      <c r="K96" s="1">
        <f>IF(aoc_02_input[[#This Row],[Pos1]]=aoc_02_input[[#This Row],[Char]],1,0)</f>
        <v>0</v>
      </c>
      <c r="L96" s="1" t="str">
        <f>MID(aoc_02_input[[#This Row],[Password]],aoc_02_input[[#This Row],[Int2]],1)</f>
        <v>h</v>
      </c>
      <c r="M96" s="1">
        <f>IF(aoc_02_input[[#This Row],[Pos2]]=aoc_02_input[[#This Row],[Char]],1,0)</f>
        <v>1</v>
      </c>
      <c r="N96" s="1">
        <f>IF(aoc_02_input[[#This Row],[Pos1Valid]]&lt;&gt;aoc_02_input[[#This Row],[Pos2Valid]],1,0)</f>
        <v>1</v>
      </c>
    </row>
    <row r="97" spans="1:14" x14ac:dyDescent="0.45">
      <c r="A97" s="1" t="s">
        <v>320</v>
      </c>
      <c r="B97" s="1" t="s">
        <v>243</v>
      </c>
      <c r="C97" s="1" t="s">
        <v>383</v>
      </c>
      <c r="D97" s="1">
        <f>FIND("-",aoc_02_input[[#This Row],[InputNumbers]])</f>
        <v>2</v>
      </c>
      <c r="E97" s="1">
        <f>_xlfn.NUMBERVALUE(LEFT(aoc_02_input[[#This Row],[InputNumbers]],aoc_02_input[[#This Row],[PosDash]]-1))</f>
        <v>6</v>
      </c>
      <c r="F97" s="1">
        <f>_xlfn.NUMBERVALUE(MID(aoc_02_input[[#This Row],[InputNumbers]],aoc_02_input[[#This Row],[PosDash]]+1,5))</f>
        <v>7</v>
      </c>
      <c r="G97" s="1" t="str">
        <f>LEFT(aoc_02_input[[#This Row],[InputChar]],1)</f>
        <v>f</v>
      </c>
      <c r="H97" s="1" cm="1">
        <f t="array" ref="H97">CountChar(aoc_02_input[[#This Row],[Password]],aoc_02_input[[#This Row],[Char]])</f>
        <v>6</v>
      </c>
      <c r="I97" s="1">
        <f>IF(AND(aoc_02_input[[#This Row],[Int1]]&lt;=aoc_02_input[[#This Row],[CountOfChar]],aoc_02_input[[#This Row],[CountOfChar]]&lt;=aoc_02_input[[#This Row],[Int2]]),1,0)</f>
        <v>1</v>
      </c>
      <c r="J97" s="1" t="str">
        <f>MID(aoc_02_input[[#This Row],[Password]],aoc_02_input[[#This Row],[Int1]],1)</f>
        <v>v</v>
      </c>
      <c r="K97" s="1">
        <f>IF(aoc_02_input[[#This Row],[Pos1]]=aoc_02_input[[#This Row],[Char]],1,0)</f>
        <v>0</v>
      </c>
      <c r="L97" s="1" t="str">
        <f>MID(aoc_02_input[[#This Row],[Password]],aoc_02_input[[#This Row],[Int2]],1)</f>
        <v>g</v>
      </c>
      <c r="M97" s="1">
        <f>IF(aoc_02_input[[#This Row],[Pos2]]=aoc_02_input[[#This Row],[Char]],1,0)</f>
        <v>0</v>
      </c>
      <c r="N97" s="1">
        <f>IF(aoc_02_input[[#This Row],[Pos1Valid]]&lt;&gt;aoc_02_input[[#This Row],[Pos2Valid]],1,0)</f>
        <v>0</v>
      </c>
    </row>
    <row r="98" spans="1:14" x14ac:dyDescent="0.45">
      <c r="A98" s="1" t="s">
        <v>380</v>
      </c>
      <c r="B98" s="1" t="s">
        <v>216</v>
      </c>
      <c r="C98" s="1" t="s">
        <v>384</v>
      </c>
      <c r="D98" s="1">
        <f>FIND("-",aoc_02_input[[#This Row],[InputNumbers]])</f>
        <v>2</v>
      </c>
      <c r="E98" s="1">
        <f>_xlfn.NUMBERVALUE(LEFT(aoc_02_input[[#This Row],[InputNumbers]],aoc_02_input[[#This Row],[PosDash]]-1))</f>
        <v>3</v>
      </c>
      <c r="F98" s="1">
        <f>_xlfn.NUMBERVALUE(MID(aoc_02_input[[#This Row],[InputNumbers]],aoc_02_input[[#This Row],[PosDash]]+1,5))</f>
        <v>7</v>
      </c>
      <c r="G98" s="1" t="str">
        <f>LEFT(aoc_02_input[[#This Row],[InputChar]],1)</f>
        <v>z</v>
      </c>
      <c r="H98" s="1" cm="1">
        <f t="array" ref="H98">CountChar(aoc_02_input[[#This Row],[Password]],aoc_02_input[[#This Row],[Char]])</f>
        <v>4</v>
      </c>
      <c r="I98" s="1">
        <f>IF(AND(aoc_02_input[[#This Row],[Int1]]&lt;=aoc_02_input[[#This Row],[CountOfChar]],aoc_02_input[[#This Row],[CountOfChar]]&lt;=aoc_02_input[[#This Row],[Int2]]),1,0)</f>
        <v>1</v>
      </c>
      <c r="J98" s="1" t="str">
        <f>MID(aoc_02_input[[#This Row],[Password]],aoc_02_input[[#This Row],[Int1]],1)</f>
        <v>d</v>
      </c>
      <c r="K98" s="1">
        <f>IF(aoc_02_input[[#This Row],[Pos1]]=aoc_02_input[[#This Row],[Char]],1,0)</f>
        <v>0</v>
      </c>
      <c r="L98" s="1" t="str">
        <f>MID(aoc_02_input[[#This Row],[Password]],aoc_02_input[[#This Row],[Int2]],1)</f>
        <v>z</v>
      </c>
      <c r="M98" s="1">
        <f>IF(aoc_02_input[[#This Row],[Pos2]]=aoc_02_input[[#This Row],[Char]],1,0)</f>
        <v>1</v>
      </c>
      <c r="N98" s="1">
        <f>IF(aoc_02_input[[#This Row],[Pos1Valid]]&lt;&gt;aoc_02_input[[#This Row],[Pos2Valid]],1,0)</f>
        <v>1</v>
      </c>
    </row>
    <row r="99" spans="1:14" x14ac:dyDescent="0.45">
      <c r="A99" s="1" t="s">
        <v>385</v>
      </c>
      <c r="B99" s="1" t="s">
        <v>210</v>
      </c>
      <c r="C99" s="1" t="s">
        <v>386</v>
      </c>
      <c r="D99" s="1">
        <f>FIND("-",aoc_02_input[[#This Row],[InputNumbers]])</f>
        <v>2</v>
      </c>
      <c r="E99" s="1">
        <f>_xlfn.NUMBERVALUE(LEFT(aoc_02_input[[#This Row],[InputNumbers]],aoc_02_input[[#This Row],[PosDash]]-1))</f>
        <v>6</v>
      </c>
      <c r="F99" s="1">
        <f>_xlfn.NUMBERVALUE(MID(aoc_02_input[[#This Row],[InputNumbers]],aoc_02_input[[#This Row],[PosDash]]+1,5))</f>
        <v>14</v>
      </c>
      <c r="G99" s="1" t="str">
        <f>LEFT(aoc_02_input[[#This Row],[InputChar]],1)</f>
        <v>v</v>
      </c>
      <c r="H99" s="1" cm="1">
        <f t="array" ref="H99">CountChar(aoc_02_input[[#This Row],[Password]],aoc_02_input[[#This Row],[Char]])</f>
        <v>14</v>
      </c>
      <c r="I99" s="1">
        <f>IF(AND(aoc_02_input[[#This Row],[Int1]]&lt;=aoc_02_input[[#This Row],[CountOfChar]],aoc_02_input[[#This Row],[CountOfChar]]&lt;=aoc_02_input[[#This Row],[Int2]]),1,0)</f>
        <v>1</v>
      </c>
      <c r="J99" s="1" t="str">
        <f>MID(aoc_02_input[[#This Row],[Password]],aoc_02_input[[#This Row],[Int1]],1)</f>
        <v>v</v>
      </c>
      <c r="K99" s="1">
        <f>IF(aoc_02_input[[#This Row],[Pos1]]=aoc_02_input[[#This Row],[Char]],1,0)</f>
        <v>1</v>
      </c>
      <c r="L99" s="1" t="str">
        <f>MID(aoc_02_input[[#This Row],[Password]],aoc_02_input[[#This Row],[Int2]],1)</f>
        <v>w</v>
      </c>
      <c r="M99" s="1">
        <f>IF(aoc_02_input[[#This Row],[Pos2]]=aoc_02_input[[#This Row],[Char]],1,0)</f>
        <v>0</v>
      </c>
      <c r="N99" s="1">
        <f>IF(aoc_02_input[[#This Row],[Pos1Valid]]&lt;&gt;aoc_02_input[[#This Row],[Pos2Valid]],1,0)</f>
        <v>1</v>
      </c>
    </row>
    <row r="100" spans="1:14" x14ac:dyDescent="0.45">
      <c r="A100" s="1" t="s">
        <v>324</v>
      </c>
      <c r="B100" s="1" t="s">
        <v>305</v>
      </c>
      <c r="C100" s="1" t="s">
        <v>387</v>
      </c>
      <c r="D100" s="1">
        <f>FIND("-",aoc_02_input[[#This Row],[InputNumbers]])</f>
        <v>2</v>
      </c>
      <c r="E100" s="1">
        <f>_xlfn.NUMBERVALUE(LEFT(aoc_02_input[[#This Row],[InputNumbers]],aoc_02_input[[#This Row],[PosDash]]-1))</f>
        <v>1</v>
      </c>
      <c r="F100" s="1">
        <f>_xlfn.NUMBERVALUE(MID(aoc_02_input[[#This Row],[InputNumbers]],aoc_02_input[[#This Row],[PosDash]]+1,5))</f>
        <v>3</v>
      </c>
      <c r="G100" s="1" t="str">
        <f>LEFT(aoc_02_input[[#This Row],[InputChar]],1)</f>
        <v>s</v>
      </c>
      <c r="H100" s="1" cm="1">
        <f t="array" ref="H100">CountChar(aoc_02_input[[#This Row],[Password]],aoc_02_input[[#This Row],[Char]])</f>
        <v>2</v>
      </c>
      <c r="I100" s="1">
        <f>IF(AND(aoc_02_input[[#This Row],[Int1]]&lt;=aoc_02_input[[#This Row],[CountOfChar]],aoc_02_input[[#This Row],[CountOfChar]]&lt;=aoc_02_input[[#This Row],[Int2]]),1,0)</f>
        <v>1</v>
      </c>
      <c r="J100" s="1" t="str">
        <f>MID(aoc_02_input[[#This Row],[Password]],aoc_02_input[[#This Row],[Int1]],1)</f>
        <v>q</v>
      </c>
      <c r="K100" s="1">
        <f>IF(aoc_02_input[[#This Row],[Pos1]]=aoc_02_input[[#This Row],[Char]],1,0)</f>
        <v>0</v>
      </c>
      <c r="L100" s="1" t="str">
        <f>MID(aoc_02_input[[#This Row],[Password]],aoc_02_input[[#This Row],[Int2]],1)</f>
        <v>n</v>
      </c>
      <c r="M100" s="1">
        <f>IF(aoc_02_input[[#This Row],[Pos2]]=aoc_02_input[[#This Row],[Char]],1,0)</f>
        <v>0</v>
      </c>
      <c r="N100" s="1">
        <f>IF(aoc_02_input[[#This Row],[Pos1Valid]]&lt;&gt;aoc_02_input[[#This Row],[Pos2Valid]],1,0)</f>
        <v>0</v>
      </c>
    </row>
    <row r="101" spans="1:14" x14ac:dyDescent="0.45">
      <c r="A101" s="1" t="s">
        <v>290</v>
      </c>
      <c r="B101" s="1" t="s">
        <v>207</v>
      </c>
      <c r="C101" s="1" t="s">
        <v>388</v>
      </c>
      <c r="D101" s="1">
        <f>FIND("-",aoc_02_input[[#This Row],[InputNumbers]])</f>
        <v>2</v>
      </c>
      <c r="E101" s="1">
        <f>_xlfn.NUMBERVALUE(LEFT(aoc_02_input[[#This Row],[InputNumbers]],aoc_02_input[[#This Row],[PosDash]]-1))</f>
        <v>8</v>
      </c>
      <c r="F101" s="1">
        <f>_xlfn.NUMBERVALUE(MID(aoc_02_input[[#This Row],[InputNumbers]],aoc_02_input[[#This Row],[PosDash]]+1,5))</f>
        <v>10</v>
      </c>
      <c r="G101" s="1" t="str">
        <f>LEFT(aoc_02_input[[#This Row],[InputChar]],1)</f>
        <v>b</v>
      </c>
      <c r="H101" s="1" cm="1">
        <f t="array" ref="H101">CountChar(aoc_02_input[[#This Row],[Password]],aoc_02_input[[#This Row],[Char]])</f>
        <v>6</v>
      </c>
      <c r="I101" s="1">
        <f>IF(AND(aoc_02_input[[#This Row],[Int1]]&lt;=aoc_02_input[[#This Row],[CountOfChar]],aoc_02_input[[#This Row],[CountOfChar]]&lt;=aoc_02_input[[#This Row],[Int2]]),1,0)</f>
        <v>0</v>
      </c>
      <c r="J101" s="1" t="str">
        <f>MID(aoc_02_input[[#This Row],[Password]],aoc_02_input[[#This Row],[Int1]],1)</f>
        <v>p</v>
      </c>
      <c r="K101" s="1">
        <f>IF(aoc_02_input[[#This Row],[Pos1]]=aoc_02_input[[#This Row],[Char]],1,0)</f>
        <v>0</v>
      </c>
      <c r="L101" s="1" t="str">
        <f>MID(aoc_02_input[[#This Row],[Password]],aoc_02_input[[#This Row],[Int2]],1)</f>
        <v>b</v>
      </c>
      <c r="M101" s="1">
        <f>IF(aoc_02_input[[#This Row],[Pos2]]=aoc_02_input[[#This Row],[Char]],1,0)</f>
        <v>1</v>
      </c>
      <c r="N101" s="1">
        <f>IF(aoc_02_input[[#This Row],[Pos1Valid]]&lt;&gt;aoc_02_input[[#This Row],[Pos2Valid]],1,0)</f>
        <v>1</v>
      </c>
    </row>
    <row r="102" spans="1:14" x14ac:dyDescent="0.45">
      <c r="A102" s="1" t="s">
        <v>389</v>
      </c>
      <c r="B102" s="1" t="s">
        <v>225</v>
      </c>
      <c r="C102" s="1" t="s">
        <v>390</v>
      </c>
      <c r="D102" s="1">
        <f>FIND("-",aoc_02_input[[#This Row],[InputNumbers]])</f>
        <v>3</v>
      </c>
      <c r="E102" s="1">
        <f>_xlfn.NUMBERVALUE(LEFT(aoc_02_input[[#This Row],[InputNumbers]],aoc_02_input[[#This Row],[PosDash]]-1))</f>
        <v>10</v>
      </c>
      <c r="F102" s="1">
        <f>_xlfn.NUMBERVALUE(MID(aoc_02_input[[#This Row],[InputNumbers]],aoc_02_input[[#This Row],[PosDash]]+1,5))</f>
        <v>18</v>
      </c>
      <c r="G102" s="1" t="str">
        <f>LEFT(aoc_02_input[[#This Row],[InputChar]],1)</f>
        <v>j</v>
      </c>
      <c r="H102" s="1" cm="1">
        <f t="array" ref="H102">CountChar(aoc_02_input[[#This Row],[Password]],aoc_02_input[[#This Row],[Char]])</f>
        <v>7</v>
      </c>
      <c r="I102" s="1">
        <f>IF(AND(aoc_02_input[[#This Row],[Int1]]&lt;=aoc_02_input[[#This Row],[CountOfChar]],aoc_02_input[[#This Row],[CountOfChar]]&lt;=aoc_02_input[[#This Row],[Int2]]),1,0)</f>
        <v>0</v>
      </c>
      <c r="J102" s="1" t="str">
        <f>MID(aoc_02_input[[#This Row],[Password]],aoc_02_input[[#This Row],[Int1]],1)</f>
        <v>s</v>
      </c>
      <c r="K102" s="1">
        <f>IF(aoc_02_input[[#This Row],[Pos1]]=aoc_02_input[[#This Row],[Char]],1,0)</f>
        <v>0</v>
      </c>
      <c r="L102" s="1" t="str">
        <f>MID(aoc_02_input[[#This Row],[Password]],aoc_02_input[[#This Row],[Int2]],1)</f>
        <v>j</v>
      </c>
      <c r="M102" s="1">
        <f>IF(aoc_02_input[[#This Row],[Pos2]]=aoc_02_input[[#This Row],[Char]],1,0)</f>
        <v>1</v>
      </c>
      <c r="N102" s="1">
        <f>IF(aoc_02_input[[#This Row],[Pos1Valid]]&lt;&gt;aoc_02_input[[#This Row],[Pos2Valid]],1,0)</f>
        <v>1</v>
      </c>
    </row>
    <row r="103" spans="1:14" x14ac:dyDescent="0.45">
      <c r="A103" s="1" t="s">
        <v>271</v>
      </c>
      <c r="B103" s="1" t="s">
        <v>252</v>
      </c>
      <c r="C103" s="1" t="s">
        <v>391</v>
      </c>
      <c r="D103" s="1">
        <f>FIND("-",aoc_02_input[[#This Row],[InputNumbers]])</f>
        <v>2</v>
      </c>
      <c r="E103" s="1">
        <f>_xlfn.NUMBERVALUE(LEFT(aoc_02_input[[#This Row],[InputNumbers]],aoc_02_input[[#This Row],[PosDash]]-1))</f>
        <v>9</v>
      </c>
      <c r="F103" s="1">
        <f>_xlfn.NUMBERVALUE(MID(aoc_02_input[[#This Row],[InputNumbers]],aoc_02_input[[#This Row],[PosDash]]+1,5))</f>
        <v>10</v>
      </c>
      <c r="G103" s="1" t="str">
        <f>LEFT(aoc_02_input[[#This Row],[InputChar]],1)</f>
        <v>p</v>
      </c>
      <c r="H103" s="1" cm="1">
        <f t="array" ref="H103">CountChar(aoc_02_input[[#This Row],[Password]],aoc_02_input[[#This Row],[Char]])</f>
        <v>11</v>
      </c>
      <c r="I103" s="1">
        <f>IF(AND(aoc_02_input[[#This Row],[Int1]]&lt;=aoc_02_input[[#This Row],[CountOfChar]],aoc_02_input[[#This Row],[CountOfChar]]&lt;=aoc_02_input[[#This Row],[Int2]]),1,0)</f>
        <v>0</v>
      </c>
      <c r="J103" s="1" t="str">
        <f>MID(aoc_02_input[[#This Row],[Password]],aoc_02_input[[#This Row],[Int1]],1)</f>
        <v>p</v>
      </c>
      <c r="K103" s="1">
        <f>IF(aoc_02_input[[#This Row],[Pos1]]=aoc_02_input[[#This Row],[Char]],1,0)</f>
        <v>1</v>
      </c>
      <c r="L103" s="1" t="str">
        <f>MID(aoc_02_input[[#This Row],[Password]],aoc_02_input[[#This Row],[Int2]],1)</f>
        <v>p</v>
      </c>
      <c r="M103" s="1">
        <f>IF(aoc_02_input[[#This Row],[Pos2]]=aoc_02_input[[#This Row],[Char]],1,0)</f>
        <v>1</v>
      </c>
      <c r="N103" s="1">
        <f>IF(aoc_02_input[[#This Row],[Pos1Valid]]&lt;&gt;aoc_02_input[[#This Row],[Pos2Valid]],1,0)</f>
        <v>0</v>
      </c>
    </row>
    <row r="104" spans="1:14" x14ac:dyDescent="0.45">
      <c r="A104" s="1" t="s">
        <v>392</v>
      </c>
      <c r="B104" s="1" t="s">
        <v>228</v>
      </c>
      <c r="C104" s="1" t="s">
        <v>393</v>
      </c>
      <c r="D104" s="1">
        <f>FIND("-",aoc_02_input[[#This Row],[InputNumbers]])</f>
        <v>2</v>
      </c>
      <c r="E104" s="1">
        <f>_xlfn.NUMBERVALUE(LEFT(aoc_02_input[[#This Row],[InputNumbers]],aoc_02_input[[#This Row],[PosDash]]-1))</f>
        <v>8</v>
      </c>
      <c r="F104" s="1">
        <f>_xlfn.NUMBERVALUE(MID(aoc_02_input[[#This Row],[InputNumbers]],aoc_02_input[[#This Row],[PosDash]]+1,5))</f>
        <v>9</v>
      </c>
      <c r="G104" s="1" t="str">
        <f>LEFT(aoc_02_input[[#This Row],[InputChar]],1)</f>
        <v>t</v>
      </c>
      <c r="H104" s="1" cm="1">
        <f t="array" ref="H104">CountChar(aoc_02_input[[#This Row],[Password]],aoc_02_input[[#This Row],[Char]])</f>
        <v>8</v>
      </c>
      <c r="I104" s="1">
        <f>IF(AND(aoc_02_input[[#This Row],[Int1]]&lt;=aoc_02_input[[#This Row],[CountOfChar]],aoc_02_input[[#This Row],[CountOfChar]]&lt;=aoc_02_input[[#This Row],[Int2]]),1,0)</f>
        <v>1</v>
      </c>
      <c r="J104" s="1" t="str">
        <f>MID(aoc_02_input[[#This Row],[Password]],aoc_02_input[[#This Row],[Int1]],1)</f>
        <v>n</v>
      </c>
      <c r="K104" s="1">
        <f>IF(aoc_02_input[[#This Row],[Pos1]]=aoc_02_input[[#This Row],[Char]],1,0)</f>
        <v>0</v>
      </c>
      <c r="L104" s="1" t="str">
        <f>MID(aoc_02_input[[#This Row],[Password]],aoc_02_input[[#This Row],[Int2]],1)</f>
        <v>t</v>
      </c>
      <c r="M104" s="1">
        <f>IF(aoc_02_input[[#This Row],[Pos2]]=aoc_02_input[[#This Row],[Char]],1,0)</f>
        <v>1</v>
      </c>
      <c r="N104" s="1">
        <f>IF(aoc_02_input[[#This Row],[Pos1Valid]]&lt;&gt;aoc_02_input[[#This Row],[Pos2Valid]],1,0)</f>
        <v>1</v>
      </c>
    </row>
    <row r="105" spans="1:14" x14ac:dyDescent="0.45">
      <c r="A105" s="1" t="s">
        <v>394</v>
      </c>
      <c r="B105" s="1" t="s">
        <v>228</v>
      </c>
      <c r="C105" s="1" t="s">
        <v>395</v>
      </c>
      <c r="D105" s="1">
        <f>FIND("-",aoc_02_input[[#This Row],[InputNumbers]])</f>
        <v>2</v>
      </c>
      <c r="E105" s="1">
        <f>_xlfn.NUMBERVALUE(LEFT(aoc_02_input[[#This Row],[InputNumbers]],aoc_02_input[[#This Row],[PosDash]]-1))</f>
        <v>4</v>
      </c>
      <c r="F105" s="1">
        <f>_xlfn.NUMBERVALUE(MID(aoc_02_input[[#This Row],[InputNumbers]],aoc_02_input[[#This Row],[PosDash]]+1,5))</f>
        <v>7</v>
      </c>
      <c r="G105" s="1" t="str">
        <f>LEFT(aoc_02_input[[#This Row],[InputChar]],1)</f>
        <v>t</v>
      </c>
      <c r="H105" s="1" cm="1">
        <f t="array" ref="H105">CountChar(aoc_02_input[[#This Row],[Password]],aoc_02_input[[#This Row],[Char]])</f>
        <v>3</v>
      </c>
      <c r="I105" s="1">
        <f>IF(AND(aoc_02_input[[#This Row],[Int1]]&lt;=aoc_02_input[[#This Row],[CountOfChar]],aoc_02_input[[#This Row],[CountOfChar]]&lt;=aoc_02_input[[#This Row],[Int2]]),1,0)</f>
        <v>0</v>
      </c>
      <c r="J105" s="1" t="str">
        <f>MID(aoc_02_input[[#This Row],[Password]],aoc_02_input[[#This Row],[Int1]],1)</f>
        <v>t</v>
      </c>
      <c r="K105" s="1">
        <f>IF(aoc_02_input[[#This Row],[Pos1]]=aoc_02_input[[#This Row],[Char]],1,0)</f>
        <v>1</v>
      </c>
      <c r="L105" s="1" t="str">
        <f>MID(aoc_02_input[[#This Row],[Password]],aoc_02_input[[#This Row],[Int2]],1)</f>
        <v>t</v>
      </c>
      <c r="M105" s="1">
        <f>IF(aoc_02_input[[#This Row],[Pos2]]=aoc_02_input[[#This Row],[Char]],1,0)</f>
        <v>1</v>
      </c>
      <c r="N105" s="1">
        <f>IF(aoc_02_input[[#This Row],[Pos1Valid]]&lt;&gt;aoc_02_input[[#This Row],[Pos2Valid]],1,0)</f>
        <v>0</v>
      </c>
    </row>
    <row r="106" spans="1:14" x14ac:dyDescent="0.45">
      <c r="A106" s="1" t="s">
        <v>316</v>
      </c>
      <c r="B106" s="1" t="s">
        <v>238</v>
      </c>
      <c r="C106" s="1" t="s">
        <v>396</v>
      </c>
      <c r="D106" s="1">
        <f>FIND("-",aoc_02_input[[#This Row],[InputNumbers]])</f>
        <v>2</v>
      </c>
      <c r="E106" s="1">
        <f>_xlfn.NUMBERVALUE(LEFT(aoc_02_input[[#This Row],[InputNumbers]],aoc_02_input[[#This Row],[PosDash]]-1))</f>
        <v>1</v>
      </c>
      <c r="F106" s="1">
        <f>_xlfn.NUMBERVALUE(MID(aoc_02_input[[#This Row],[InputNumbers]],aoc_02_input[[#This Row],[PosDash]]+1,5))</f>
        <v>6</v>
      </c>
      <c r="G106" s="1" t="str">
        <f>LEFT(aoc_02_input[[#This Row],[InputChar]],1)</f>
        <v>w</v>
      </c>
      <c r="H106" s="1" cm="1">
        <f t="array" ref="H106">CountChar(aoc_02_input[[#This Row],[Password]],aoc_02_input[[#This Row],[Char]])</f>
        <v>5</v>
      </c>
      <c r="I106" s="1">
        <f>IF(AND(aoc_02_input[[#This Row],[Int1]]&lt;=aoc_02_input[[#This Row],[CountOfChar]],aoc_02_input[[#This Row],[CountOfChar]]&lt;=aoc_02_input[[#This Row],[Int2]]),1,0)</f>
        <v>1</v>
      </c>
      <c r="J106" s="1" t="str">
        <f>MID(aoc_02_input[[#This Row],[Password]],aoc_02_input[[#This Row],[Int1]],1)</f>
        <v>r</v>
      </c>
      <c r="K106" s="1">
        <f>IF(aoc_02_input[[#This Row],[Pos1]]=aoc_02_input[[#This Row],[Char]],1,0)</f>
        <v>0</v>
      </c>
      <c r="L106" s="1" t="str">
        <f>MID(aoc_02_input[[#This Row],[Password]],aoc_02_input[[#This Row],[Int2]],1)</f>
        <v>c</v>
      </c>
      <c r="M106" s="1">
        <f>IF(aoc_02_input[[#This Row],[Pos2]]=aoc_02_input[[#This Row],[Char]],1,0)</f>
        <v>0</v>
      </c>
      <c r="N106" s="1">
        <f>IF(aoc_02_input[[#This Row],[Pos1Valid]]&lt;&gt;aoc_02_input[[#This Row],[Pos2Valid]],1,0)</f>
        <v>0</v>
      </c>
    </row>
    <row r="107" spans="1:14" x14ac:dyDescent="0.45">
      <c r="A107" s="1" t="s">
        <v>392</v>
      </c>
      <c r="B107" s="1" t="s">
        <v>225</v>
      </c>
      <c r="C107" s="1" t="s">
        <v>397</v>
      </c>
      <c r="D107" s="1">
        <f>FIND("-",aoc_02_input[[#This Row],[InputNumbers]])</f>
        <v>2</v>
      </c>
      <c r="E107" s="1">
        <f>_xlfn.NUMBERVALUE(LEFT(aoc_02_input[[#This Row],[InputNumbers]],aoc_02_input[[#This Row],[PosDash]]-1))</f>
        <v>8</v>
      </c>
      <c r="F107" s="1">
        <f>_xlfn.NUMBERVALUE(MID(aoc_02_input[[#This Row],[InputNumbers]],aoc_02_input[[#This Row],[PosDash]]+1,5))</f>
        <v>9</v>
      </c>
      <c r="G107" s="1" t="str">
        <f>LEFT(aoc_02_input[[#This Row],[InputChar]],1)</f>
        <v>j</v>
      </c>
      <c r="H107" s="1" cm="1">
        <f t="array" ref="H107">CountChar(aoc_02_input[[#This Row],[Password]],aoc_02_input[[#This Row],[Char]])</f>
        <v>7</v>
      </c>
      <c r="I107" s="1">
        <f>IF(AND(aoc_02_input[[#This Row],[Int1]]&lt;=aoc_02_input[[#This Row],[CountOfChar]],aoc_02_input[[#This Row],[CountOfChar]]&lt;=aoc_02_input[[#This Row],[Int2]]),1,0)</f>
        <v>0</v>
      </c>
      <c r="J107" s="1" t="str">
        <f>MID(aoc_02_input[[#This Row],[Password]],aoc_02_input[[#This Row],[Int1]],1)</f>
        <v>h</v>
      </c>
      <c r="K107" s="1">
        <f>IF(aoc_02_input[[#This Row],[Pos1]]=aoc_02_input[[#This Row],[Char]],1,0)</f>
        <v>0</v>
      </c>
      <c r="L107" s="1" t="str">
        <f>MID(aoc_02_input[[#This Row],[Password]],aoc_02_input[[#This Row],[Int2]],1)</f>
        <v>m</v>
      </c>
      <c r="M107" s="1">
        <f>IF(aoc_02_input[[#This Row],[Pos2]]=aoc_02_input[[#This Row],[Char]],1,0)</f>
        <v>0</v>
      </c>
      <c r="N107" s="1">
        <f>IF(aoc_02_input[[#This Row],[Pos1Valid]]&lt;&gt;aoc_02_input[[#This Row],[Pos2Valid]],1,0)</f>
        <v>0</v>
      </c>
    </row>
    <row r="108" spans="1:14" x14ac:dyDescent="0.45">
      <c r="A108" s="1" t="s">
        <v>365</v>
      </c>
      <c r="B108" s="1" t="s">
        <v>216</v>
      </c>
      <c r="C108" s="1" t="s">
        <v>398</v>
      </c>
      <c r="D108" s="1">
        <f>FIND("-",aoc_02_input[[#This Row],[InputNumbers]])</f>
        <v>2</v>
      </c>
      <c r="E108" s="1">
        <f>_xlfn.NUMBERVALUE(LEFT(aoc_02_input[[#This Row],[InputNumbers]],aoc_02_input[[#This Row],[PosDash]]-1))</f>
        <v>6</v>
      </c>
      <c r="F108" s="1">
        <f>_xlfn.NUMBERVALUE(MID(aoc_02_input[[#This Row],[InputNumbers]],aoc_02_input[[#This Row],[PosDash]]+1,5))</f>
        <v>9</v>
      </c>
      <c r="G108" s="1" t="str">
        <f>LEFT(aoc_02_input[[#This Row],[InputChar]],1)</f>
        <v>z</v>
      </c>
      <c r="H108" s="1" cm="1">
        <f t="array" ref="H108">CountChar(aoc_02_input[[#This Row],[Password]],aoc_02_input[[#This Row],[Char]])</f>
        <v>6</v>
      </c>
      <c r="I108" s="1">
        <f>IF(AND(aoc_02_input[[#This Row],[Int1]]&lt;=aoc_02_input[[#This Row],[CountOfChar]],aoc_02_input[[#This Row],[CountOfChar]]&lt;=aoc_02_input[[#This Row],[Int2]]),1,0)</f>
        <v>1</v>
      </c>
      <c r="J108" s="1" t="str">
        <f>MID(aoc_02_input[[#This Row],[Password]],aoc_02_input[[#This Row],[Int1]],1)</f>
        <v>z</v>
      </c>
      <c r="K108" s="1">
        <f>IF(aoc_02_input[[#This Row],[Pos1]]=aoc_02_input[[#This Row],[Char]],1,0)</f>
        <v>1</v>
      </c>
      <c r="L108" s="1" t="str">
        <f>MID(aoc_02_input[[#This Row],[Password]],aoc_02_input[[#This Row],[Int2]],1)</f>
        <v>z</v>
      </c>
      <c r="M108" s="1">
        <f>IF(aoc_02_input[[#This Row],[Pos2]]=aoc_02_input[[#This Row],[Char]],1,0)</f>
        <v>1</v>
      </c>
      <c r="N108" s="1">
        <f>IF(aoc_02_input[[#This Row],[Pos1Valid]]&lt;&gt;aoc_02_input[[#This Row],[Pos2Valid]],1,0)</f>
        <v>0</v>
      </c>
    </row>
    <row r="109" spans="1:14" x14ac:dyDescent="0.45">
      <c r="A109" s="1" t="s">
        <v>309</v>
      </c>
      <c r="B109" s="1" t="s">
        <v>278</v>
      </c>
      <c r="C109" s="1" t="s">
        <v>399</v>
      </c>
      <c r="D109" s="1">
        <f>FIND("-",aoc_02_input[[#This Row],[InputNumbers]])</f>
        <v>2</v>
      </c>
      <c r="E109" s="1">
        <f>_xlfn.NUMBERVALUE(LEFT(aoc_02_input[[#This Row],[InputNumbers]],aoc_02_input[[#This Row],[PosDash]]-1))</f>
        <v>8</v>
      </c>
      <c r="F109" s="1">
        <f>_xlfn.NUMBERVALUE(MID(aoc_02_input[[#This Row],[InputNumbers]],aoc_02_input[[#This Row],[PosDash]]+1,5))</f>
        <v>11</v>
      </c>
      <c r="G109" s="1" t="str">
        <f>LEFT(aoc_02_input[[#This Row],[InputChar]],1)</f>
        <v>x</v>
      </c>
      <c r="H109" s="1" cm="1">
        <f t="array" ref="H109">CountChar(aoc_02_input[[#This Row],[Password]],aoc_02_input[[#This Row],[Char]])</f>
        <v>5</v>
      </c>
      <c r="I109" s="1">
        <f>IF(AND(aoc_02_input[[#This Row],[Int1]]&lt;=aoc_02_input[[#This Row],[CountOfChar]],aoc_02_input[[#This Row],[CountOfChar]]&lt;=aoc_02_input[[#This Row],[Int2]]),1,0)</f>
        <v>0</v>
      </c>
      <c r="J109" s="1" t="str">
        <f>MID(aoc_02_input[[#This Row],[Password]],aoc_02_input[[#This Row],[Int1]],1)</f>
        <v>x</v>
      </c>
      <c r="K109" s="1">
        <f>IF(aoc_02_input[[#This Row],[Pos1]]=aoc_02_input[[#This Row],[Char]],1,0)</f>
        <v>1</v>
      </c>
      <c r="L109" s="1" t="str">
        <f>MID(aoc_02_input[[#This Row],[Password]],aoc_02_input[[#This Row],[Int2]],1)</f>
        <v>d</v>
      </c>
      <c r="M109" s="1">
        <f>IF(aoc_02_input[[#This Row],[Pos2]]=aoc_02_input[[#This Row],[Char]],1,0)</f>
        <v>0</v>
      </c>
      <c r="N109" s="1">
        <f>IF(aoc_02_input[[#This Row],[Pos1Valid]]&lt;&gt;aoc_02_input[[#This Row],[Pos2Valid]],1,0)</f>
        <v>1</v>
      </c>
    </row>
    <row r="110" spans="1:14" x14ac:dyDescent="0.45">
      <c r="A110" s="1" t="s">
        <v>242</v>
      </c>
      <c r="B110" s="1" t="s">
        <v>235</v>
      </c>
      <c r="C110" s="1" t="s">
        <v>400</v>
      </c>
      <c r="D110" s="1">
        <f>FIND("-",aoc_02_input[[#This Row],[InputNumbers]])</f>
        <v>3</v>
      </c>
      <c r="E110" s="1">
        <f>_xlfn.NUMBERVALUE(LEFT(aoc_02_input[[#This Row],[InputNumbers]],aoc_02_input[[#This Row],[PosDash]]-1))</f>
        <v>10</v>
      </c>
      <c r="F110" s="1">
        <f>_xlfn.NUMBERVALUE(MID(aoc_02_input[[#This Row],[InputNumbers]],aoc_02_input[[#This Row],[PosDash]]+1,5))</f>
        <v>11</v>
      </c>
      <c r="G110" s="1" t="str">
        <f>LEFT(aoc_02_input[[#This Row],[InputChar]],1)</f>
        <v>d</v>
      </c>
      <c r="H110" s="1" cm="1">
        <f t="array" ref="H110">CountChar(aoc_02_input[[#This Row],[Password]],aoc_02_input[[#This Row],[Char]])</f>
        <v>9</v>
      </c>
      <c r="I110" s="1">
        <f>IF(AND(aoc_02_input[[#This Row],[Int1]]&lt;=aoc_02_input[[#This Row],[CountOfChar]],aoc_02_input[[#This Row],[CountOfChar]]&lt;=aoc_02_input[[#This Row],[Int2]]),1,0)</f>
        <v>0</v>
      </c>
      <c r="J110" s="1" t="str">
        <f>MID(aoc_02_input[[#This Row],[Password]],aoc_02_input[[#This Row],[Int1]],1)</f>
        <v>m</v>
      </c>
      <c r="K110" s="1">
        <f>IF(aoc_02_input[[#This Row],[Pos1]]=aoc_02_input[[#This Row],[Char]],1,0)</f>
        <v>0</v>
      </c>
      <c r="L110" s="1" t="str">
        <f>MID(aoc_02_input[[#This Row],[Password]],aoc_02_input[[#This Row],[Int2]],1)</f>
        <v>d</v>
      </c>
      <c r="M110" s="1">
        <f>IF(aoc_02_input[[#This Row],[Pos2]]=aoc_02_input[[#This Row],[Char]],1,0)</f>
        <v>1</v>
      </c>
      <c r="N110" s="1">
        <f>IF(aoc_02_input[[#This Row],[Pos1Valid]]&lt;&gt;aoc_02_input[[#This Row],[Pos2Valid]],1,0)</f>
        <v>1</v>
      </c>
    </row>
    <row r="111" spans="1:14" x14ac:dyDescent="0.45">
      <c r="A111" s="1" t="s">
        <v>392</v>
      </c>
      <c r="B111" s="1" t="s">
        <v>243</v>
      </c>
      <c r="C111" s="1" t="s">
        <v>401</v>
      </c>
      <c r="D111" s="1">
        <f>FIND("-",aoc_02_input[[#This Row],[InputNumbers]])</f>
        <v>2</v>
      </c>
      <c r="E111" s="1">
        <f>_xlfn.NUMBERVALUE(LEFT(aoc_02_input[[#This Row],[InputNumbers]],aoc_02_input[[#This Row],[PosDash]]-1))</f>
        <v>8</v>
      </c>
      <c r="F111" s="1">
        <f>_xlfn.NUMBERVALUE(MID(aoc_02_input[[#This Row],[InputNumbers]],aoc_02_input[[#This Row],[PosDash]]+1,5))</f>
        <v>9</v>
      </c>
      <c r="G111" s="1" t="str">
        <f>LEFT(aoc_02_input[[#This Row],[InputChar]],1)</f>
        <v>f</v>
      </c>
      <c r="H111" s="1" cm="1">
        <f t="array" ref="H111">CountChar(aoc_02_input[[#This Row],[Password]],aoc_02_input[[#This Row],[Char]])</f>
        <v>9</v>
      </c>
      <c r="I111" s="1">
        <f>IF(AND(aoc_02_input[[#This Row],[Int1]]&lt;=aoc_02_input[[#This Row],[CountOfChar]],aoc_02_input[[#This Row],[CountOfChar]]&lt;=aoc_02_input[[#This Row],[Int2]]),1,0)</f>
        <v>1</v>
      </c>
      <c r="J111" s="1" t="str">
        <f>MID(aoc_02_input[[#This Row],[Password]],aoc_02_input[[#This Row],[Int1]],1)</f>
        <v>f</v>
      </c>
      <c r="K111" s="1">
        <f>IF(aoc_02_input[[#This Row],[Pos1]]=aoc_02_input[[#This Row],[Char]],1,0)</f>
        <v>1</v>
      </c>
      <c r="L111" s="1" t="str">
        <f>MID(aoc_02_input[[#This Row],[Password]],aoc_02_input[[#This Row],[Int2]],1)</f>
        <v>f</v>
      </c>
      <c r="M111" s="1">
        <f>IF(aoc_02_input[[#This Row],[Pos2]]=aoc_02_input[[#This Row],[Char]],1,0)</f>
        <v>1</v>
      </c>
      <c r="N111" s="1">
        <f>IF(aoc_02_input[[#This Row],[Pos1Valid]]&lt;&gt;aoc_02_input[[#This Row],[Pos2Valid]],1,0)</f>
        <v>0</v>
      </c>
    </row>
    <row r="112" spans="1:14" x14ac:dyDescent="0.45">
      <c r="A112" s="1" t="s">
        <v>392</v>
      </c>
      <c r="B112" s="1" t="s">
        <v>246</v>
      </c>
      <c r="C112" s="1" t="s">
        <v>402</v>
      </c>
      <c r="D112" s="1">
        <f>FIND("-",aoc_02_input[[#This Row],[InputNumbers]])</f>
        <v>2</v>
      </c>
      <c r="E112" s="1">
        <f>_xlfn.NUMBERVALUE(LEFT(aoc_02_input[[#This Row],[InputNumbers]],aoc_02_input[[#This Row],[PosDash]]-1))</f>
        <v>8</v>
      </c>
      <c r="F112" s="1">
        <f>_xlfn.NUMBERVALUE(MID(aoc_02_input[[#This Row],[InputNumbers]],aoc_02_input[[#This Row],[PosDash]]+1,5))</f>
        <v>9</v>
      </c>
      <c r="G112" s="1" t="str">
        <f>LEFT(aoc_02_input[[#This Row],[InputChar]],1)</f>
        <v>n</v>
      </c>
      <c r="H112" s="1" cm="1">
        <f t="array" ref="H112">CountChar(aoc_02_input[[#This Row],[Password]],aoc_02_input[[#This Row],[Char]])</f>
        <v>9</v>
      </c>
      <c r="I112" s="1">
        <f>IF(AND(aoc_02_input[[#This Row],[Int1]]&lt;=aoc_02_input[[#This Row],[CountOfChar]],aoc_02_input[[#This Row],[CountOfChar]]&lt;=aoc_02_input[[#This Row],[Int2]]),1,0)</f>
        <v>1</v>
      </c>
      <c r="J112" s="1" t="str">
        <f>MID(aoc_02_input[[#This Row],[Password]],aoc_02_input[[#This Row],[Int1]],1)</f>
        <v>n</v>
      </c>
      <c r="K112" s="1">
        <f>IF(aoc_02_input[[#This Row],[Pos1]]=aoc_02_input[[#This Row],[Char]],1,0)</f>
        <v>1</v>
      </c>
      <c r="L112" s="1" t="str">
        <f>MID(aoc_02_input[[#This Row],[Password]],aoc_02_input[[#This Row],[Int2]],1)</f>
        <v>n</v>
      </c>
      <c r="M112" s="1">
        <f>IF(aoc_02_input[[#This Row],[Pos2]]=aoc_02_input[[#This Row],[Char]],1,0)</f>
        <v>1</v>
      </c>
      <c r="N112" s="1">
        <f>IF(aoc_02_input[[#This Row],[Pos1Valid]]&lt;&gt;aoc_02_input[[#This Row],[Pos2Valid]],1,0)</f>
        <v>0</v>
      </c>
    </row>
    <row r="113" spans="1:14" x14ac:dyDescent="0.45">
      <c r="A113" s="1" t="s">
        <v>283</v>
      </c>
      <c r="B113" s="1" t="s">
        <v>246</v>
      </c>
      <c r="C113" s="1" t="s">
        <v>403</v>
      </c>
      <c r="D113" s="1">
        <f>FIND("-",aoc_02_input[[#This Row],[InputNumbers]])</f>
        <v>2</v>
      </c>
      <c r="E113" s="1">
        <f>_xlfn.NUMBERVALUE(LEFT(aoc_02_input[[#This Row],[InputNumbers]],aoc_02_input[[#This Row],[PosDash]]-1))</f>
        <v>3</v>
      </c>
      <c r="F113" s="1">
        <f>_xlfn.NUMBERVALUE(MID(aoc_02_input[[#This Row],[InputNumbers]],aoc_02_input[[#This Row],[PosDash]]+1,5))</f>
        <v>4</v>
      </c>
      <c r="G113" s="1" t="str">
        <f>LEFT(aoc_02_input[[#This Row],[InputChar]],1)</f>
        <v>n</v>
      </c>
      <c r="H113" s="1" cm="1">
        <f t="array" ref="H113">CountChar(aoc_02_input[[#This Row],[Password]],aoc_02_input[[#This Row],[Char]])</f>
        <v>3</v>
      </c>
      <c r="I113" s="1">
        <f>IF(AND(aoc_02_input[[#This Row],[Int1]]&lt;=aoc_02_input[[#This Row],[CountOfChar]],aoc_02_input[[#This Row],[CountOfChar]]&lt;=aoc_02_input[[#This Row],[Int2]]),1,0)</f>
        <v>1</v>
      </c>
      <c r="J113" s="1" t="str">
        <f>MID(aoc_02_input[[#This Row],[Password]],aoc_02_input[[#This Row],[Int1]],1)</f>
        <v>n</v>
      </c>
      <c r="K113" s="1">
        <f>IF(aoc_02_input[[#This Row],[Pos1]]=aoc_02_input[[#This Row],[Char]],1,0)</f>
        <v>1</v>
      </c>
      <c r="L113" s="1" t="str">
        <f>MID(aoc_02_input[[#This Row],[Password]],aoc_02_input[[#This Row],[Int2]],1)</f>
        <v>d</v>
      </c>
      <c r="M113" s="1">
        <f>IF(aoc_02_input[[#This Row],[Pos2]]=aoc_02_input[[#This Row],[Char]],1,0)</f>
        <v>0</v>
      </c>
      <c r="N113" s="1">
        <f>IF(aoc_02_input[[#This Row],[Pos1Valid]]&lt;&gt;aoc_02_input[[#This Row],[Pos2Valid]],1,0)</f>
        <v>1</v>
      </c>
    </row>
    <row r="114" spans="1:14" x14ac:dyDescent="0.45">
      <c r="A114" s="1" t="s">
        <v>234</v>
      </c>
      <c r="B114" s="1" t="s">
        <v>238</v>
      </c>
      <c r="C114" s="1" t="s">
        <v>404</v>
      </c>
      <c r="D114" s="1">
        <f>FIND("-",aoc_02_input[[#This Row],[InputNumbers]])</f>
        <v>2</v>
      </c>
      <c r="E114" s="1">
        <f>_xlfn.NUMBERVALUE(LEFT(aoc_02_input[[#This Row],[InputNumbers]],aoc_02_input[[#This Row],[PosDash]]-1))</f>
        <v>7</v>
      </c>
      <c r="F114" s="1">
        <f>_xlfn.NUMBERVALUE(MID(aoc_02_input[[#This Row],[InputNumbers]],aoc_02_input[[#This Row],[PosDash]]+1,5))</f>
        <v>8</v>
      </c>
      <c r="G114" s="1" t="str">
        <f>LEFT(aoc_02_input[[#This Row],[InputChar]],1)</f>
        <v>w</v>
      </c>
      <c r="H114" s="1" cm="1">
        <f t="array" ref="H114">CountChar(aoc_02_input[[#This Row],[Password]],aoc_02_input[[#This Row],[Char]])</f>
        <v>12</v>
      </c>
      <c r="I114" s="1">
        <f>IF(AND(aoc_02_input[[#This Row],[Int1]]&lt;=aoc_02_input[[#This Row],[CountOfChar]],aoc_02_input[[#This Row],[CountOfChar]]&lt;=aoc_02_input[[#This Row],[Int2]]),1,0)</f>
        <v>0</v>
      </c>
      <c r="J114" s="1" t="str">
        <f>MID(aoc_02_input[[#This Row],[Password]],aoc_02_input[[#This Row],[Int1]],1)</f>
        <v>r</v>
      </c>
      <c r="K114" s="1">
        <f>IF(aoc_02_input[[#This Row],[Pos1]]=aoc_02_input[[#This Row],[Char]],1,0)</f>
        <v>0</v>
      </c>
      <c r="L114" s="1" t="str">
        <f>MID(aoc_02_input[[#This Row],[Password]],aoc_02_input[[#This Row],[Int2]],1)</f>
        <v>v</v>
      </c>
      <c r="M114" s="1">
        <f>IF(aoc_02_input[[#This Row],[Pos2]]=aoc_02_input[[#This Row],[Char]],1,0)</f>
        <v>0</v>
      </c>
      <c r="N114" s="1">
        <f>IF(aoc_02_input[[#This Row],[Pos1Valid]]&lt;&gt;aoc_02_input[[#This Row],[Pos2Valid]],1,0)</f>
        <v>0</v>
      </c>
    </row>
    <row r="115" spans="1:14" x14ac:dyDescent="0.45">
      <c r="A115" s="1" t="s">
        <v>333</v>
      </c>
      <c r="B115" s="1" t="s">
        <v>225</v>
      </c>
      <c r="C115" s="1" t="s">
        <v>405</v>
      </c>
      <c r="D115" s="1">
        <f>FIND("-",aoc_02_input[[#This Row],[InputNumbers]])</f>
        <v>2</v>
      </c>
      <c r="E115" s="1">
        <f>_xlfn.NUMBERVALUE(LEFT(aoc_02_input[[#This Row],[InputNumbers]],aoc_02_input[[#This Row],[PosDash]]-1))</f>
        <v>1</v>
      </c>
      <c r="F115" s="1">
        <f>_xlfn.NUMBERVALUE(MID(aoc_02_input[[#This Row],[InputNumbers]],aoc_02_input[[#This Row],[PosDash]]+1,5))</f>
        <v>8</v>
      </c>
      <c r="G115" s="1" t="str">
        <f>LEFT(aoc_02_input[[#This Row],[InputChar]],1)</f>
        <v>j</v>
      </c>
      <c r="H115" s="1" cm="1">
        <f t="array" ref="H115">CountChar(aoc_02_input[[#This Row],[Password]],aoc_02_input[[#This Row],[Char]])</f>
        <v>3</v>
      </c>
      <c r="I115" s="1">
        <f>IF(AND(aoc_02_input[[#This Row],[Int1]]&lt;=aoc_02_input[[#This Row],[CountOfChar]],aoc_02_input[[#This Row],[CountOfChar]]&lt;=aoc_02_input[[#This Row],[Int2]]),1,0)</f>
        <v>1</v>
      </c>
      <c r="J115" s="1" t="str">
        <f>MID(aoc_02_input[[#This Row],[Password]],aoc_02_input[[#This Row],[Int1]],1)</f>
        <v>j</v>
      </c>
      <c r="K115" s="1">
        <f>IF(aoc_02_input[[#This Row],[Pos1]]=aoc_02_input[[#This Row],[Char]],1,0)</f>
        <v>1</v>
      </c>
      <c r="L115" s="1" t="str">
        <f>MID(aoc_02_input[[#This Row],[Password]],aoc_02_input[[#This Row],[Int2]],1)</f>
        <v>j</v>
      </c>
      <c r="M115" s="1">
        <f>IF(aoc_02_input[[#This Row],[Pos2]]=aoc_02_input[[#This Row],[Char]],1,0)</f>
        <v>1</v>
      </c>
      <c r="N115" s="1">
        <f>IF(aoc_02_input[[#This Row],[Pos1Valid]]&lt;&gt;aoc_02_input[[#This Row],[Pos2Valid]],1,0)</f>
        <v>0</v>
      </c>
    </row>
    <row r="116" spans="1:14" x14ac:dyDescent="0.45">
      <c r="A116" s="1" t="s">
        <v>288</v>
      </c>
      <c r="B116" s="1" t="s">
        <v>216</v>
      </c>
      <c r="C116" s="1" t="s">
        <v>406</v>
      </c>
      <c r="D116" s="1">
        <f>FIND("-",aoc_02_input[[#This Row],[InputNumbers]])</f>
        <v>2</v>
      </c>
      <c r="E116" s="1">
        <f>_xlfn.NUMBERVALUE(LEFT(aoc_02_input[[#This Row],[InputNumbers]],aoc_02_input[[#This Row],[PosDash]]-1))</f>
        <v>1</v>
      </c>
      <c r="F116" s="1">
        <f>_xlfn.NUMBERVALUE(MID(aoc_02_input[[#This Row],[InputNumbers]],aoc_02_input[[#This Row],[PosDash]]+1,5))</f>
        <v>4</v>
      </c>
      <c r="G116" s="1" t="str">
        <f>LEFT(aoc_02_input[[#This Row],[InputChar]],1)</f>
        <v>z</v>
      </c>
      <c r="H116" s="1" cm="1">
        <f t="array" ref="H116">CountChar(aoc_02_input[[#This Row],[Password]],aoc_02_input[[#This Row],[Char]])</f>
        <v>4</v>
      </c>
      <c r="I116" s="1">
        <f>IF(AND(aoc_02_input[[#This Row],[Int1]]&lt;=aoc_02_input[[#This Row],[CountOfChar]],aoc_02_input[[#This Row],[CountOfChar]]&lt;=aoc_02_input[[#This Row],[Int2]]),1,0)</f>
        <v>1</v>
      </c>
      <c r="J116" s="1" t="str">
        <f>MID(aoc_02_input[[#This Row],[Password]],aoc_02_input[[#This Row],[Int1]],1)</f>
        <v>z</v>
      </c>
      <c r="K116" s="1">
        <f>IF(aoc_02_input[[#This Row],[Pos1]]=aoc_02_input[[#This Row],[Char]],1,0)</f>
        <v>1</v>
      </c>
      <c r="L116" s="1" t="str">
        <f>MID(aoc_02_input[[#This Row],[Password]],aoc_02_input[[#This Row],[Int2]],1)</f>
        <v>z</v>
      </c>
      <c r="M116" s="1">
        <f>IF(aoc_02_input[[#This Row],[Pos2]]=aoc_02_input[[#This Row],[Char]],1,0)</f>
        <v>1</v>
      </c>
      <c r="N116" s="1">
        <f>IF(aoc_02_input[[#This Row],[Pos1Valid]]&lt;&gt;aoc_02_input[[#This Row],[Pos2Valid]],1,0)</f>
        <v>0</v>
      </c>
    </row>
    <row r="117" spans="1:14" x14ac:dyDescent="0.45">
      <c r="A117" s="1" t="s">
        <v>311</v>
      </c>
      <c r="B117" s="1" t="s">
        <v>278</v>
      </c>
      <c r="C117" s="1" t="s">
        <v>407</v>
      </c>
      <c r="D117" s="1">
        <f>FIND("-",aoc_02_input[[#This Row],[InputNumbers]])</f>
        <v>2</v>
      </c>
      <c r="E117" s="1">
        <f>_xlfn.NUMBERVALUE(LEFT(aoc_02_input[[#This Row],[InputNumbers]],aoc_02_input[[#This Row],[PosDash]]-1))</f>
        <v>3</v>
      </c>
      <c r="F117" s="1">
        <f>_xlfn.NUMBERVALUE(MID(aoc_02_input[[#This Row],[InputNumbers]],aoc_02_input[[#This Row],[PosDash]]+1,5))</f>
        <v>6</v>
      </c>
      <c r="G117" s="1" t="str">
        <f>LEFT(aoc_02_input[[#This Row],[InputChar]],1)</f>
        <v>x</v>
      </c>
      <c r="H117" s="1" cm="1">
        <f t="array" ref="H117">CountChar(aoc_02_input[[#This Row],[Password]],aoc_02_input[[#This Row],[Char]])</f>
        <v>5</v>
      </c>
      <c r="I117" s="1">
        <f>IF(AND(aoc_02_input[[#This Row],[Int1]]&lt;=aoc_02_input[[#This Row],[CountOfChar]],aoc_02_input[[#This Row],[CountOfChar]]&lt;=aoc_02_input[[#This Row],[Int2]]),1,0)</f>
        <v>1</v>
      </c>
      <c r="J117" s="1" t="str">
        <f>MID(aoc_02_input[[#This Row],[Password]],aoc_02_input[[#This Row],[Int1]],1)</f>
        <v>t</v>
      </c>
      <c r="K117" s="1">
        <f>IF(aoc_02_input[[#This Row],[Pos1]]=aoc_02_input[[#This Row],[Char]],1,0)</f>
        <v>0</v>
      </c>
      <c r="L117" s="1" t="str">
        <f>MID(aoc_02_input[[#This Row],[Password]],aoc_02_input[[#This Row],[Int2]],1)</f>
        <v>s</v>
      </c>
      <c r="M117" s="1">
        <f>IF(aoc_02_input[[#This Row],[Pos2]]=aoc_02_input[[#This Row],[Char]],1,0)</f>
        <v>0</v>
      </c>
      <c r="N117" s="1">
        <f>IF(aoc_02_input[[#This Row],[Pos1Valid]]&lt;&gt;aoc_02_input[[#This Row],[Pos2Valid]],1,0)</f>
        <v>0</v>
      </c>
    </row>
    <row r="118" spans="1:14" x14ac:dyDescent="0.45">
      <c r="A118" s="1" t="s">
        <v>341</v>
      </c>
      <c r="B118" s="1" t="s">
        <v>314</v>
      </c>
      <c r="C118" s="1" t="s">
        <v>408</v>
      </c>
      <c r="D118" s="1">
        <f>FIND("-",aoc_02_input[[#This Row],[InputNumbers]])</f>
        <v>2</v>
      </c>
      <c r="E118" s="1">
        <f>_xlfn.NUMBERVALUE(LEFT(aoc_02_input[[#This Row],[InputNumbers]],aoc_02_input[[#This Row],[PosDash]]-1))</f>
        <v>5</v>
      </c>
      <c r="F118" s="1">
        <f>_xlfn.NUMBERVALUE(MID(aoc_02_input[[#This Row],[InputNumbers]],aoc_02_input[[#This Row],[PosDash]]+1,5))</f>
        <v>8</v>
      </c>
      <c r="G118" s="1" t="str">
        <f>LEFT(aoc_02_input[[#This Row],[InputChar]],1)</f>
        <v>h</v>
      </c>
      <c r="H118" s="1" cm="1">
        <f t="array" ref="H118">CountChar(aoc_02_input[[#This Row],[Password]],aoc_02_input[[#This Row],[Char]])</f>
        <v>9</v>
      </c>
      <c r="I118" s="1">
        <f>IF(AND(aoc_02_input[[#This Row],[Int1]]&lt;=aoc_02_input[[#This Row],[CountOfChar]],aoc_02_input[[#This Row],[CountOfChar]]&lt;=aoc_02_input[[#This Row],[Int2]]),1,0)</f>
        <v>0</v>
      </c>
      <c r="J118" s="1" t="str">
        <f>MID(aoc_02_input[[#This Row],[Password]],aoc_02_input[[#This Row],[Int1]],1)</f>
        <v>h</v>
      </c>
      <c r="K118" s="1">
        <f>IF(aoc_02_input[[#This Row],[Pos1]]=aoc_02_input[[#This Row],[Char]],1,0)</f>
        <v>1</v>
      </c>
      <c r="L118" s="1" t="str">
        <f>MID(aoc_02_input[[#This Row],[Password]],aoc_02_input[[#This Row],[Int2]],1)</f>
        <v>h</v>
      </c>
      <c r="M118" s="1">
        <f>IF(aoc_02_input[[#This Row],[Pos2]]=aoc_02_input[[#This Row],[Char]],1,0)</f>
        <v>1</v>
      </c>
      <c r="N118" s="1">
        <f>IF(aoc_02_input[[#This Row],[Pos1Valid]]&lt;&gt;aoc_02_input[[#This Row],[Pos2Valid]],1,0)</f>
        <v>0</v>
      </c>
    </row>
    <row r="119" spans="1:14" x14ac:dyDescent="0.45">
      <c r="A119" s="1" t="s">
        <v>324</v>
      </c>
      <c r="B119" s="1" t="s">
        <v>305</v>
      </c>
      <c r="C119" s="1" t="s">
        <v>409</v>
      </c>
      <c r="D119" s="1">
        <f>FIND("-",aoc_02_input[[#This Row],[InputNumbers]])</f>
        <v>2</v>
      </c>
      <c r="E119" s="1">
        <f>_xlfn.NUMBERVALUE(LEFT(aoc_02_input[[#This Row],[InputNumbers]],aoc_02_input[[#This Row],[PosDash]]-1))</f>
        <v>1</v>
      </c>
      <c r="F119" s="1">
        <f>_xlfn.NUMBERVALUE(MID(aoc_02_input[[#This Row],[InputNumbers]],aoc_02_input[[#This Row],[PosDash]]+1,5))</f>
        <v>3</v>
      </c>
      <c r="G119" s="1" t="str">
        <f>LEFT(aoc_02_input[[#This Row],[InputChar]],1)</f>
        <v>s</v>
      </c>
      <c r="H119" s="1" cm="1">
        <f t="array" ref="H119">CountChar(aoc_02_input[[#This Row],[Password]],aoc_02_input[[#This Row],[Char]])</f>
        <v>2</v>
      </c>
      <c r="I119" s="1">
        <f>IF(AND(aoc_02_input[[#This Row],[Int1]]&lt;=aoc_02_input[[#This Row],[CountOfChar]],aoc_02_input[[#This Row],[CountOfChar]]&lt;=aoc_02_input[[#This Row],[Int2]]),1,0)</f>
        <v>1</v>
      </c>
      <c r="J119" s="1" t="str">
        <f>MID(aoc_02_input[[#This Row],[Password]],aoc_02_input[[#This Row],[Int1]],1)</f>
        <v>x</v>
      </c>
      <c r="K119" s="1">
        <f>IF(aoc_02_input[[#This Row],[Pos1]]=aoc_02_input[[#This Row],[Char]],1,0)</f>
        <v>0</v>
      </c>
      <c r="L119" s="1" t="str">
        <f>MID(aoc_02_input[[#This Row],[Password]],aoc_02_input[[#This Row],[Int2]],1)</f>
        <v>x</v>
      </c>
      <c r="M119" s="1">
        <f>IF(aoc_02_input[[#This Row],[Pos2]]=aoc_02_input[[#This Row],[Char]],1,0)</f>
        <v>0</v>
      </c>
      <c r="N119" s="1">
        <f>IF(aoc_02_input[[#This Row],[Pos1Valid]]&lt;&gt;aoc_02_input[[#This Row],[Pos2Valid]],1,0)</f>
        <v>0</v>
      </c>
    </row>
    <row r="120" spans="1:14" x14ac:dyDescent="0.45">
      <c r="A120" s="1" t="s">
        <v>410</v>
      </c>
      <c r="B120" s="1" t="s">
        <v>222</v>
      </c>
      <c r="C120" s="1" t="s">
        <v>411</v>
      </c>
      <c r="D120" s="1">
        <f>FIND("-",aoc_02_input[[#This Row],[InputNumbers]])</f>
        <v>2</v>
      </c>
      <c r="E120" s="1">
        <f>_xlfn.NUMBERVALUE(LEFT(aoc_02_input[[#This Row],[InputNumbers]],aoc_02_input[[#This Row],[PosDash]]-1))</f>
        <v>5</v>
      </c>
      <c r="F120" s="1">
        <f>_xlfn.NUMBERVALUE(MID(aoc_02_input[[#This Row],[InputNumbers]],aoc_02_input[[#This Row],[PosDash]]+1,5))</f>
        <v>9</v>
      </c>
      <c r="G120" s="1" t="str">
        <f>LEFT(aoc_02_input[[#This Row],[InputChar]],1)</f>
        <v>l</v>
      </c>
      <c r="H120" s="1" cm="1">
        <f t="array" ref="H120">CountChar(aoc_02_input[[#This Row],[Password]],aoc_02_input[[#This Row],[Char]])</f>
        <v>6</v>
      </c>
      <c r="I120" s="1">
        <f>IF(AND(aoc_02_input[[#This Row],[Int1]]&lt;=aoc_02_input[[#This Row],[CountOfChar]],aoc_02_input[[#This Row],[CountOfChar]]&lt;=aoc_02_input[[#This Row],[Int2]]),1,0)</f>
        <v>1</v>
      </c>
      <c r="J120" s="1" t="str">
        <f>MID(aoc_02_input[[#This Row],[Password]],aoc_02_input[[#This Row],[Int1]],1)</f>
        <v>l</v>
      </c>
      <c r="K120" s="1">
        <f>IF(aoc_02_input[[#This Row],[Pos1]]=aoc_02_input[[#This Row],[Char]],1,0)</f>
        <v>1</v>
      </c>
      <c r="L120" s="1" t="str">
        <f>MID(aoc_02_input[[#This Row],[Password]],aoc_02_input[[#This Row],[Int2]],1)</f>
        <v>p</v>
      </c>
      <c r="M120" s="1">
        <f>IF(aoc_02_input[[#This Row],[Pos2]]=aoc_02_input[[#This Row],[Char]],1,0)</f>
        <v>0</v>
      </c>
      <c r="N120" s="1">
        <f>IF(aoc_02_input[[#This Row],[Pos1Valid]]&lt;&gt;aoc_02_input[[#This Row],[Pos2Valid]],1,0)</f>
        <v>1</v>
      </c>
    </row>
    <row r="121" spans="1:14" x14ac:dyDescent="0.45">
      <c r="A121" s="1" t="s">
        <v>412</v>
      </c>
      <c r="B121" s="1" t="s">
        <v>216</v>
      </c>
      <c r="C121" s="1" t="s">
        <v>413</v>
      </c>
      <c r="D121" s="1">
        <f>FIND("-",aoc_02_input[[#This Row],[InputNumbers]])</f>
        <v>3</v>
      </c>
      <c r="E121" s="1">
        <f>_xlfn.NUMBERVALUE(LEFT(aoc_02_input[[#This Row],[InputNumbers]],aoc_02_input[[#This Row],[PosDash]]-1))</f>
        <v>16</v>
      </c>
      <c r="F121" s="1">
        <f>_xlfn.NUMBERVALUE(MID(aoc_02_input[[#This Row],[InputNumbers]],aoc_02_input[[#This Row],[PosDash]]+1,5))</f>
        <v>17</v>
      </c>
      <c r="G121" s="1" t="str">
        <f>LEFT(aoc_02_input[[#This Row],[InputChar]],1)</f>
        <v>z</v>
      </c>
      <c r="H121" s="1" cm="1">
        <f t="array" ref="H121">CountChar(aoc_02_input[[#This Row],[Password]],aoc_02_input[[#This Row],[Char]])</f>
        <v>5</v>
      </c>
      <c r="I121" s="1">
        <f>IF(AND(aoc_02_input[[#This Row],[Int1]]&lt;=aoc_02_input[[#This Row],[CountOfChar]],aoc_02_input[[#This Row],[CountOfChar]]&lt;=aoc_02_input[[#This Row],[Int2]]),1,0)</f>
        <v>0</v>
      </c>
      <c r="J121" s="1" t="str">
        <f>MID(aoc_02_input[[#This Row],[Password]],aoc_02_input[[#This Row],[Int1]],1)</f>
        <v>t</v>
      </c>
      <c r="K121" s="1">
        <f>IF(aoc_02_input[[#This Row],[Pos1]]=aoc_02_input[[#This Row],[Char]],1,0)</f>
        <v>0</v>
      </c>
      <c r="L121" s="1" t="str">
        <f>MID(aoc_02_input[[#This Row],[Password]],aoc_02_input[[#This Row],[Int2]],1)</f>
        <v>z</v>
      </c>
      <c r="M121" s="1">
        <f>IF(aoc_02_input[[#This Row],[Pos2]]=aoc_02_input[[#This Row],[Char]],1,0)</f>
        <v>1</v>
      </c>
      <c r="N121" s="1">
        <f>IF(aoc_02_input[[#This Row],[Pos1Valid]]&lt;&gt;aoc_02_input[[#This Row],[Pos2Valid]],1,0)</f>
        <v>1</v>
      </c>
    </row>
    <row r="122" spans="1:14" x14ac:dyDescent="0.45">
      <c r="A122" s="1" t="s">
        <v>242</v>
      </c>
      <c r="B122" s="1" t="s">
        <v>216</v>
      </c>
      <c r="C122" s="1" t="s">
        <v>414</v>
      </c>
      <c r="D122" s="1">
        <f>FIND("-",aoc_02_input[[#This Row],[InputNumbers]])</f>
        <v>3</v>
      </c>
      <c r="E122" s="1">
        <f>_xlfn.NUMBERVALUE(LEFT(aoc_02_input[[#This Row],[InputNumbers]],aoc_02_input[[#This Row],[PosDash]]-1))</f>
        <v>10</v>
      </c>
      <c r="F122" s="1">
        <f>_xlfn.NUMBERVALUE(MID(aoc_02_input[[#This Row],[InputNumbers]],aoc_02_input[[#This Row],[PosDash]]+1,5))</f>
        <v>11</v>
      </c>
      <c r="G122" s="1" t="str">
        <f>LEFT(aoc_02_input[[#This Row],[InputChar]],1)</f>
        <v>z</v>
      </c>
      <c r="H122" s="1" cm="1">
        <f t="array" ref="H122">CountChar(aoc_02_input[[#This Row],[Password]],aoc_02_input[[#This Row],[Char]])</f>
        <v>10</v>
      </c>
      <c r="I122" s="1">
        <f>IF(AND(aoc_02_input[[#This Row],[Int1]]&lt;=aoc_02_input[[#This Row],[CountOfChar]],aoc_02_input[[#This Row],[CountOfChar]]&lt;=aoc_02_input[[#This Row],[Int2]]),1,0)</f>
        <v>1</v>
      </c>
      <c r="J122" s="1" t="str">
        <f>MID(aoc_02_input[[#This Row],[Password]],aoc_02_input[[#This Row],[Int1]],1)</f>
        <v>z</v>
      </c>
      <c r="K122" s="1">
        <f>IF(aoc_02_input[[#This Row],[Pos1]]=aoc_02_input[[#This Row],[Char]],1,0)</f>
        <v>1</v>
      </c>
      <c r="L122" s="1" t="str">
        <f>MID(aoc_02_input[[#This Row],[Password]],aoc_02_input[[#This Row],[Int2]],1)</f>
        <v>s</v>
      </c>
      <c r="M122" s="1">
        <f>IF(aoc_02_input[[#This Row],[Pos2]]=aoc_02_input[[#This Row],[Char]],1,0)</f>
        <v>0</v>
      </c>
      <c r="N122" s="1">
        <f>IF(aoc_02_input[[#This Row],[Pos1Valid]]&lt;&gt;aoc_02_input[[#This Row],[Pos2Valid]],1,0)</f>
        <v>1</v>
      </c>
    </row>
    <row r="123" spans="1:14" x14ac:dyDescent="0.45">
      <c r="A123" s="1" t="s">
        <v>311</v>
      </c>
      <c r="B123" s="1" t="s">
        <v>222</v>
      </c>
      <c r="C123" s="1" t="s">
        <v>415</v>
      </c>
      <c r="D123" s="1">
        <f>FIND("-",aoc_02_input[[#This Row],[InputNumbers]])</f>
        <v>2</v>
      </c>
      <c r="E123" s="1">
        <f>_xlfn.NUMBERVALUE(LEFT(aoc_02_input[[#This Row],[InputNumbers]],aoc_02_input[[#This Row],[PosDash]]-1))</f>
        <v>3</v>
      </c>
      <c r="F123" s="1">
        <f>_xlfn.NUMBERVALUE(MID(aoc_02_input[[#This Row],[InputNumbers]],aoc_02_input[[#This Row],[PosDash]]+1,5))</f>
        <v>6</v>
      </c>
      <c r="G123" s="1" t="str">
        <f>LEFT(aoc_02_input[[#This Row],[InputChar]],1)</f>
        <v>l</v>
      </c>
      <c r="H123" s="1" cm="1">
        <f t="array" ref="H123">CountChar(aoc_02_input[[#This Row],[Password]],aoc_02_input[[#This Row],[Char]])</f>
        <v>5</v>
      </c>
      <c r="I123" s="1">
        <f>IF(AND(aoc_02_input[[#This Row],[Int1]]&lt;=aoc_02_input[[#This Row],[CountOfChar]],aoc_02_input[[#This Row],[CountOfChar]]&lt;=aoc_02_input[[#This Row],[Int2]]),1,0)</f>
        <v>1</v>
      </c>
      <c r="J123" s="1" t="str">
        <f>MID(aoc_02_input[[#This Row],[Password]],aoc_02_input[[#This Row],[Int1]],1)</f>
        <v>d</v>
      </c>
      <c r="K123" s="1">
        <f>IF(aoc_02_input[[#This Row],[Pos1]]=aoc_02_input[[#This Row],[Char]],1,0)</f>
        <v>0</v>
      </c>
      <c r="L123" s="1" t="str">
        <f>MID(aoc_02_input[[#This Row],[Password]],aoc_02_input[[#This Row],[Int2]],1)</f>
        <v>k</v>
      </c>
      <c r="M123" s="1">
        <f>IF(aoc_02_input[[#This Row],[Pos2]]=aoc_02_input[[#This Row],[Char]],1,0)</f>
        <v>0</v>
      </c>
      <c r="N123" s="1">
        <f>IF(aoc_02_input[[#This Row],[Pos1Valid]]&lt;&gt;aoc_02_input[[#This Row],[Pos2Valid]],1,0)</f>
        <v>0</v>
      </c>
    </row>
    <row r="124" spans="1:14" x14ac:dyDescent="0.45">
      <c r="A124" s="1" t="s">
        <v>221</v>
      </c>
      <c r="B124" s="1" t="s">
        <v>219</v>
      </c>
      <c r="C124" s="1" t="s">
        <v>416</v>
      </c>
      <c r="D124" s="1">
        <f>FIND("-",aoc_02_input[[#This Row],[InputNumbers]])</f>
        <v>2</v>
      </c>
      <c r="E124" s="1">
        <f>_xlfn.NUMBERVALUE(LEFT(aoc_02_input[[#This Row],[InputNumbers]],aoc_02_input[[#This Row],[PosDash]]-1))</f>
        <v>2</v>
      </c>
      <c r="F124" s="1">
        <f>_xlfn.NUMBERVALUE(MID(aoc_02_input[[#This Row],[InputNumbers]],aoc_02_input[[#This Row],[PosDash]]+1,5))</f>
        <v>3</v>
      </c>
      <c r="G124" s="1" t="str">
        <f>LEFT(aoc_02_input[[#This Row],[InputChar]],1)</f>
        <v>g</v>
      </c>
      <c r="H124" s="1" cm="1">
        <f t="array" ref="H124">CountChar(aoc_02_input[[#This Row],[Password]],aoc_02_input[[#This Row],[Char]])</f>
        <v>3</v>
      </c>
      <c r="I124" s="1">
        <f>IF(AND(aoc_02_input[[#This Row],[Int1]]&lt;=aoc_02_input[[#This Row],[CountOfChar]],aoc_02_input[[#This Row],[CountOfChar]]&lt;=aoc_02_input[[#This Row],[Int2]]),1,0)</f>
        <v>1</v>
      </c>
      <c r="J124" s="1" t="str">
        <f>MID(aoc_02_input[[#This Row],[Password]],aoc_02_input[[#This Row],[Int1]],1)</f>
        <v>g</v>
      </c>
      <c r="K124" s="1">
        <f>IF(aoc_02_input[[#This Row],[Pos1]]=aoc_02_input[[#This Row],[Char]],1,0)</f>
        <v>1</v>
      </c>
      <c r="L124" s="1" t="str">
        <f>MID(aoc_02_input[[#This Row],[Password]],aoc_02_input[[#This Row],[Int2]],1)</f>
        <v>t</v>
      </c>
      <c r="M124" s="1">
        <f>IF(aoc_02_input[[#This Row],[Pos2]]=aoc_02_input[[#This Row],[Char]],1,0)</f>
        <v>0</v>
      </c>
      <c r="N124" s="1">
        <f>IF(aoc_02_input[[#This Row],[Pos1Valid]]&lt;&gt;aoc_02_input[[#This Row],[Pos2Valid]],1,0)</f>
        <v>1</v>
      </c>
    </row>
    <row r="125" spans="1:14" x14ac:dyDescent="0.45">
      <c r="A125" s="1" t="s">
        <v>417</v>
      </c>
      <c r="B125" s="1" t="s">
        <v>213</v>
      </c>
      <c r="C125" s="1" t="s">
        <v>418</v>
      </c>
      <c r="D125" s="1">
        <f>FIND("-",aoc_02_input[[#This Row],[InputNumbers]])</f>
        <v>3</v>
      </c>
      <c r="E125" s="1">
        <f>_xlfn.NUMBERVALUE(LEFT(aoc_02_input[[#This Row],[InputNumbers]],aoc_02_input[[#This Row],[PosDash]]-1))</f>
        <v>12</v>
      </c>
      <c r="F125" s="1">
        <f>_xlfn.NUMBERVALUE(MID(aoc_02_input[[#This Row],[InputNumbers]],aoc_02_input[[#This Row],[PosDash]]+1,5))</f>
        <v>13</v>
      </c>
      <c r="G125" s="1" t="str">
        <f>LEFT(aoc_02_input[[#This Row],[InputChar]],1)</f>
        <v>m</v>
      </c>
      <c r="H125" s="1" cm="1">
        <f t="array" ref="H125">CountChar(aoc_02_input[[#This Row],[Password]],aoc_02_input[[#This Row],[Char]])</f>
        <v>12</v>
      </c>
      <c r="I125" s="1">
        <f>IF(AND(aoc_02_input[[#This Row],[Int1]]&lt;=aoc_02_input[[#This Row],[CountOfChar]],aoc_02_input[[#This Row],[CountOfChar]]&lt;=aoc_02_input[[#This Row],[Int2]]),1,0)</f>
        <v>1</v>
      </c>
      <c r="J125" s="1" t="str">
        <f>MID(aoc_02_input[[#This Row],[Password]],aoc_02_input[[#This Row],[Int1]],1)</f>
        <v>m</v>
      </c>
      <c r="K125" s="1">
        <f>IF(aoc_02_input[[#This Row],[Pos1]]=aoc_02_input[[#This Row],[Char]],1,0)</f>
        <v>1</v>
      </c>
      <c r="L125" s="1" t="str">
        <f>MID(aoc_02_input[[#This Row],[Password]],aoc_02_input[[#This Row],[Int2]],1)</f>
        <v>m</v>
      </c>
      <c r="M125" s="1">
        <f>IF(aoc_02_input[[#This Row],[Pos2]]=aoc_02_input[[#This Row],[Char]],1,0)</f>
        <v>1</v>
      </c>
      <c r="N125" s="1">
        <f>IF(aoc_02_input[[#This Row],[Pos1Valid]]&lt;&gt;aoc_02_input[[#This Row],[Pos2Valid]],1,0)</f>
        <v>0</v>
      </c>
    </row>
    <row r="126" spans="1:14" x14ac:dyDescent="0.45">
      <c r="A126" s="1" t="s">
        <v>333</v>
      </c>
      <c r="B126" s="1" t="s">
        <v>278</v>
      </c>
      <c r="C126" s="1" t="s">
        <v>419</v>
      </c>
      <c r="D126" s="1">
        <f>FIND("-",aoc_02_input[[#This Row],[InputNumbers]])</f>
        <v>2</v>
      </c>
      <c r="E126" s="1">
        <f>_xlfn.NUMBERVALUE(LEFT(aoc_02_input[[#This Row],[InputNumbers]],aoc_02_input[[#This Row],[PosDash]]-1))</f>
        <v>1</v>
      </c>
      <c r="F126" s="1">
        <f>_xlfn.NUMBERVALUE(MID(aoc_02_input[[#This Row],[InputNumbers]],aoc_02_input[[#This Row],[PosDash]]+1,5))</f>
        <v>8</v>
      </c>
      <c r="G126" s="1" t="str">
        <f>LEFT(aoc_02_input[[#This Row],[InputChar]],1)</f>
        <v>x</v>
      </c>
      <c r="H126" s="1" cm="1">
        <f t="array" ref="H126">CountChar(aoc_02_input[[#This Row],[Password]],aoc_02_input[[#This Row],[Char]])</f>
        <v>3</v>
      </c>
      <c r="I126" s="1">
        <f>IF(AND(aoc_02_input[[#This Row],[Int1]]&lt;=aoc_02_input[[#This Row],[CountOfChar]],aoc_02_input[[#This Row],[CountOfChar]]&lt;=aoc_02_input[[#This Row],[Int2]]),1,0)</f>
        <v>1</v>
      </c>
      <c r="J126" s="1" t="str">
        <f>MID(aoc_02_input[[#This Row],[Password]],aoc_02_input[[#This Row],[Int1]],1)</f>
        <v>h</v>
      </c>
      <c r="K126" s="1">
        <f>IF(aoc_02_input[[#This Row],[Pos1]]=aoc_02_input[[#This Row],[Char]],1,0)</f>
        <v>0</v>
      </c>
      <c r="L126" s="1" t="str">
        <f>MID(aoc_02_input[[#This Row],[Password]],aoc_02_input[[#This Row],[Int2]],1)</f>
        <v>j</v>
      </c>
      <c r="M126" s="1">
        <f>IF(aoc_02_input[[#This Row],[Pos2]]=aoc_02_input[[#This Row],[Char]],1,0)</f>
        <v>0</v>
      </c>
      <c r="N126" s="1">
        <f>IF(aoc_02_input[[#This Row],[Pos1Valid]]&lt;&gt;aoc_02_input[[#This Row],[Pos2Valid]],1,0)</f>
        <v>0</v>
      </c>
    </row>
    <row r="127" spans="1:14" x14ac:dyDescent="0.45">
      <c r="A127" s="1" t="s">
        <v>420</v>
      </c>
      <c r="B127" s="1" t="s">
        <v>295</v>
      </c>
      <c r="C127" s="1" t="s">
        <v>421</v>
      </c>
      <c r="D127" s="1">
        <f>FIND("-",aoc_02_input[[#This Row],[InputNumbers]])</f>
        <v>3</v>
      </c>
      <c r="E127" s="1">
        <f>_xlfn.NUMBERVALUE(LEFT(aoc_02_input[[#This Row],[InputNumbers]],aoc_02_input[[#This Row],[PosDash]]-1))</f>
        <v>11</v>
      </c>
      <c r="F127" s="1">
        <f>_xlfn.NUMBERVALUE(MID(aoc_02_input[[#This Row],[InputNumbers]],aoc_02_input[[#This Row],[PosDash]]+1,5))</f>
        <v>17</v>
      </c>
      <c r="G127" s="1" t="str">
        <f>LEFT(aoc_02_input[[#This Row],[InputChar]],1)</f>
        <v>c</v>
      </c>
      <c r="H127" s="1" cm="1">
        <f t="array" ref="H127">CountChar(aoc_02_input[[#This Row],[Password]],aoc_02_input[[#This Row],[Char]])</f>
        <v>13</v>
      </c>
      <c r="I127" s="1">
        <f>IF(AND(aoc_02_input[[#This Row],[Int1]]&lt;=aoc_02_input[[#This Row],[CountOfChar]],aoc_02_input[[#This Row],[CountOfChar]]&lt;=aoc_02_input[[#This Row],[Int2]]),1,0)</f>
        <v>1</v>
      </c>
      <c r="J127" s="1" t="str">
        <f>MID(aoc_02_input[[#This Row],[Password]],aoc_02_input[[#This Row],[Int1]],1)</f>
        <v>c</v>
      </c>
      <c r="K127" s="1">
        <f>IF(aoc_02_input[[#This Row],[Pos1]]=aoc_02_input[[#This Row],[Char]],1,0)</f>
        <v>1</v>
      </c>
      <c r="L127" s="1" t="str">
        <f>MID(aoc_02_input[[#This Row],[Password]],aoc_02_input[[#This Row],[Int2]],1)</f>
        <v>j</v>
      </c>
      <c r="M127" s="1">
        <f>IF(aoc_02_input[[#This Row],[Pos2]]=aoc_02_input[[#This Row],[Char]],1,0)</f>
        <v>0</v>
      </c>
      <c r="N127" s="1">
        <f>IF(aoc_02_input[[#This Row],[Pos1Valid]]&lt;&gt;aoc_02_input[[#This Row],[Pos2Valid]],1,0)</f>
        <v>1</v>
      </c>
    </row>
    <row r="128" spans="1:14" x14ac:dyDescent="0.45">
      <c r="A128" s="1" t="s">
        <v>234</v>
      </c>
      <c r="B128" s="1" t="s">
        <v>278</v>
      </c>
      <c r="C128" s="1" t="s">
        <v>422</v>
      </c>
      <c r="D128" s="1">
        <f>FIND("-",aoc_02_input[[#This Row],[InputNumbers]])</f>
        <v>2</v>
      </c>
      <c r="E128" s="1">
        <f>_xlfn.NUMBERVALUE(LEFT(aoc_02_input[[#This Row],[InputNumbers]],aoc_02_input[[#This Row],[PosDash]]-1))</f>
        <v>7</v>
      </c>
      <c r="F128" s="1">
        <f>_xlfn.NUMBERVALUE(MID(aoc_02_input[[#This Row],[InputNumbers]],aoc_02_input[[#This Row],[PosDash]]+1,5))</f>
        <v>8</v>
      </c>
      <c r="G128" s="1" t="str">
        <f>LEFT(aoc_02_input[[#This Row],[InputChar]],1)</f>
        <v>x</v>
      </c>
      <c r="H128" s="1" cm="1">
        <f t="array" ref="H128">CountChar(aoc_02_input[[#This Row],[Password]],aoc_02_input[[#This Row],[Char]])</f>
        <v>8</v>
      </c>
      <c r="I128" s="1">
        <f>IF(AND(aoc_02_input[[#This Row],[Int1]]&lt;=aoc_02_input[[#This Row],[CountOfChar]],aoc_02_input[[#This Row],[CountOfChar]]&lt;=aoc_02_input[[#This Row],[Int2]]),1,0)</f>
        <v>1</v>
      </c>
      <c r="J128" s="1" t="str">
        <f>MID(aoc_02_input[[#This Row],[Password]],aoc_02_input[[#This Row],[Int1]],1)</f>
        <v>t</v>
      </c>
      <c r="K128" s="1">
        <f>IF(aoc_02_input[[#This Row],[Pos1]]=aoc_02_input[[#This Row],[Char]],1,0)</f>
        <v>0</v>
      </c>
      <c r="L128" s="1" t="str">
        <f>MID(aoc_02_input[[#This Row],[Password]],aoc_02_input[[#This Row],[Int2]],1)</f>
        <v>x</v>
      </c>
      <c r="M128" s="1">
        <f>IF(aoc_02_input[[#This Row],[Pos2]]=aoc_02_input[[#This Row],[Char]],1,0)</f>
        <v>1</v>
      </c>
      <c r="N128" s="1">
        <f>IF(aoc_02_input[[#This Row],[Pos1Valid]]&lt;&gt;aoc_02_input[[#This Row],[Pos2Valid]],1,0)</f>
        <v>1</v>
      </c>
    </row>
    <row r="129" spans="1:14" x14ac:dyDescent="0.45">
      <c r="A129" s="1" t="s">
        <v>227</v>
      </c>
      <c r="B129" s="1" t="s">
        <v>207</v>
      </c>
      <c r="C129" s="1" t="s">
        <v>423</v>
      </c>
      <c r="D129" s="1">
        <f>FIND("-",aoc_02_input[[#This Row],[InputNumbers]])</f>
        <v>2</v>
      </c>
      <c r="E129" s="1">
        <f>_xlfn.NUMBERVALUE(LEFT(aoc_02_input[[#This Row],[InputNumbers]],aoc_02_input[[#This Row],[PosDash]]-1))</f>
        <v>4</v>
      </c>
      <c r="F129" s="1">
        <f>_xlfn.NUMBERVALUE(MID(aoc_02_input[[#This Row],[InputNumbers]],aoc_02_input[[#This Row],[PosDash]]+1,5))</f>
        <v>5</v>
      </c>
      <c r="G129" s="1" t="str">
        <f>LEFT(aoc_02_input[[#This Row],[InputChar]],1)</f>
        <v>b</v>
      </c>
      <c r="H129" s="1" cm="1">
        <f t="array" ref="H129">CountChar(aoc_02_input[[#This Row],[Password]],aoc_02_input[[#This Row],[Char]])</f>
        <v>2</v>
      </c>
      <c r="I129" s="1">
        <f>IF(AND(aoc_02_input[[#This Row],[Int1]]&lt;=aoc_02_input[[#This Row],[CountOfChar]],aoc_02_input[[#This Row],[CountOfChar]]&lt;=aoc_02_input[[#This Row],[Int2]]),1,0)</f>
        <v>0</v>
      </c>
      <c r="J129" s="1" t="str">
        <f>MID(aoc_02_input[[#This Row],[Password]],aoc_02_input[[#This Row],[Int1]],1)</f>
        <v>q</v>
      </c>
      <c r="K129" s="1">
        <f>IF(aoc_02_input[[#This Row],[Pos1]]=aoc_02_input[[#This Row],[Char]],1,0)</f>
        <v>0</v>
      </c>
      <c r="L129" s="1" t="str">
        <f>MID(aoc_02_input[[#This Row],[Password]],aoc_02_input[[#This Row],[Int2]],1)</f>
        <v>l</v>
      </c>
      <c r="M129" s="1">
        <f>IF(aoc_02_input[[#This Row],[Pos2]]=aoc_02_input[[#This Row],[Char]],1,0)</f>
        <v>0</v>
      </c>
      <c r="N129" s="1">
        <f>IF(aoc_02_input[[#This Row],[Pos1Valid]]&lt;&gt;aoc_02_input[[#This Row],[Pos2Valid]],1,0)</f>
        <v>0</v>
      </c>
    </row>
    <row r="130" spans="1:14" x14ac:dyDescent="0.45">
      <c r="A130" s="1" t="s">
        <v>424</v>
      </c>
      <c r="B130" s="1" t="s">
        <v>238</v>
      </c>
      <c r="C130" s="1" t="s">
        <v>425</v>
      </c>
      <c r="D130" s="1">
        <f>FIND("-",aoc_02_input[[#This Row],[InputNumbers]])</f>
        <v>2</v>
      </c>
      <c r="E130" s="1">
        <f>_xlfn.NUMBERVALUE(LEFT(aoc_02_input[[#This Row],[InputNumbers]],aoc_02_input[[#This Row],[PosDash]]-1))</f>
        <v>3</v>
      </c>
      <c r="F130" s="1">
        <f>_xlfn.NUMBERVALUE(MID(aoc_02_input[[#This Row],[InputNumbers]],aoc_02_input[[#This Row],[PosDash]]+1,5))</f>
        <v>9</v>
      </c>
      <c r="G130" s="1" t="str">
        <f>LEFT(aoc_02_input[[#This Row],[InputChar]],1)</f>
        <v>w</v>
      </c>
      <c r="H130" s="1" cm="1">
        <f t="array" ref="H130">CountChar(aoc_02_input[[#This Row],[Password]],aoc_02_input[[#This Row],[Char]])</f>
        <v>8</v>
      </c>
      <c r="I130" s="1">
        <f>IF(AND(aoc_02_input[[#This Row],[Int1]]&lt;=aoc_02_input[[#This Row],[CountOfChar]],aoc_02_input[[#This Row],[CountOfChar]]&lt;=aoc_02_input[[#This Row],[Int2]]),1,0)</f>
        <v>1</v>
      </c>
      <c r="J130" s="1" t="str">
        <f>MID(aoc_02_input[[#This Row],[Password]],aoc_02_input[[#This Row],[Int1]],1)</f>
        <v>s</v>
      </c>
      <c r="K130" s="1">
        <f>IF(aoc_02_input[[#This Row],[Pos1]]=aoc_02_input[[#This Row],[Char]],1,0)</f>
        <v>0</v>
      </c>
      <c r="L130" s="1" t="str">
        <f>MID(aoc_02_input[[#This Row],[Password]],aoc_02_input[[#This Row],[Int2]],1)</f>
        <v>b</v>
      </c>
      <c r="M130" s="1">
        <f>IF(aoc_02_input[[#This Row],[Pos2]]=aoc_02_input[[#This Row],[Char]],1,0)</f>
        <v>0</v>
      </c>
      <c r="N130" s="1">
        <f>IF(aoc_02_input[[#This Row],[Pos1Valid]]&lt;&gt;aoc_02_input[[#This Row],[Pos2Valid]],1,0)</f>
        <v>0</v>
      </c>
    </row>
    <row r="131" spans="1:14" x14ac:dyDescent="0.45">
      <c r="A131" s="1" t="s">
        <v>307</v>
      </c>
      <c r="B131" s="1" t="s">
        <v>249</v>
      </c>
      <c r="C131" s="1" t="s">
        <v>426</v>
      </c>
      <c r="D131" s="1">
        <f>FIND("-",aoc_02_input[[#This Row],[InputNumbers]])</f>
        <v>2</v>
      </c>
      <c r="E131" s="1">
        <f>_xlfn.NUMBERVALUE(LEFT(aoc_02_input[[#This Row],[InputNumbers]],aoc_02_input[[#This Row],[PosDash]]-1))</f>
        <v>3</v>
      </c>
      <c r="F131" s="1">
        <f>_xlfn.NUMBERVALUE(MID(aoc_02_input[[#This Row],[InputNumbers]],aoc_02_input[[#This Row],[PosDash]]+1,5))</f>
        <v>5</v>
      </c>
      <c r="G131" s="1" t="str">
        <f>LEFT(aoc_02_input[[#This Row],[InputChar]],1)</f>
        <v>q</v>
      </c>
      <c r="H131" s="1" cm="1">
        <f t="array" ref="H131">CountChar(aoc_02_input[[#This Row],[Password]],aoc_02_input[[#This Row],[Char]])</f>
        <v>3</v>
      </c>
      <c r="I131" s="1">
        <f>IF(AND(aoc_02_input[[#This Row],[Int1]]&lt;=aoc_02_input[[#This Row],[CountOfChar]],aoc_02_input[[#This Row],[CountOfChar]]&lt;=aoc_02_input[[#This Row],[Int2]]),1,0)</f>
        <v>1</v>
      </c>
      <c r="J131" s="1" t="str">
        <f>MID(aoc_02_input[[#This Row],[Password]],aoc_02_input[[#This Row],[Int1]],1)</f>
        <v>q</v>
      </c>
      <c r="K131" s="1">
        <f>IF(aoc_02_input[[#This Row],[Pos1]]=aoc_02_input[[#This Row],[Char]],1,0)</f>
        <v>1</v>
      </c>
      <c r="L131" s="1" t="str">
        <f>MID(aoc_02_input[[#This Row],[Password]],aoc_02_input[[#This Row],[Int2]],1)</f>
        <v>l</v>
      </c>
      <c r="M131" s="1">
        <f>IF(aoc_02_input[[#This Row],[Pos2]]=aoc_02_input[[#This Row],[Char]],1,0)</f>
        <v>0</v>
      </c>
      <c r="N131" s="1">
        <f>IF(aoc_02_input[[#This Row],[Pos1Valid]]&lt;&gt;aoc_02_input[[#This Row],[Pos2Valid]],1,0)</f>
        <v>1</v>
      </c>
    </row>
    <row r="132" spans="1:14" x14ac:dyDescent="0.45">
      <c r="A132" s="1" t="s">
        <v>427</v>
      </c>
      <c r="B132" s="1" t="s">
        <v>243</v>
      </c>
      <c r="C132" s="1" t="s">
        <v>428</v>
      </c>
      <c r="D132" s="1">
        <f>FIND("-",aoc_02_input[[#This Row],[InputNumbers]])</f>
        <v>2</v>
      </c>
      <c r="E132" s="1">
        <f>_xlfn.NUMBERVALUE(LEFT(aoc_02_input[[#This Row],[InputNumbers]],aoc_02_input[[#This Row],[PosDash]]-1))</f>
        <v>3</v>
      </c>
      <c r="F132" s="1">
        <f>_xlfn.NUMBERVALUE(MID(aoc_02_input[[#This Row],[InputNumbers]],aoc_02_input[[#This Row],[PosDash]]+1,5))</f>
        <v>8</v>
      </c>
      <c r="G132" s="1" t="str">
        <f>LEFT(aoc_02_input[[#This Row],[InputChar]],1)</f>
        <v>f</v>
      </c>
      <c r="H132" s="1" cm="1">
        <f t="array" ref="H132">CountChar(aoc_02_input[[#This Row],[Password]],aoc_02_input[[#This Row],[Char]])</f>
        <v>0</v>
      </c>
      <c r="I132" s="1">
        <f>IF(AND(aoc_02_input[[#This Row],[Int1]]&lt;=aoc_02_input[[#This Row],[CountOfChar]],aoc_02_input[[#This Row],[CountOfChar]]&lt;=aoc_02_input[[#This Row],[Int2]]),1,0)</f>
        <v>0</v>
      </c>
      <c r="J132" s="1" t="str">
        <f>MID(aoc_02_input[[#This Row],[Password]],aoc_02_input[[#This Row],[Int1]],1)</f>
        <v>s</v>
      </c>
      <c r="K132" s="1">
        <f>IF(aoc_02_input[[#This Row],[Pos1]]=aoc_02_input[[#This Row],[Char]],1,0)</f>
        <v>0</v>
      </c>
      <c r="L132" s="1" t="str">
        <f>MID(aoc_02_input[[#This Row],[Password]],aoc_02_input[[#This Row],[Int2]],1)</f>
        <v>c</v>
      </c>
      <c r="M132" s="1">
        <f>IF(aoc_02_input[[#This Row],[Pos2]]=aoc_02_input[[#This Row],[Char]],1,0)</f>
        <v>0</v>
      </c>
      <c r="N132" s="1">
        <f>IF(aoc_02_input[[#This Row],[Pos1Valid]]&lt;&gt;aoc_02_input[[#This Row],[Pos2Valid]],1,0)</f>
        <v>0</v>
      </c>
    </row>
    <row r="133" spans="1:14" x14ac:dyDescent="0.45">
      <c r="A133" s="1" t="s">
        <v>269</v>
      </c>
      <c r="B133" s="1" t="s">
        <v>213</v>
      </c>
      <c r="C133" s="1" t="s">
        <v>429</v>
      </c>
      <c r="D133" s="1">
        <f>FIND("-",aoc_02_input[[#This Row],[InputNumbers]])</f>
        <v>2</v>
      </c>
      <c r="E133" s="1">
        <f>_xlfn.NUMBERVALUE(LEFT(aoc_02_input[[#This Row],[InputNumbers]],aoc_02_input[[#This Row],[PosDash]]-1))</f>
        <v>4</v>
      </c>
      <c r="F133" s="1">
        <f>_xlfn.NUMBERVALUE(MID(aoc_02_input[[#This Row],[InputNumbers]],aoc_02_input[[#This Row],[PosDash]]+1,5))</f>
        <v>9</v>
      </c>
      <c r="G133" s="1" t="str">
        <f>LEFT(aoc_02_input[[#This Row],[InputChar]],1)</f>
        <v>m</v>
      </c>
      <c r="H133" s="1" cm="1">
        <f t="array" ref="H133">CountChar(aoc_02_input[[#This Row],[Password]],aoc_02_input[[#This Row],[Char]])</f>
        <v>2</v>
      </c>
      <c r="I133" s="1">
        <f>IF(AND(aoc_02_input[[#This Row],[Int1]]&lt;=aoc_02_input[[#This Row],[CountOfChar]],aoc_02_input[[#This Row],[CountOfChar]]&lt;=aoc_02_input[[#This Row],[Int2]]),1,0)</f>
        <v>0</v>
      </c>
      <c r="J133" s="1" t="str">
        <f>MID(aoc_02_input[[#This Row],[Password]],aoc_02_input[[#This Row],[Int1]],1)</f>
        <v>z</v>
      </c>
      <c r="K133" s="1">
        <f>IF(aoc_02_input[[#This Row],[Pos1]]=aoc_02_input[[#This Row],[Char]],1,0)</f>
        <v>0</v>
      </c>
      <c r="L133" s="1" t="str">
        <f>MID(aoc_02_input[[#This Row],[Password]],aoc_02_input[[#This Row],[Int2]],1)</f>
        <v>m</v>
      </c>
      <c r="M133" s="1">
        <f>IF(aoc_02_input[[#This Row],[Pos2]]=aoc_02_input[[#This Row],[Char]],1,0)</f>
        <v>1</v>
      </c>
      <c r="N133" s="1">
        <f>IF(aoc_02_input[[#This Row],[Pos1Valid]]&lt;&gt;aoc_02_input[[#This Row],[Pos2Valid]],1,0)</f>
        <v>1</v>
      </c>
    </row>
    <row r="134" spans="1:14" x14ac:dyDescent="0.45">
      <c r="A134" s="1" t="s">
        <v>430</v>
      </c>
      <c r="B134" s="1" t="s">
        <v>213</v>
      </c>
      <c r="C134" s="1" t="s">
        <v>431</v>
      </c>
      <c r="D134" s="1">
        <f>FIND("-",aoc_02_input[[#This Row],[InputNumbers]])</f>
        <v>2</v>
      </c>
      <c r="E134" s="1">
        <f>_xlfn.NUMBERVALUE(LEFT(aoc_02_input[[#This Row],[InputNumbers]],aoc_02_input[[#This Row],[PosDash]]-1))</f>
        <v>4</v>
      </c>
      <c r="F134" s="1">
        <f>_xlfn.NUMBERVALUE(MID(aoc_02_input[[#This Row],[InputNumbers]],aoc_02_input[[#This Row],[PosDash]]+1,5))</f>
        <v>11</v>
      </c>
      <c r="G134" s="1" t="str">
        <f>LEFT(aoc_02_input[[#This Row],[InputChar]],1)</f>
        <v>m</v>
      </c>
      <c r="H134" s="1" cm="1">
        <f t="array" ref="H134">CountChar(aoc_02_input[[#This Row],[Password]],aoc_02_input[[#This Row],[Char]])</f>
        <v>3</v>
      </c>
      <c r="I134" s="1">
        <f>IF(AND(aoc_02_input[[#This Row],[Int1]]&lt;=aoc_02_input[[#This Row],[CountOfChar]],aoc_02_input[[#This Row],[CountOfChar]]&lt;=aoc_02_input[[#This Row],[Int2]]),1,0)</f>
        <v>0</v>
      </c>
      <c r="J134" s="1" t="str">
        <f>MID(aoc_02_input[[#This Row],[Password]],aoc_02_input[[#This Row],[Int1]],1)</f>
        <v>c</v>
      </c>
      <c r="K134" s="1">
        <f>IF(aoc_02_input[[#This Row],[Pos1]]=aoc_02_input[[#This Row],[Char]],1,0)</f>
        <v>0</v>
      </c>
      <c r="L134" s="1" t="str">
        <f>MID(aoc_02_input[[#This Row],[Password]],aoc_02_input[[#This Row],[Int2]],1)</f>
        <v>j</v>
      </c>
      <c r="M134" s="1">
        <f>IF(aoc_02_input[[#This Row],[Pos2]]=aoc_02_input[[#This Row],[Char]],1,0)</f>
        <v>0</v>
      </c>
      <c r="N134" s="1">
        <f>IF(aoc_02_input[[#This Row],[Pos1Valid]]&lt;&gt;aoc_02_input[[#This Row],[Pos2Valid]],1,0)</f>
        <v>0</v>
      </c>
    </row>
    <row r="135" spans="1:14" x14ac:dyDescent="0.45">
      <c r="A135" s="1" t="s">
        <v>230</v>
      </c>
      <c r="B135" s="1" t="s">
        <v>228</v>
      </c>
      <c r="C135" s="1" t="s">
        <v>432</v>
      </c>
      <c r="D135" s="1">
        <f>FIND("-",aoc_02_input[[#This Row],[InputNumbers]])</f>
        <v>2</v>
      </c>
      <c r="E135" s="1">
        <f>_xlfn.NUMBERVALUE(LEFT(aoc_02_input[[#This Row],[InputNumbers]],aoc_02_input[[#This Row],[PosDash]]-1))</f>
        <v>2</v>
      </c>
      <c r="F135" s="1">
        <f>_xlfn.NUMBERVALUE(MID(aoc_02_input[[#This Row],[InputNumbers]],aoc_02_input[[#This Row],[PosDash]]+1,5))</f>
        <v>4</v>
      </c>
      <c r="G135" s="1" t="str">
        <f>LEFT(aoc_02_input[[#This Row],[InputChar]],1)</f>
        <v>t</v>
      </c>
      <c r="H135" s="1" cm="1">
        <f t="array" ref="H135">CountChar(aoc_02_input[[#This Row],[Password]],aoc_02_input[[#This Row],[Char]])</f>
        <v>2</v>
      </c>
      <c r="I135" s="1">
        <f>IF(AND(aoc_02_input[[#This Row],[Int1]]&lt;=aoc_02_input[[#This Row],[CountOfChar]],aoc_02_input[[#This Row],[CountOfChar]]&lt;=aoc_02_input[[#This Row],[Int2]]),1,0)</f>
        <v>1</v>
      </c>
      <c r="J135" s="1" t="str">
        <f>MID(aoc_02_input[[#This Row],[Password]],aoc_02_input[[#This Row],[Int1]],1)</f>
        <v>t</v>
      </c>
      <c r="K135" s="1">
        <f>IF(aoc_02_input[[#This Row],[Pos1]]=aoc_02_input[[#This Row],[Char]],1,0)</f>
        <v>1</v>
      </c>
      <c r="L135" s="1" t="str">
        <f>MID(aoc_02_input[[#This Row],[Password]],aoc_02_input[[#This Row],[Int2]],1)</f>
        <v>z</v>
      </c>
      <c r="M135" s="1">
        <f>IF(aoc_02_input[[#This Row],[Pos2]]=aoc_02_input[[#This Row],[Char]],1,0)</f>
        <v>0</v>
      </c>
      <c r="N135" s="1">
        <f>IF(aoc_02_input[[#This Row],[Pos1Valid]]&lt;&gt;aoc_02_input[[#This Row],[Pos2Valid]],1,0)</f>
        <v>1</v>
      </c>
    </row>
    <row r="136" spans="1:14" x14ac:dyDescent="0.45">
      <c r="A136" s="1" t="s">
        <v>227</v>
      </c>
      <c r="B136" s="1" t="s">
        <v>219</v>
      </c>
      <c r="C136" s="1" t="s">
        <v>433</v>
      </c>
      <c r="D136" s="1">
        <f>FIND("-",aoc_02_input[[#This Row],[InputNumbers]])</f>
        <v>2</v>
      </c>
      <c r="E136" s="1">
        <f>_xlfn.NUMBERVALUE(LEFT(aoc_02_input[[#This Row],[InputNumbers]],aoc_02_input[[#This Row],[PosDash]]-1))</f>
        <v>4</v>
      </c>
      <c r="F136" s="1">
        <f>_xlfn.NUMBERVALUE(MID(aoc_02_input[[#This Row],[InputNumbers]],aoc_02_input[[#This Row],[PosDash]]+1,5))</f>
        <v>5</v>
      </c>
      <c r="G136" s="1" t="str">
        <f>LEFT(aoc_02_input[[#This Row],[InputChar]],1)</f>
        <v>g</v>
      </c>
      <c r="H136" s="1" cm="1">
        <f t="array" ref="H136">CountChar(aoc_02_input[[#This Row],[Password]],aoc_02_input[[#This Row],[Char]])</f>
        <v>4</v>
      </c>
      <c r="I136" s="1">
        <f>IF(AND(aoc_02_input[[#This Row],[Int1]]&lt;=aoc_02_input[[#This Row],[CountOfChar]],aoc_02_input[[#This Row],[CountOfChar]]&lt;=aoc_02_input[[#This Row],[Int2]]),1,0)</f>
        <v>1</v>
      </c>
      <c r="J136" s="1" t="str">
        <f>MID(aoc_02_input[[#This Row],[Password]],aoc_02_input[[#This Row],[Int1]],1)</f>
        <v>g</v>
      </c>
      <c r="K136" s="1">
        <f>IF(aoc_02_input[[#This Row],[Pos1]]=aoc_02_input[[#This Row],[Char]],1,0)</f>
        <v>1</v>
      </c>
      <c r="L136" s="1" t="str">
        <f>MID(aoc_02_input[[#This Row],[Password]],aoc_02_input[[#This Row],[Int2]],1)</f>
        <v>s</v>
      </c>
      <c r="M136" s="1">
        <f>IF(aoc_02_input[[#This Row],[Pos2]]=aoc_02_input[[#This Row],[Char]],1,0)</f>
        <v>0</v>
      </c>
      <c r="N136" s="1">
        <f>IF(aoc_02_input[[#This Row],[Pos1Valid]]&lt;&gt;aoc_02_input[[#This Row],[Pos2Valid]],1,0)</f>
        <v>1</v>
      </c>
    </row>
    <row r="137" spans="1:14" x14ac:dyDescent="0.45">
      <c r="A137" s="1" t="s">
        <v>311</v>
      </c>
      <c r="B137" s="1" t="s">
        <v>314</v>
      </c>
      <c r="C137" s="1" t="s">
        <v>434</v>
      </c>
      <c r="D137" s="1">
        <f>FIND("-",aoc_02_input[[#This Row],[InputNumbers]])</f>
        <v>2</v>
      </c>
      <c r="E137" s="1">
        <f>_xlfn.NUMBERVALUE(LEFT(aoc_02_input[[#This Row],[InputNumbers]],aoc_02_input[[#This Row],[PosDash]]-1))</f>
        <v>3</v>
      </c>
      <c r="F137" s="1">
        <f>_xlfn.NUMBERVALUE(MID(aoc_02_input[[#This Row],[InputNumbers]],aoc_02_input[[#This Row],[PosDash]]+1,5))</f>
        <v>6</v>
      </c>
      <c r="G137" s="1" t="str">
        <f>LEFT(aoc_02_input[[#This Row],[InputChar]],1)</f>
        <v>h</v>
      </c>
      <c r="H137" s="1" cm="1">
        <f t="array" ref="H137">CountChar(aoc_02_input[[#This Row],[Password]],aoc_02_input[[#This Row],[Char]])</f>
        <v>2</v>
      </c>
      <c r="I137" s="1">
        <f>IF(AND(aoc_02_input[[#This Row],[Int1]]&lt;=aoc_02_input[[#This Row],[CountOfChar]],aoc_02_input[[#This Row],[CountOfChar]]&lt;=aoc_02_input[[#This Row],[Int2]]),1,0)</f>
        <v>0</v>
      </c>
      <c r="J137" s="1" t="str">
        <f>MID(aoc_02_input[[#This Row],[Password]],aoc_02_input[[#This Row],[Int1]],1)</f>
        <v>w</v>
      </c>
      <c r="K137" s="1">
        <f>IF(aoc_02_input[[#This Row],[Pos1]]=aoc_02_input[[#This Row],[Char]],1,0)</f>
        <v>0</v>
      </c>
      <c r="L137" s="1" t="str">
        <f>MID(aoc_02_input[[#This Row],[Password]],aoc_02_input[[#This Row],[Int2]],1)</f>
        <v>h</v>
      </c>
      <c r="M137" s="1">
        <f>IF(aoc_02_input[[#This Row],[Pos2]]=aoc_02_input[[#This Row],[Char]],1,0)</f>
        <v>1</v>
      </c>
      <c r="N137" s="1">
        <f>IF(aoc_02_input[[#This Row],[Pos1Valid]]&lt;&gt;aoc_02_input[[#This Row],[Pos2Valid]],1,0)</f>
        <v>1</v>
      </c>
    </row>
    <row r="138" spans="1:14" x14ac:dyDescent="0.45">
      <c r="A138" s="1" t="s">
        <v>435</v>
      </c>
      <c r="B138" s="1" t="s">
        <v>249</v>
      </c>
      <c r="C138" s="1" t="s">
        <v>436</v>
      </c>
      <c r="D138" s="1">
        <f>FIND("-",aoc_02_input[[#This Row],[InputNumbers]])</f>
        <v>2</v>
      </c>
      <c r="E138" s="1">
        <f>_xlfn.NUMBERVALUE(LEFT(aoc_02_input[[#This Row],[InputNumbers]],aoc_02_input[[#This Row],[PosDash]]-1))</f>
        <v>2</v>
      </c>
      <c r="F138" s="1">
        <f>_xlfn.NUMBERVALUE(MID(aoc_02_input[[#This Row],[InputNumbers]],aoc_02_input[[#This Row],[PosDash]]+1,5))</f>
        <v>10</v>
      </c>
      <c r="G138" s="1" t="str">
        <f>LEFT(aoc_02_input[[#This Row],[InputChar]],1)</f>
        <v>q</v>
      </c>
      <c r="H138" s="1" cm="1">
        <f t="array" ref="H138">CountChar(aoc_02_input[[#This Row],[Password]],aoc_02_input[[#This Row],[Char]])</f>
        <v>6</v>
      </c>
      <c r="I138" s="1">
        <f>IF(AND(aoc_02_input[[#This Row],[Int1]]&lt;=aoc_02_input[[#This Row],[CountOfChar]],aoc_02_input[[#This Row],[CountOfChar]]&lt;=aoc_02_input[[#This Row],[Int2]]),1,0)</f>
        <v>1</v>
      </c>
      <c r="J138" s="1" t="str">
        <f>MID(aoc_02_input[[#This Row],[Password]],aoc_02_input[[#This Row],[Int1]],1)</f>
        <v>q</v>
      </c>
      <c r="K138" s="1">
        <f>IF(aoc_02_input[[#This Row],[Pos1]]=aoc_02_input[[#This Row],[Char]],1,0)</f>
        <v>1</v>
      </c>
      <c r="L138" s="1" t="str">
        <f>MID(aoc_02_input[[#This Row],[Password]],aoc_02_input[[#This Row],[Int2]],1)</f>
        <v>l</v>
      </c>
      <c r="M138" s="1">
        <f>IF(aoc_02_input[[#This Row],[Pos2]]=aoc_02_input[[#This Row],[Char]],1,0)</f>
        <v>0</v>
      </c>
      <c r="N138" s="1">
        <f>IF(aoc_02_input[[#This Row],[Pos1Valid]]&lt;&gt;aoc_02_input[[#This Row],[Pos2Valid]],1,0)</f>
        <v>1</v>
      </c>
    </row>
    <row r="139" spans="1:14" x14ac:dyDescent="0.45">
      <c r="A139" s="1" t="s">
        <v>230</v>
      </c>
      <c r="B139" s="1" t="s">
        <v>222</v>
      </c>
      <c r="C139" s="1" t="s">
        <v>437</v>
      </c>
      <c r="D139" s="1">
        <f>FIND("-",aoc_02_input[[#This Row],[InputNumbers]])</f>
        <v>2</v>
      </c>
      <c r="E139" s="1">
        <f>_xlfn.NUMBERVALUE(LEFT(aoc_02_input[[#This Row],[InputNumbers]],aoc_02_input[[#This Row],[PosDash]]-1))</f>
        <v>2</v>
      </c>
      <c r="F139" s="1">
        <f>_xlfn.NUMBERVALUE(MID(aoc_02_input[[#This Row],[InputNumbers]],aoc_02_input[[#This Row],[PosDash]]+1,5))</f>
        <v>4</v>
      </c>
      <c r="G139" s="1" t="str">
        <f>LEFT(aoc_02_input[[#This Row],[InputChar]],1)</f>
        <v>l</v>
      </c>
      <c r="H139" s="1" cm="1">
        <f t="array" ref="H139">CountChar(aoc_02_input[[#This Row],[Password]],aoc_02_input[[#This Row],[Char]])</f>
        <v>0</v>
      </c>
      <c r="I139" s="1">
        <f>IF(AND(aoc_02_input[[#This Row],[Int1]]&lt;=aoc_02_input[[#This Row],[CountOfChar]],aoc_02_input[[#This Row],[CountOfChar]]&lt;=aoc_02_input[[#This Row],[Int2]]),1,0)</f>
        <v>0</v>
      </c>
      <c r="J139" s="1" t="str">
        <f>MID(aoc_02_input[[#This Row],[Password]],aoc_02_input[[#This Row],[Int1]],1)</f>
        <v>v</v>
      </c>
      <c r="K139" s="1">
        <f>IF(aoc_02_input[[#This Row],[Pos1]]=aoc_02_input[[#This Row],[Char]],1,0)</f>
        <v>0</v>
      </c>
      <c r="L139" s="1" t="str">
        <f>MID(aoc_02_input[[#This Row],[Password]],aoc_02_input[[#This Row],[Int2]],1)</f>
        <v>q</v>
      </c>
      <c r="M139" s="1">
        <f>IF(aoc_02_input[[#This Row],[Pos2]]=aoc_02_input[[#This Row],[Char]],1,0)</f>
        <v>0</v>
      </c>
      <c r="N139" s="1">
        <f>IF(aoc_02_input[[#This Row],[Pos1Valid]]&lt;&gt;aoc_02_input[[#This Row],[Pos2Valid]],1,0)</f>
        <v>0</v>
      </c>
    </row>
    <row r="140" spans="1:14" x14ac:dyDescent="0.45">
      <c r="A140" s="1" t="s">
        <v>438</v>
      </c>
      <c r="B140" s="1" t="s">
        <v>295</v>
      </c>
      <c r="C140" s="1" t="s">
        <v>439</v>
      </c>
      <c r="D140" s="1">
        <f>FIND("-",aoc_02_input[[#This Row],[InputNumbers]])</f>
        <v>2</v>
      </c>
      <c r="E140" s="1">
        <f>_xlfn.NUMBERVALUE(LEFT(aoc_02_input[[#This Row],[InputNumbers]],aoc_02_input[[#This Row],[PosDash]]-1))</f>
        <v>7</v>
      </c>
      <c r="F140" s="1">
        <f>_xlfn.NUMBERVALUE(MID(aoc_02_input[[#This Row],[InputNumbers]],aoc_02_input[[#This Row],[PosDash]]+1,5))</f>
        <v>14</v>
      </c>
      <c r="G140" s="1" t="str">
        <f>LEFT(aoc_02_input[[#This Row],[InputChar]],1)</f>
        <v>c</v>
      </c>
      <c r="H140" s="1" cm="1">
        <f t="array" ref="H140">CountChar(aoc_02_input[[#This Row],[Password]],aoc_02_input[[#This Row],[Char]])</f>
        <v>6</v>
      </c>
      <c r="I140" s="1">
        <f>IF(AND(aoc_02_input[[#This Row],[Int1]]&lt;=aoc_02_input[[#This Row],[CountOfChar]],aoc_02_input[[#This Row],[CountOfChar]]&lt;=aoc_02_input[[#This Row],[Int2]]),1,0)</f>
        <v>0</v>
      </c>
      <c r="J140" s="1" t="str">
        <f>MID(aoc_02_input[[#This Row],[Password]],aoc_02_input[[#This Row],[Int1]],1)</f>
        <v>c</v>
      </c>
      <c r="K140" s="1">
        <f>IF(aoc_02_input[[#This Row],[Pos1]]=aoc_02_input[[#This Row],[Char]],1,0)</f>
        <v>1</v>
      </c>
      <c r="L140" s="1" t="str">
        <f>MID(aoc_02_input[[#This Row],[Password]],aoc_02_input[[#This Row],[Int2]],1)</f>
        <v>c</v>
      </c>
      <c r="M140" s="1">
        <f>IF(aoc_02_input[[#This Row],[Pos2]]=aoc_02_input[[#This Row],[Char]],1,0)</f>
        <v>1</v>
      </c>
      <c r="N140" s="1">
        <f>IF(aoc_02_input[[#This Row],[Pos1Valid]]&lt;&gt;aoc_02_input[[#This Row],[Pos2Valid]],1,0)</f>
        <v>0</v>
      </c>
    </row>
    <row r="141" spans="1:14" x14ac:dyDescent="0.45">
      <c r="A141" s="1" t="s">
        <v>264</v>
      </c>
      <c r="B141" s="1" t="s">
        <v>265</v>
      </c>
      <c r="C141" s="1" t="s">
        <v>440</v>
      </c>
      <c r="D141" s="1">
        <f>FIND("-",aoc_02_input[[#This Row],[InputNumbers]])</f>
        <v>2</v>
      </c>
      <c r="E141" s="1">
        <f>_xlfn.NUMBERVALUE(LEFT(aoc_02_input[[#This Row],[InputNumbers]],aoc_02_input[[#This Row],[PosDash]]-1))</f>
        <v>9</v>
      </c>
      <c r="F141" s="1">
        <f>_xlfn.NUMBERVALUE(MID(aoc_02_input[[#This Row],[InputNumbers]],aoc_02_input[[#This Row],[PosDash]]+1,5))</f>
        <v>11</v>
      </c>
      <c r="G141" s="1" t="str">
        <f>LEFT(aoc_02_input[[#This Row],[InputChar]],1)</f>
        <v>r</v>
      </c>
      <c r="H141" s="1" cm="1">
        <f t="array" ref="H141">CountChar(aoc_02_input[[#This Row],[Password]],aoc_02_input[[#This Row],[Char]])</f>
        <v>14</v>
      </c>
      <c r="I141" s="1">
        <f>IF(AND(aoc_02_input[[#This Row],[Int1]]&lt;=aoc_02_input[[#This Row],[CountOfChar]],aoc_02_input[[#This Row],[CountOfChar]]&lt;=aoc_02_input[[#This Row],[Int2]]),1,0)</f>
        <v>0</v>
      </c>
      <c r="J141" s="1" t="str">
        <f>MID(aoc_02_input[[#This Row],[Password]],aoc_02_input[[#This Row],[Int1]],1)</f>
        <v>c</v>
      </c>
      <c r="K141" s="1">
        <f>IF(aoc_02_input[[#This Row],[Pos1]]=aoc_02_input[[#This Row],[Char]],1,0)</f>
        <v>0</v>
      </c>
      <c r="L141" s="1" t="str">
        <f>MID(aoc_02_input[[#This Row],[Password]],aoc_02_input[[#This Row],[Int2]],1)</f>
        <v>r</v>
      </c>
      <c r="M141" s="1">
        <f>IF(aoc_02_input[[#This Row],[Pos2]]=aoc_02_input[[#This Row],[Char]],1,0)</f>
        <v>1</v>
      </c>
      <c r="N141" s="1">
        <f>IF(aoc_02_input[[#This Row],[Pos1Valid]]&lt;&gt;aoc_02_input[[#This Row],[Pos2Valid]],1,0)</f>
        <v>1</v>
      </c>
    </row>
    <row r="142" spans="1:14" x14ac:dyDescent="0.45">
      <c r="A142" s="1" t="s">
        <v>441</v>
      </c>
      <c r="B142" s="1" t="s">
        <v>219</v>
      </c>
      <c r="C142" s="1" t="s">
        <v>442</v>
      </c>
      <c r="D142" s="1">
        <f>FIND("-",aoc_02_input[[#This Row],[InputNumbers]])</f>
        <v>3</v>
      </c>
      <c r="E142" s="1">
        <f>_xlfn.NUMBERVALUE(LEFT(aoc_02_input[[#This Row],[InputNumbers]],aoc_02_input[[#This Row],[PosDash]]-1))</f>
        <v>11</v>
      </c>
      <c r="F142" s="1">
        <f>_xlfn.NUMBERVALUE(MID(aoc_02_input[[#This Row],[InputNumbers]],aoc_02_input[[#This Row],[PosDash]]+1,5))</f>
        <v>13</v>
      </c>
      <c r="G142" s="1" t="str">
        <f>LEFT(aoc_02_input[[#This Row],[InputChar]],1)</f>
        <v>g</v>
      </c>
      <c r="H142" s="1" cm="1">
        <f t="array" ref="H142">CountChar(aoc_02_input[[#This Row],[Password]],aoc_02_input[[#This Row],[Char]])</f>
        <v>10</v>
      </c>
      <c r="I142" s="1">
        <f>IF(AND(aoc_02_input[[#This Row],[Int1]]&lt;=aoc_02_input[[#This Row],[CountOfChar]],aoc_02_input[[#This Row],[CountOfChar]]&lt;=aoc_02_input[[#This Row],[Int2]]),1,0)</f>
        <v>0</v>
      </c>
      <c r="J142" s="1" t="str">
        <f>MID(aoc_02_input[[#This Row],[Password]],aoc_02_input[[#This Row],[Int1]],1)</f>
        <v>g</v>
      </c>
      <c r="K142" s="1">
        <f>IF(aoc_02_input[[#This Row],[Pos1]]=aoc_02_input[[#This Row],[Char]],1,0)</f>
        <v>1</v>
      </c>
      <c r="L142" s="1" t="str">
        <f>MID(aoc_02_input[[#This Row],[Password]],aoc_02_input[[#This Row],[Int2]],1)</f>
        <v>j</v>
      </c>
      <c r="M142" s="1">
        <f>IF(aoc_02_input[[#This Row],[Pos2]]=aoc_02_input[[#This Row],[Char]],1,0)</f>
        <v>0</v>
      </c>
      <c r="N142" s="1">
        <f>IF(aoc_02_input[[#This Row],[Pos1Valid]]&lt;&gt;aoc_02_input[[#This Row],[Pos2Valid]],1,0)</f>
        <v>1</v>
      </c>
    </row>
    <row r="143" spans="1:14" x14ac:dyDescent="0.45">
      <c r="A143" s="1" t="s">
        <v>443</v>
      </c>
      <c r="B143" s="1" t="s">
        <v>252</v>
      </c>
      <c r="C143" s="1" t="s">
        <v>444</v>
      </c>
      <c r="D143" s="1">
        <f>FIND("-",aoc_02_input[[#This Row],[InputNumbers]])</f>
        <v>3</v>
      </c>
      <c r="E143" s="1">
        <f>_xlfn.NUMBERVALUE(LEFT(aoc_02_input[[#This Row],[InputNumbers]],aoc_02_input[[#This Row],[PosDash]]-1))</f>
        <v>10</v>
      </c>
      <c r="F143" s="1">
        <f>_xlfn.NUMBERVALUE(MID(aoc_02_input[[#This Row],[InputNumbers]],aoc_02_input[[#This Row],[PosDash]]+1,5))</f>
        <v>16</v>
      </c>
      <c r="G143" s="1" t="str">
        <f>LEFT(aoc_02_input[[#This Row],[InputChar]],1)</f>
        <v>p</v>
      </c>
      <c r="H143" s="1" cm="1">
        <f t="array" ref="H143">CountChar(aoc_02_input[[#This Row],[Password]],aoc_02_input[[#This Row],[Char]])</f>
        <v>10</v>
      </c>
      <c r="I143" s="1">
        <f>IF(AND(aoc_02_input[[#This Row],[Int1]]&lt;=aoc_02_input[[#This Row],[CountOfChar]],aoc_02_input[[#This Row],[CountOfChar]]&lt;=aoc_02_input[[#This Row],[Int2]]),1,0)</f>
        <v>1</v>
      </c>
      <c r="J143" s="1" t="str">
        <f>MID(aoc_02_input[[#This Row],[Password]],aoc_02_input[[#This Row],[Int1]],1)</f>
        <v>v</v>
      </c>
      <c r="K143" s="1">
        <f>IF(aoc_02_input[[#This Row],[Pos1]]=aoc_02_input[[#This Row],[Char]],1,0)</f>
        <v>0</v>
      </c>
      <c r="L143" s="1" t="str">
        <f>MID(aoc_02_input[[#This Row],[Password]],aoc_02_input[[#This Row],[Int2]],1)</f>
        <v>p</v>
      </c>
      <c r="M143" s="1">
        <f>IF(aoc_02_input[[#This Row],[Pos2]]=aoc_02_input[[#This Row],[Char]],1,0)</f>
        <v>1</v>
      </c>
      <c r="N143" s="1">
        <f>IF(aoc_02_input[[#This Row],[Pos1Valid]]&lt;&gt;aoc_02_input[[#This Row],[Pos2Valid]],1,0)</f>
        <v>1</v>
      </c>
    </row>
    <row r="144" spans="1:14" x14ac:dyDescent="0.45">
      <c r="A144" s="1" t="s">
        <v>445</v>
      </c>
      <c r="B144" s="1" t="s">
        <v>219</v>
      </c>
      <c r="C144" s="1" t="s">
        <v>446</v>
      </c>
      <c r="D144" s="1">
        <f>FIND("-",aoc_02_input[[#This Row],[InputNumbers]])</f>
        <v>3</v>
      </c>
      <c r="E144" s="1">
        <f>_xlfn.NUMBERVALUE(LEFT(aoc_02_input[[#This Row],[InputNumbers]],aoc_02_input[[#This Row],[PosDash]]-1))</f>
        <v>17</v>
      </c>
      <c r="F144" s="1">
        <f>_xlfn.NUMBERVALUE(MID(aoc_02_input[[#This Row],[InputNumbers]],aoc_02_input[[#This Row],[PosDash]]+1,5))</f>
        <v>18</v>
      </c>
      <c r="G144" s="1" t="str">
        <f>LEFT(aoc_02_input[[#This Row],[InputChar]],1)</f>
        <v>g</v>
      </c>
      <c r="H144" s="1" cm="1">
        <f t="array" ref="H144">CountChar(aoc_02_input[[#This Row],[Password]],aoc_02_input[[#This Row],[Char]])</f>
        <v>16</v>
      </c>
      <c r="I144" s="1">
        <f>IF(AND(aoc_02_input[[#This Row],[Int1]]&lt;=aoc_02_input[[#This Row],[CountOfChar]],aoc_02_input[[#This Row],[CountOfChar]]&lt;=aoc_02_input[[#This Row],[Int2]]),1,0)</f>
        <v>0</v>
      </c>
      <c r="J144" s="1" t="str">
        <f>MID(aoc_02_input[[#This Row],[Password]],aoc_02_input[[#This Row],[Int1]],1)</f>
        <v>q</v>
      </c>
      <c r="K144" s="1">
        <f>IF(aoc_02_input[[#This Row],[Pos1]]=aoc_02_input[[#This Row],[Char]],1,0)</f>
        <v>0</v>
      </c>
      <c r="L144" s="1" t="str">
        <f>MID(aoc_02_input[[#This Row],[Password]],aoc_02_input[[#This Row],[Int2]],1)</f>
        <v>g</v>
      </c>
      <c r="M144" s="1">
        <f>IF(aoc_02_input[[#This Row],[Pos2]]=aoc_02_input[[#This Row],[Char]],1,0)</f>
        <v>1</v>
      </c>
      <c r="N144" s="1">
        <f>IF(aoc_02_input[[#This Row],[Pos1Valid]]&lt;&gt;aoc_02_input[[#This Row],[Pos2Valid]],1,0)</f>
        <v>1</v>
      </c>
    </row>
    <row r="145" spans="1:14" x14ac:dyDescent="0.45">
      <c r="A145" s="1" t="s">
        <v>307</v>
      </c>
      <c r="B145" s="1" t="s">
        <v>219</v>
      </c>
      <c r="C145" s="1" t="s">
        <v>447</v>
      </c>
      <c r="D145" s="1">
        <f>FIND("-",aoc_02_input[[#This Row],[InputNumbers]])</f>
        <v>2</v>
      </c>
      <c r="E145" s="1">
        <f>_xlfn.NUMBERVALUE(LEFT(aoc_02_input[[#This Row],[InputNumbers]],aoc_02_input[[#This Row],[PosDash]]-1))</f>
        <v>3</v>
      </c>
      <c r="F145" s="1">
        <f>_xlfn.NUMBERVALUE(MID(aoc_02_input[[#This Row],[InputNumbers]],aoc_02_input[[#This Row],[PosDash]]+1,5))</f>
        <v>5</v>
      </c>
      <c r="G145" s="1" t="str">
        <f>LEFT(aoc_02_input[[#This Row],[InputChar]],1)</f>
        <v>g</v>
      </c>
      <c r="H145" s="1" cm="1">
        <f t="array" ref="H145">CountChar(aoc_02_input[[#This Row],[Password]],aoc_02_input[[#This Row],[Char]])</f>
        <v>4</v>
      </c>
      <c r="I145" s="1">
        <f>IF(AND(aoc_02_input[[#This Row],[Int1]]&lt;=aoc_02_input[[#This Row],[CountOfChar]],aoc_02_input[[#This Row],[CountOfChar]]&lt;=aoc_02_input[[#This Row],[Int2]]),1,0)</f>
        <v>1</v>
      </c>
      <c r="J145" s="1" t="str">
        <f>MID(aoc_02_input[[#This Row],[Password]],aoc_02_input[[#This Row],[Int1]],1)</f>
        <v>g</v>
      </c>
      <c r="K145" s="1">
        <f>IF(aoc_02_input[[#This Row],[Pos1]]=aoc_02_input[[#This Row],[Char]],1,0)</f>
        <v>1</v>
      </c>
      <c r="L145" s="1" t="str">
        <f>MID(aoc_02_input[[#This Row],[Password]],aoc_02_input[[#This Row],[Int2]],1)</f>
        <v>g</v>
      </c>
      <c r="M145" s="1">
        <f>IF(aoc_02_input[[#This Row],[Pos2]]=aoc_02_input[[#This Row],[Char]],1,0)</f>
        <v>1</v>
      </c>
      <c r="N145" s="1">
        <f>IF(aoc_02_input[[#This Row],[Pos1Valid]]&lt;&gt;aoc_02_input[[#This Row],[Pos2Valid]],1,0)</f>
        <v>0</v>
      </c>
    </row>
    <row r="146" spans="1:14" x14ac:dyDescent="0.45">
      <c r="A146" s="1" t="s">
        <v>232</v>
      </c>
      <c r="B146" s="1" t="s">
        <v>235</v>
      </c>
      <c r="C146" s="1" t="s">
        <v>448</v>
      </c>
      <c r="D146" s="1">
        <f>FIND("-",aoc_02_input[[#This Row],[InputNumbers]])</f>
        <v>2</v>
      </c>
      <c r="E146" s="1">
        <f>_xlfn.NUMBERVALUE(LEFT(aoc_02_input[[#This Row],[InputNumbers]],aoc_02_input[[#This Row],[PosDash]]-1))</f>
        <v>4</v>
      </c>
      <c r="F146" s="1">
        <f>_xlfn.NUMBERVALUE(MID(aoc_02_input[[#This Row],[InputNumbers]],aoc_02_input[[#This Row],[PosDash]]+1,5))</f>
        <v>6</v>
      </c>
      <c r="G146" s="1" t="str">
        <f>LEFT(aoc_02_input[[#This Row],[InputChar]],1)</f>
        <v>d</v>
      </c>
      <c r="H146" s="1" cm="1">
        <f t="array" ref="H146">CountChar(aoc_02_input[[#This Row],[Password]],aoc_02_input[[#This Row],[Char]])</f>
        <v>4</v>
      </c>
      <c r="I146" s="1">
        <f>IF(AND(aoc_02_input[[#This Row],[Int1]]&lt;=aoc_02_input[[#This Row],[CountOfChar]],aoc_02_input[[#This Row],[CountOfChar]]&lt;=aoc_02_input[[#This Row],[Int2]]),1,0)</f>
        <v>1</v>
      </c>
      <c r="J146" s="1" t="str">
        <f>MID(aoc_02_input[[#This Row],[Password]],aoc_02_input[[#This Row],[Int1]],1)</f>
        <v>c</v>
      </c>
      <c r="K146" s="1">
        <f>IF(aoc_02_input[[#This Row],[Pos1]]=aoc_02_input[[#This Row],[Char]],1,0)</f>
        <v>0</v>
      </c>
      <c r="L146" s="1" t="str">
        <f>MID(aoc_02_input[[#This Row],[Password]],aoc_02_input[[#This Row],[Int2]],1)</f>
        <v>s</v>
      </c>
      <c r="M146" s="1">
        <f>IF(aoc_02_input[[#This Row],[Pos2]]=aoc_02_input[[#This Row],[Char]],1,0)</f>
        <v>0</v>
      </c>
      <c r="N146" s="1">
        <f>IF(aoc_02_input[[#This Row],[Pos1Valid]]&lt;&gt;aoc_02_input[[#This Row],[Pos2Valid]],1,0)</f>
        <v>0</v>
      </c>
    </row>
    <row r="147" spans="1:14" x14ac:dyDescent="0.45">
      <c r="A147" s="1" t="s">
        <v>283</v>
      </c>
      <c r="B147" s="1" t="s">
        <v>295</v>
      </c>
      <c r="C147" s="1" t="s">
        <v>449</v>
      </c>
      <c r="D147" s="1">
        <f>FIND("-",aoc_02_input[[#This Row],[InputNumbers]])</f>
        <v>2</v>
      </c>
      <c r="E147" s="1">
        <f>_xlfn.NUMBERVALUE(LEFT(aoc_02_input[[#This Row],[InputNumbers]],aoc_02_input[[#This Row],[PosDash]]-1))</f>
        <v>3</v>
      </c>
      <c r="F147" s="1">
        <f>_xlfn.NUMBERVALUE(MID(aoc_02_input[[#This Row],[InputNumbers]],aoc_02_input[[#This Row],[PosDash]]+1,5))</f>
        <v>4</v>
      </c>
      <c r="G147" s="1" t="str">
        <f>LEFT(aoc_02_input[[#This Row],[InputChar]],1)</f>
        <v>c</v>
      </c>
      <c r="H147" s="1" cm="1">
        <f t="array" ref="H147">CountChar(aoc_02_input[[#This Row],[Password]],aoc_02_input[[#This Row],[Char]])</f>
        <v>2</v>
      </c>
      <c r="I147" s="1">
        <f>IF(AND(aoc_02_input[[#This Row],[Int1]]&lt;=aoc_02_input[[#This Row],[CountOfChar]],aoc_02_input[[#This Row],[CountOfChar]]&lt;=aoc_02_input[[#This Row],[Int2]]),1,0)</f>
        <v>0</v>
      </c>
      <c r="J147" s="1" t="str">
        <f>MID(aoc_02_input[[#This Row],[Password]],aoc_02_input[[#This Row],[Int1]],1)</f>
        <v>k</v>
      </c>
      <c r="K147" s="1">
        <f>IF(aoc_02_input[[#This Row],[Pos1]]=aoc_02_input[[#This Row],[Char]],1,0)</f>
        <v>0</v>
      </c>
      <c r="L147" s="1" t="str">
        <f>MID(aoc_02_input[[#This Row],[Password]],aoc_02_input[[#This Row],[Int2]],1)</f>
        <v>t</v>
      </c>
      <c r="M147" s="1">
        <f>IF(aoc_02_input[[#This Row],[Pos2]]=aoc_02_input[[#This Row],[Char]],1,0)</f>
        <v>0</v>
      </c>
      <c r="N147" s="1">
        <f>IF(aoc_02_input[[#This Row],[Pos1Valid]]&lt;&gt;aoc_02_input[[#This Row],[Pos2Valid]],1,0)</f>
        <v>0</v>
      </c>
    </row>
    <row r="148" spans="1:14" x14ac:dyDescent="0.45">
      <c r="A148" s="1" t="s">
        <v>283</v>
      </c>
      <c r="B148" s="1" t="s">
        <v>219</v>
      </c>
      <c r="C148" s="1" t="s">
        <v>450</v>
      </c>
      <c r="D148" s="1">
        <f>FIND("-",aoc_02_input[[#This Row],[InputNumbers]])</f>
        <v>2</v>
      </c>
      <c r="E148" s="1">
        <f>_xlfn.NUMBERVALUE(LEFT(aoc_02_input[[#This Row],[InputNumbers]],aoc_02_input[[#This Row],[PosDash]]-1))</f>
        <v>3</v>
      </c>
      <c r="F148" s="1">
        <f>_xlfn.NUMBERVALUE(MID(aoc_02_input[[#This Row],[InputNumbers]],aoc_02_input[[#This Row],[PosDash]]+1,5))</f>
        <v>4</v>
      </c>
      <c r="G148" s="1" t="str">
        <f>LEFT(aoc_02_input[[#This Row],[InputChar]],1)</f>
        <v>g</v>
      </c>
      <c r="H148" s="1" cm="1">
        <f t="array" ref="H148">CountChar(aoc_02_input[[#This Row],[Password]],aoc_02_input[[#This Row],[Char]])</f>
        <v>3</v>
      </c>
      <c r="I148" s="1">
        <f>IF(AND(aoc_02_input[[#This Row],[Int1]]&lt;=aoc_02_input[[#This Row],[CountOfChar]],aoc_02_input[[#This Row],[CountOfChar]]&lt;=aoc_02_input[[#This Row],[Int2]]),1,0)</f>
        <v>1</v>
      </c>
      <c r="J148" s="1" t="str">
        <f>MID(aoc_02_input[[#This Row],[Password]],aoc_02_input[[#This Row],[Int1]],1)</f>
        <v>f</v>
      </c>
      <c r="K148" s="1">
        <f>IF(aoc_02_input[[#This Row],[Pos1]]=aoc_02_input[[#This Row],[Char]],1,0)</f>
        <v>0</v>
      </c>
      <c r="L148" s="1" t="str">
        <f>MID(aoc_02_input[[#This Row],[Password]],aoc_02_input[[#This Row],[Int2]],1)</f>
        <v>v</v>
      </c>
      <c r="M148" s="1">
        <f>IF(aoc_02_input[[#This Row],[Pos2]]=aoc_02_input[[#This Row],[Char]],1,0)</f>
        <v>0</v>
      </c>
      <c r="N148" s="1">
        <f>IF(aoc_02_input[[#This Row],[Pos1Valid]]&lt;&gt;aoc_02_input[[#This Row],[Pos2Valid]],1,0)</f>
        <v>0</v>
      </c>
    </row>
    <row r="149" spans="1:14" x14ac:dyDescent="0.45">
      <c r="A149" s="1" t="s">
        <v>273</v>
      </c>
      <c r="B149" s="1" t="s">
        <v>246</v>
      </c>
      <c r="C149" s="1" t="s">
        <v>451</v>
      </c>
      <c r="D149" s="1">
        <f>FIND("-",aoc_02_input[[#This Row],[InputNumbers]])</f>
        <v>2</v>
      </c>
      <c r="E149" s="1">
        <f>_xlfn.NUMBERVALUE(LEFT(aoc_02_input[[#This Row],[InputNumbers]],aoc_02_input[[#This Row],[PosDash]]-1))</f>
        <v>6</v>
      </c>
      <c r="F149" s="1">
        <f>_xlfn.NUMBERVALUE(MID(aoc_02_input[[#This Row],[InputNumbers]],aoc_02_input[[#This Row],[PosDash]]+1,5))</f>
        <v>11</v>
      </c>
      <c r="G149" s="1" t="str">
        <f>LEFT(aoc_02_input[[#This Row],[InputChar]],1)</f>
        <v>n</v>
      </c>
      <c r="H149" s="1" cm="1">
        <f t="array" ref="H149">CountChar(aoc_02_input[[#This Row],[Password]],aoc_02_input[[#This Row],[Char]])</f>
        <v>8</v>
      </c>
      <c r="I149" s="1">
        <f>IF(AND(aoc_02_input[[#This Row],[Int1]]&lt;=aoc_02_input[[#This Row],[CountOfChar]],aoc_02_input[[#This Row],[CountOfChar]]&lt;=aoc_02_input[[#This Row],[Int2]]),1,0)</f>
        <v>1</v>
      </c>
      <c r="J149" s="1" t="str">
        <f>MID(aoc_02_input[[#This Row],[Password]],aoc_02_input[[#This Row],[Int1]],1)</f>
        <v>n</v>
      </c>
      <c r="K149" s="1">
        <f>IF(aoc_02_input[[#This Row],[Pos1]]=aoc_02_input[[#This Row],[Char]],1,0)</f>
        <v>1</v>
      </c>
      <c r="L149" s="1" t="str">
        <f>MID(aoc_02_input[[#This Row],[Password]],aoc_02_input[[#This Row],[Int2]],1)</f>
        <v>n</v>
      </c>
      <c r="M149" s="1">
        <f>IF(aoc_02_input[[#This Row],[Pos2]]=aoc_02_input[[#This Row],[Char]],1,0)</f>
        <v>1</v>
      </c>
      <c r="N149" s="1">
        <f>IF(aoc_02_input[[#This Row],[Pos1Valid]]&lt;&gt;aoc_02_input[[#This Row],[Pos2Valid]],1,0)</f>
        <v>0</v>
      </c>
    </row>
    <row r="150" spans="1:14" x14ac:dyDescent="0.45">
      <c r="A150" s="1" t="s">
        <v>452</v>
      </c>
      <c r="B150" s="1" t="s">
        <v>207</v>
      </c>
      <c r="C150" s="1" t="s">
        <v>453</v>
      </c>
      <c r="D150" s="1">
        <f>FIND("-",aoc_02_input[[#This Row],[InputNumbers]])</f>
        <v>3</v>
      </c>
      <c r="E150" s="1">
        <f>_xlfn.NUMBERVALUE(LEFT(aoc_02_input[[#This Row],[InputNumbers]],aoc_02_input[[#This Row],[PosDash]]-1))</f>
        <v>14</v>
      </c>
      <c r="F150" s="1">
        <f>_xlfn.NUMBERVALUE(MID(aoc_02_input[[#This Row],[InputNumbers]],aoc_02_input[[#This Row],[PosDash]]+1,5))</f>
        <v>15</v>
      </c>
      <c r="G150" s="1" t="str">
        <f>LEFT(aoc_02_input[[#This Row],[InputChar]],1)</f>
        <v>b</v>
      </c>
      <c r="H150" s="1" cm="1">
        <f t="array" ref="H150">CountChar(aoc_02_input[[#This Row],[Password]],aoc_02_input[[#This Row],[Char]])</f>
        <v>4</v>
      </c>
      <c r="I150" s="1">
        <f>IF(AND(aoc_02_input[[#This Row],[Int1]]&lt;=aoc_02_input[[#This Row],[CountOfChar]],aoc_02_input[[#This Row],[CountOfChar]]&lt;=aoc_02_input[[#This Row],[Int2]]),1,0)</f>
        <v>0</v>
      </c>
      <c r="J150" s="1" t="str">
        <f>MID(aoc_02_input[[#This Row],[Password]],aoc_02_input[[#This Row],[Int1]],1)</f>
        <v>g</v>
      </c>
      <c r="K150" s="1">
        <f>IF(aoc_02_input[[#This Row],[Pos1]]=aoc_02_input[[#This Row],[Char]],1,0)</f>
        <v>0</v>
      </c>
      <c r="L150" s="1" t="str">
        <f>MID(aoc_02_input[[#This Row],[Password]],aoc_02_input[[#This Row],[Int2]],1)</f>
        <v>b</v>
      </c>
      <c r="M150" s="1">
        <f>IF(aoc_02_input[[#This Row],[Pos2]]=aoc_02_input[[#This Row],[Char]],1,0)</f>
        <v>1</v>
      </c>
      <c r="N150" s="1">
        <f>IF(aoc_02_input[[#This Row],[Pos1Valid]]&lt;&gt;aoc_02_input[[#This Row],[Pos2Valid]],1,0)</f>
        <v>1</v>
      </c>
    </row>
    <row r="151" spans="1:14" x14ac:dyDescent="0.45">
      <c r="A151" s="1" t="s">
        <v>290</v>
      </c>
      <c r="B151" s="1" t="s">
        <v>238</v>
      </c>
      <c r="C151" s="1" t="s">
        <v>454</v>
      </c>
      <c r="D151" s="1">
        <f>FIND("-",aoc_02_input[[#This Row],[InputNumbers]])</f>
        <v>2</v>
      </c>
      <c r="E151" s="1">
        <f>_xlfn.NUMBERVALUE(LEFT(aoc_02_input[[#This Row],[InputNumbers]],aoc_02_input[[#This Row],[PosDash]]-1))</f>
        <v>8</v>
      </c>
      <c r="F151" s="1">
        <f>_xlfn.NUMBERVALUE(MID(aoc_02_input[[#This Row],[InputNumbers]],aoc_02_input[[#This Row],[PosDash]]+1,5))</f>
        <v>10</v>
      </c>
      <c r="G151" s="1" t="str">
        <f>LEFT(aoc_02_input[[#This Row],[InputChar]],1)</f>
        <v>w</v>
      </c>
      <c r="H151" s="1" cm="1">
        <f t="array" ref="H151">CountChar(aoc_02_input[[#This Row],[Password]],aoc_02_input[[#This Row],[Char]])</f>
        <v>5</v>
      </c>
      <c r="I151" s="1">
        <f>IF(AND(aoc_02_input[[#This Row],[Int1]]&lt;=aoc_02_input[[#This Row],[CountOfChar]],aoc_02_input[[#This Row],[CountOfChar]]&lt;=aoc_02_input[[#This Row],[Int2]]),1,0)</f>
        <v>0</v>
      </c>
      <c r="J151" s="1" t="str">
        <f>MID(aoc_02_input[[#This Row],[Password]],aoc_02_input[[#This Row],[Int1]],1)</f>
        <v>m</v>
      </c>
      <c r="K151" s="1">
        <f>IF(aoc_02_input[[#This Row],[Pos1]]=aoc_02_input[[#This Row],[Char]],1,0)</f>
        <v>0</v>
      </c>
      <c r="L151" s="1" t="str">
        <f>MID(aoc_02_input[[#This Row],[Password]],aoc_02_input[[#This Row],[Int2]],1)</f>
        <v>w</v>
      </c>
      <c r="M151" s="1">
        <f>IF(aoc_02_input[[#This Row],[Pos2]]=aoc_02_input[[#This Row],[Char]],1,0)</f>
        <v>1</v>
      </c>
      <c r="N151" s="1">
        <f>IF(aoc_02_input[[#This Row],[Pos1Valid]]&lt;&gt;aoc_02_input[[#This Row],[Pos2Valid]],1,0)</f>
        <v>1</v>
      </c>
    </row>
    <row r="152" spans="1:14" x14ac:dyDescent="0.45">
      <c r="A152" s="1" t="s">
        <v>227</v>
      </c>
      <c r="B152" s="1" t="s">
        <v>295</v>
      </c>
      <c r="C152" s="1" t="s">
        <v>455</v>
      </c>
      <c r="D152" s="1">
        <f>FIND("-",aoc_02_input[[#This Row],[InputNumbers]])</f>
        <v>2</v>
      </c>
      <c r="E152" s="1">
        <f>_xlfn.NUMBERVALUE(LEFT(aoc_02_input[[#This Row],[InputNumbers]],aoc_02_input[[#This Row],[PosDash]]-1))</f>
        <v>4</v>
      </c>
      <c r="F152" s="1">
        <f>_xlfn.NUMBERVALUE(MID(aoc_02_input[[#This Row],[InputNumbers]],aoc_02_input[[#This Row],[PosDash]]+1,5))</f>
        <v>5</v>
      </c>
      <c r="G152" s="1" t="str">
        <f>LEFT(aoc_02_input[[#This Row],[InputChar]],1)</f>
        <v>c</v>
      </c>
      <c r="H152" s="1" cm="1">
        <f t="array" ref="H152">CountChar(aoc_02_input[[#This Row],[Password]],aoc_02_input[[#This Row],[Char]])</f>
        <v>3</v>
      </c>
      <c r="I152" s="1">
        <f>IF(AND(aoc_02_input[[#This Row],[Int1]]&lt;=aoc_02_input[[#This Row],[CountOfChar]],aoc_02_input[[#This Row],[CountOfChar]]&lt;=aoc_02_input[[#This Row],[Int2]]),1,0)</f>
        <v>0</v>
      </c>
      <c r="J152" s="1" t="str">
        <f>MID(aoc_02_input[[#This Row],[Password]],aoc_02_input[[#This Row],[Int1]],1)</f>
        <v>j</v>
      </c>
      <c r="K152" s="1">
        <f>IF(aoc_02_input[[#This Row],[Pos1]]=aoc_02_input[[#This Row],[Char]],1,0)</f>
        <v>0</v>
      </c>
      <c r="L152" s="1" t="str">
        <f>MID(aoc_02_input[[#This Row],[Password]],aoc_02_input[[#This Row],[Int2]],1)</f>
        <v>c</v>
      </c>
      <c r="M152" s="1">
        <f>IF(aoc_02_input[[#This Row],[Pos2]]=aoc_02_input[[#This Row],[Char]],1,0)</f>
        <v>1</v>
      </c>
      <c r="N152" s="1">
        <f>IF(aoc_02_input[[#This Row],[Pos1Valid]]&lt;&gt;aoc_02_input[[#This Row],[Pos2Valid]],1,0)</f>
        <v>1</v>
      </c>
    </row>
    <row r="153" spans="1:14" x14ac:dyDescent="0.45">
      <c r="A153" s="1" t="s">
        <v>245</v>
      </c>
      <c r="B153" s="1" t="s">
        <v>314</v>
      </c>
      <c r="C153" s="1" t="s">
        <v>456</v>
      </c>
      <c r="D153" s="1">
        <f>FIND("-",aoc_02_input[[#This Row],[InputNumbers]])</f>
        <v>2</v>
      </c>
      <c r="E153" s="1">
        <f>_xlfn.NUMBERVALUE(LEFT(aoc_02_input[[#This Row],[InputNumbers]],aoc_02_input[[#This Row],[PosDash]]-1))</f>
        <v>3</v>
      </c>
      <c r="F153" s="1">
        <f>_xlfn.NUMBERVALUE(MID(aoc_02_input[[#This Row],[InputNumbers]],aoc_02_input[[#This Row],[PosDash]]+1,5))</f>
        <v>20</v>
      </c>
      <c r="G153" s="1" t="str">
        <f>LEFT(aoc_02_input[[#This Row],[InputChar]],1)</f>
        <v>h</v>
      </c>
      <c r="H153" s="1" cm="1">
        <f t="array" ref="H153">CountChar(aoc_02_input[[#This Row],[Password]],aoc_02_input[[#This Row],[Char]])</f>
        <v>11</v>
      </c>
      <c r="I153" s="1">
        <f>IF(AND(aoc_02_input[[#This Row],[Int1]]&lt;=aoc_02_input[[#This Row],[CountOfChar]],aoc_02_input[[#This Row],[CountOfChar]]&lt;=aoc_02_input[[#This Row],[Int2]]),1,0)</f>
        <v>1</v>
      </c>
      <c r="J153" s="1" t="str">
        <f>MID(aoc_02_input[[#This Row],[Password]],aoc_02_input[[#This Row],[Int1]],1)</f>
        <v>h</v>
      </c>
      <c r="K153" s="1">
        <f>IF(aoc_02_input[[#This Row],[Pos1]]=aoc_02_input[[#This Row],[Char]],1,0)</f>
        <v>1</v>
      </c>
      <c r="L153" s="1" t="str">
        <f>MID(aoc_02_input[[#This Row],[Password]],aoc_02_input[[#This Row],[Int2]],1)</f>
        <v>h</v>
      </c>
      <c r="M153" s="1">
        <f>IF(aoc_02_input[[#This Row],[Pos2]]=aoc_02_input[[#This Row],[Char]],1,0)</f>
        <v>1</v>
      </c>
      <c r="N153" s="1">
        <f>IF(aoc_02_input[[#This Row],[Pos1Valid]]&lt;&gt;aoc_02_input[[#This Row],[Pos2Valid]],1,0)</f>
        <v>0</v>
      </c>
    </row>
    <row r="154" spans="1:14" x14ac:dyDescent="0.45">
      <c r="A154" s="1" t="s">
        <v>394</v>
      </c>
      <c r="B154" s="1" t="s">
        <v>305</v>
      </c>
      <c r="C154" s="1" t="s">
        <v>457</v>
      </c>
      <c r="D154" s="1">
        <f>FIND("-",aoc_02_input[[#This Row],[InputNumbers]])</f>
        <v>2</v>
      </c>
      <c r="E154" s="1">
        <f>_xlfn.NUMBERVALUE(LEFT(aoc_02_input[[#This Row],[InputNumbers]],aoc_02_input[[#This Row],[PosDash]]-1))</f>
        <v>4</v>
      </c>
      <c r="F154" s="1">
        <f>_xlfn.NUMBERVALUE(MID(aoc_02_input[[#This Row],[InputNumbers]],aoc_02_input[[#This Row],[PosDash]]+1,5))</f>
        <v>7</v>
      </c>
      <c r="G154" s="1" t="str">
        <f>LEFT(aoc_02_input[[#This Row],[InputChar]],1)</f>
        <v>s</v>
      </c>
      <c r="H154" s="1" cm="1">
        <f t="array" ref="H154">CountChar(aoc_02_input[[#This Row],[Password]],aoc_02_input[[#This Row],[Char]])</f>
        <v>6</v>
      </c>
      <c r="I154" s="1">
        <f>IF(AND(aoc_02_input[[#This Row],[Int1]]&lt;=aoc_02_input[[#This Row],[CountOfChar]],aoc_02_input[[#This Row],[CountOfChar]]&lt;=aoc_02_input[[#This Row],[Int2]]),1,0)</f>
        <v>1</v>
      </c>
      <c r="J154" s="1" t="str">
        <f>MID(aoc_02_input[[#This Row],[Password]],aoc_02_input[[#This Row],[Int1]],1)</f>
        <v>s</v>
      </c>
      <c r="K154" s="1">
        <f>IF(aoc_02_input[[#This Row],[Pos1]]=aoc_02_input[[#This Row],[Char]],1,0)</f>
        <v>1</v>
      </c>
      <c r="L154" s="1" t="str">
        <f>MID(aoc_02_input[[#This Row],[Password]],aoc_02_input[[#This Row],[Int2]],1)</f>
        <v>s</v>
      </c>
      <c r="M154" s="1">
        <f>IF(aoc_02_input[[#This Row],[Pos2]]=aoc_02_input[[#This Row],[Char]],1,0)</f>
        <v>1</v>
      </c>
      <c r="N154" s="1">
        <f>IF(aoc_02_input[[#This Row],[Pos1Valid]]&lt;&gt;aoc_02_input[[#This Row],[Pos2Valid]],1,0)</f>
        <v>0</v>
      </c>
    </row>
    <row r="155" spans="1:14" x14ac:dyDescent="0.45">
      <c r="A155" s="1" t="s">
        <v>458</v>
      </c>
      <c r="B155" s="1" t="s">
        <v>254</v>
      </c>
      <c r="C155" s="1" t="s">
        <v>459</v>
      </c>
      <c r="D155" s="1">
        <f>FIND("-",aoc_02_input[[#This Row],[InputNumbers]])</f>
        <v>2</v>
      </c>
      <c r="E155" s="1">
        <f>_xlfn.NUMBERVALUE(LEFT(aoc_02_input[[#This Row],[InputNumbers]],aoc_02_input[[#This Row],[PosDash]]-1))</f>
        <v>9</v>
      </c>
      <c r="F155" s="1">
        <f>_xlfn.NUMBERVALUE(MID(aoc_02_input[[#This Row],[InputNumbers]],aoc_02_input[[#This Row],[PosDash]]+1,5))</f>
        <v>12</v>
      </c>
      <c r="G155" s="1" t="str">
        <f>LEFT(aoc_02_input[[#This Row],[InputChar]],1)</f>
        <v>k</v>
      </c>
      <c r="H155" s="1" cm="1">
        <f t="array" ref="H155">CountChar(aoc_02_input[[#This Row],[Password]],aoc_02_input[[#This Row],[Char]])</f>
        <v>9</v>
      </c>
      <c r="I155" s="1">
        <f>IF(AND(aoc_02_input[[#This Row],[Int1]]&lt;=aoc_02_input[[#This Row],[CountOfChar]],aoc_02_input[[#This Row],[CountOfChar]]&lt;=aoc_02_input[[#This Row],[Int2]]),1,0)</f>
        <v>1</v>
      </c>
      <c r="J155" s="1" t="str">
        <f>MID(aoc_02_input[[#This Row],[Password]],aoc_02_input[[#This Row],[Int1]],1)</f>
        <v>t</v>
      </c>
      <c r="K155" s="1">
        <f>IF(aoc_02_input[[#This Row],[Pos1]]=aoc_02_input[[#This Row],[Char]],1,0)</f>
        <v>0</v>
      </c>
      <c r="L155" s="1" t="str">
        <f>MID(aoc_02_input[[#This Row],[Password]],aoc_02_input[[#This Row],[Int2]],1)</f>
        <v>k</v>
      </c>
      <c r="M155" s="1">
        <f>IF(aoc_02_input[[#This Row],[Pos2]]=aoc_02_input[[#This Row],[Char]],1,0)</f>
        <v>1</v>
      </c>
      <c r="N155" s="1">
        <f>IF(aoc_02_input[[#This Row],[Pos1Valid]]&lt;&gt;aoc_02_input[[#This Row],[Pos2Valid]],1,0)</f>
        <v>1</v>
      </c>
    </row>
    <row r="156" spans="1:14" x14ac:dyDescent="0.45">
      <c r="A156" s="1" t="s">
        <v>424</v>
      </c>
      <c r="B156" s="1" t="s">
        <v>254</v>
      </c>
      <c r="C156" s="1" t="s">
        <v>460</v>
      </c>
      <c r="D156" s="1">
        <f>FIND("-",aoc_02_input[[#This Row],[InputNumbers]])</f>
        <v>2</v>
      </c>
      <c r="E156" s="1">
        <f>_xlfn.NUMBERVALUE(LEFT(aoc_02_input[[#This Row],[InputNumbers]],aoc_02_input[[#This Row],[PosDash]]-1))</f>
        <v>3</v>
      </c>
      <c r="F156" s="1">
        <f>_xlfn.NUMBERVALUE(MID(aoc_02_input[[#This Row],[InputNumbers]],aoc_02_input[[#This Row],[PosDash]]+1,5))</f>
        <v>9</v>
      </c>
      <c r="G156" s="1" t="str">
        <f>LEFT(aoc_02_input[[#This Row],[InputChar]],1)</f>
        <v>k</v>
      </c>
      <c r="H156" s="1" cm="1">
        <f t="array" ref="H156">CountChar(aoc_02_input[[#This Row],[Password]],aoc_02_input[[#This Row],[Char]])</f>
        <v>5</v>
      </c>
      <c r="I156" s="1">
        <f>IF(AND(aoc_02_input[[#This Row],[Int1]]&lt;=aoc_02_input[[#This Row],[CountOfChar]],aoc_02_input[[#This Row],[CountOfChar]]&lt;=aoc_02_input[[#This Row],[Int2]]),1,0)</f>
        <v>1</v>
      </c>
      <c r="J156" s="1" t="str">
        <f>MID(aoc_02_input[[#This Row],[Password]],aoc_02_input[[#This Row],[Int1]],1)</f>
        <v>j</v>
      </c>
      <c r="K156" s="1">
        <f>IF(aoc_02_input[[#This Row],[Pos1]]=aoc_02_input[[#This Row],[Char]],1,0)</f>
        <v>0</v>
      </c>
      <c r="L156" s="1" t="str">
        <f>MID(aoc_02_input[[#This Row],[Password]],aoc_02_input[[#This Row],[Int2]],1)</f>
        <v>k</v>
      </c>
      <c r="M156" s="1">
        <f>IF(aoc_02_input[[#This Row],[Pos2]]=aoc_02_input[[#This Row],[Char]],1,0)</f>
        <v>1</v>
      </c>
      <c r="N156" s="1">
        <f>IF(aoc_02_input[[#This Row],[Pos1Valid]]&lt;&gt;aoc_02_input[[#This Row],[Pos2Valid]],1,0)</f>
        <v>1</v>
      </c>
    </row>
    <row r="157" spans="1:14" x14ac:dyDescent="0.45">
      <c r="A157" s="1" t="s">
        <v>330</v>
      </c>
      <c r="B157" s="1" t="s">
        <v>254</v>
      </c>
      <c r="C157" s="1" t="s">
        <v>461</v>
      </c>
      <c r="D157" s="1">
        <f>FIND("-",aoc_02_input[[#This Row],[InputNumbers]])</f>
        <v>3</v>
      </c>
      <c r="E157" s="1">
        <f>_xlfn.NUMBERVALUE(LEFT(aoc_02_input[[#This Row],[InputNumbers]],aoc_02_input[[#This Row],[PosDash]]-1))</f>
        <v>13</v>
      </c>
      <c r="F157" s="1">
        <f>_xlfn.NUMBERVALUE(MID(aoc_02_input[[#This Row],[InputNumbers]],aoc_02_input[[#This Row],[PosDash]]+1,5))</f>
        <v>14</v>
      </c>
      <c r="G157" s="1" t="str">
        <f>LEFT(aoc_02_input[[#This Row],[InputChar]],1)</f>
        <v>k</v>
      </c>
      <c r="H157" s="1" cm="1">
        <f t="array" ref="H157">CountChar(aoc_02_input[[#This Row],[Password]],aoc_02_input[[#This Row],[Char]])</f>
        <v>11</v>
      </c>
      <c r="I157" s="1">
        <f>IF(AND(aoc_02_input[[#This Row],[Int1]]&lt;=aoc_02_input[[#This Row],[CountOfChar]],aoc_02_input[[#This Row],[CountOfChar]]&lt;=aoc_02_input[[#This Row],[Int2]]),1,0)</f>
        <v>0</v>
      </c>
      <c r="J157" s="1" t="str">
        <f>MID(aoc_02_input[[#This Row],[Password]],aoc_02_input[[#This Row],[Int1]],1)</f>
        <v>n</v>
      </c>
      <c r="K157" s="1">
        <f>IF(aoc_02_input[[#This Row],[Pos1]]=aoc_02_input[[#This Row],[Char]],1,0)</f>
        <v>0</v>
      </c>
      <c r="L157" s="1" t="str">
        <f>MID(aoc_02_input[[#This Row],[Password]],aoc_02_input[[#This Row],[Int2]],1)</f>
        <v>p</v>
      </c>
      <c r="M157" s="1">
        <f>IF(aoc_02_input[[#This Row],[Pos2]]=aoc_02_input[[#This Row],[Char]],1,0)</f>
        <v>0</v>
      </c>
      <c r="N157" s="1">
        <f>IF(aoc_02_input[[#This Row],[Pos1Valid]]&lt;&gt;aoc_02_input[[#This Row],[Pos2Valid]],1,0)</f>
        <v>0</v>
      </c>
    </row>
    <row r="158" spans="1:14" x14ac:dyDescent="0.45">
      <c r="A158" s="1" t="s">
        <v>462</v>
      </c>
      <c r="B158" s="1" t="s">
        <v>278</v>
      </c>
      <c r="C158" s="1" t="s">
        <v>463</v>
      </c>
      <c r="D158" s="1">
        <f>FIND("-",aoc_02_input[[#This Row],[InputNumbers]])</f>
        <v>2</v>
      </c>
      <c r="E158" s="1">
        <f>_xlfn.NUMBERVALUE(LEFT(aoc_02_input[[#This Row],[InputNumbers]],aoc_02_input[[#This Row],[PosDash]]-1))</f>
        <v>4</v>
      </c>
      <c r="F158" s="1">
        <f>_xlfn.NUMBERVALUE(MID(aoc_02_input[[#This Row],[InputNumbers]],aoc_02_input[[#This Row],[PosDash]]+1,5))</f>
        <v>8</v>
      </c>
      <c r="G158" s="1" t="str">
        <f>LEFT(aoc_02_input[[#This Row],[InputChar]],1)</f>
        <v>x</v>
      </c>
      <c r="H158" s="1" cm="1">
        <f t="array" ref="H158">CountChar(aoc_02_input[[#This Row],[Password]],aoc_02_input[[#This Row],[Char]])</f>
        <v>6</v>
      </c>
      <c r="I158" s="1">
        <f>IF(AND(aoc_02_input[[#This Row],[Int1]]&lt;=aoc_02_input[[#This Row],[CountOfChar]],aoc_02_input[[#This Row],[CountOfChar]]&lt;=aoc_02_input[[#This Row],[Int2]]),1,0)</f>
        <v>1</v>
      </c>
      <c r="J158" s="1" t="str">
        <f>MID(aoc_02_input[[#This Row],[Password]],aoc_02_input[[#This Row],[Int1]],1)</f>
        <v>x</v>
      </c>
      <c r="K158" s="1">
        <f>IF(aoc_02_input[[#This Row],[Pos1]]=aoc_02_input[[#This Row],[Char]],1,0)</f>
        <v>1</v>
      </c>
      <c r="L158" s="1" t="str">
        <f>MID(aoc_02_input[[#This Row],[Password]],aoc_02_input[[#This Row],[Int2]],1)</f>
        <v>x</v>
      </c>
      <c r="M158" s="1">
        <f>IF(aoc_02_input[[#This Row],[Pos2]]=aoc_02_input[[#This Row],[Char]],1,0)</f>
        <v>1</v>
      </c>
      <c r="N158" s="1">
        <f>IF(aoc_02_input[[#This Row],[Pos1Valid]]&lt;&gt;aoc_02_input[[#This Row],[Pos2Valid]],1,0)</f>
        <v>0</v>
      </c>
    </row>
    <row r="159" spans="1:14" x14ac:dyDescent="0.45">
      <c r="A159" s="1" t="s">
        <v>218</v>
      </c>
      <c r="B159" s="1" t="s">
        <v>246</v>
      </c>
      <c r="C159" s="1" t="s">
        <v>464</v>
      </c>
      <c r="D159" s="1">
        <f>FIND("-",aoc_02_input[[#This Row],[InputNumbers]])</f>
        <v>2</v>
      </c>
      <c r="E159" s="1">
        <f>_xlfn.NUMBERVALUE(LEFT(aoc_02_input[[#This Row],[InputNumbers]],aoc_02_input[[#This Row],[PosDash]]-1))</f>
        <v>6</v>
      </c>
      <c r="F159" s="1">
        <f>_xlfn.NUMBERVALUE(MID(aoc_02_input[[#This Row],[InputNumbers]],aoc_02_input[[#This Row],[PosDash]]+1,5))</f>
        <v>8</v>
      </c>
      <c r="G159" s="1" t="str">
        <f>LEFT(aoc_02_input[[#This Row],[InputChar]],1)</f>
        <v>n</v>
      </c>
      <c r="H159" s="1" cm="1">
        <f t="array" ref="H159">CountChar(aoc_02_input[[#This Row],[Password]],aoc_02_input[[#This Row],[Char]])</f>
        <v>6</v>
      </c>
      <c r="I159" s="1">
        <f>IF(AND(aoc_02_input[[#This Row],[Int1]]&lt;=aoc_02_input[[#This Row],[CountOfChar]],aoc_02_input[[#This Row],[CountOfChar]]&lt;=aoc_02_input[[#This Row],[Int2]]),1,0)</f>
        <v>1</v>
      </c>
      <c r="J159" s="1" t="str">
        <f>MID(aoc_02_input[[#This Row],[Password]],aoc_02_input[[#This Row],[Int1]],1)</f>
        <v>z</v>
      </c>
      <c r="K159" s="1">
        <f>IF(aoc_02_input[[#This Row],[Pos1]]=aoc_02_input[[#This Row],[Char]],1,0)</f>
        <v>0</v>
      </c>
      <c r="L159" s="1" t="str">
        <f>MID(aoc_02_input[[#This Row],[Password]],aoc_02_input[[#This Row],[Int2]],1)</f>
        <v>n</v>
      </c>
      <c r="M159" s="1">
        <f>IF(aoc_02_input[[#This Row],[Pos2]]=aoc_02_input[[#This Row],[Char]],1,0)</f>
        <v>1</v>
      </c>
      <c r="N159" s="1">
        <f>IF(aoc_02_input[[#This Row],[Pos1Valid]]&lt;&gt;aoc_02_input[[#This Row],[Pos2Valid]],1,0)</f>
        <v>1</v>
      </c>
    </row>
    <row r="160" spans="1:14" x14ac:dyDescent="0.45">
      <c r="A160" s="1" t="s">
        <v>380</v>
      </c>
      <c r="B160" s="1" t="s">
        <v>254</v>
      </c>
      <c r="C160" s="1" t="s">
        <v>465</v>
      </c>
      <c r="D160" s="1">
        <f>FIND("-",aoc_02_input[[#This Row],[InputNumbers]])</f>
        <v>2</v>
      </c>
      <c r="E160" s="1">
        <f>_xlfn.NUMBERVALUE(LEFT(aoc_02_input[[#This Row],[InputNumbers]],aoc_02_input[[#This Row],[PosDash]]-1))</f>
        <v>3</v>
      </c>
      <c r="F160" s="1">
        <f>_xlfn.NUMBERVALUE(MID(aoc_02_input[[#This Row],[InputNumbers]],aoc_02_input[[#This Row],[PosDash]]+1,5))</f>
        <v>7</v>
      </c>
      <c r="G160" s="1" t="str">
        <f>LEFT(aoc_02_input[[#This Row],[InputChar]],1)</f>
        <v>k</v>
      </c>
      <c r="H160" s="1" cm="1">
        <f t="array" ref="H160">CountChar(aoc_02_input[[#This Row],[Password]],aoc_02_input[[#This Row],[Char]])</f>
        <v>7</v>
      </c>
      <c r="I160" s="1">
        <f>IF(AND(aoc_02_input[[#This Row],[Int1]]&lt;=aoc_02_input[[#This Row],[CountOfChar]],aoc_02_input[[#This Row],[CountOfChar]]&lt;=aoc_02_input[[#This Row],[Int2]]),1,0)</f>
        <v>1</v>
      </c>
      <c r="J160" s="1" t="str">
        <f>MID(aoc_02_input[[#This Row],[Password]],aoc_02_input[[#This Row],[Int1]],1)</f>
        <v>m</v>
      </c>
      <c r="K160" s="1">
        <f>IF(aoc_02_input[[#This Row],[Pos1]]=aoc_02_input[[#This Row],[Char]],1,0)</f>
        <v>0</v>
      </c>
      <c r="L160" s="1" t="str">
        <f>MID(aoc_02_input[[#This Row],[Password]],aoc_02_input[[#This Row],[Int2]],1)</f>
        <v>s</v>
      </c>
      <c r="M160" s="1">
        <f>IF(aoc_02_input[[#This Row],[Pos2]]=aoc_02_input[[#This Row],[Char]],1,0)</f>
        <v>0</v>
      </c>
      <c r="N160" s="1">
        <f>IF(aoc_02_input[[#This Row],[Pos1Valid]]&lt;&gt;aoc_02_input[[#This Row],[Pos2Valid]],1,0)</f>
        <v>0</v>
      </c>
    </row>
    <row r="161" spans="1:14" x14ac:dyDescent="0.45">
      <c r="A161" s="1" t="s">
        <v>466</v>
      </c>
      <c r="B161" s="1" t="s">
        <v>225</v>
      </c>
      <c r="C161" s="1" t="s">
        <v>467</v>
      </c>
      <c r="D161" s="1">
        <f>FIND("-",aoc_02_input[[#This Row],[InputNumbers]])</f>
        <v>2</v>
      </c>
      <c r="E161" s="1">
        <f>_xlfn.NUMBERVALUE(LEFT(aoc_02_input[[#This Row],[InputNumbers]],aoc_02_input[[#This Row],[PosDash]]-1))</f>
        <v>1</v>
      </c>
      <c r="F161" s="1">
        <f>_xlfn.NUMBERVALUE(MID(aoc_02_input[[#This Row],[InputNumbers]],aoc_02_input[[#This Row],[PosDash]]+1,5))</f>
        <v>9</v>
      </c>
      <c r="G161" s="1" t="str">
        <f>LEFT(aoc_02_input[[#This Row],[InputChar]],1)</f>
        <v>j</v>
      </c>
      <c r="H161" s="1" cm="1">
        <f t="array" ref="H161">CountChar(aoc_02_input[[#This Row],[Password]],aoc_02_input[[#This Row],[Char]])</f>
        <v>5</v>
      </c>
      <c r="I161" s="1">
        <f>IF(AND(aoc_02_input[[#This Row],[Int1]]&lt;=aoc_02_input[[#This Row],[CountOfChar]],aoc_02_input[[#This Row],[CountOfChar]]&lt;=aoc_02_input[[#This Row],[Int2]]),1,0)</f>
        <v>1</v>
      </c>
      <c r="J161" s="1" t="str">
        <f>MID(aoc_02_input[[#This Row],[Password]],aoc_02_input[[#This Row],[Int1]],1)</f>
        <v>j</v>
      </c>
      <c r="K161" s="1">
        <f>IF(aoc_02_input[[#This Row],[Pos1]]=aoc_02_input[[#This Row],[Char]],1,0)</f>
        <v>1</v>
      </c>
      <c r="L161" s="1" t="str">
        <f>MID(aoc_02_input[[#This Row],[Password]],aoc_02_input[[#This Row],[Int2]],1)</f>
        <v>g</v>
      </c>
      <c r="M161" s="1">
        <f>IF(aoc_02_input[[#This Row],[Pos2]]=aoc_02_input[[#This Row],[Char]],1,0)</f>
        <v>0</v>
      </c>
      <c r="N161" s="1">
        <f>IF(aoc_02_input[[#This Row],[Pos1Valid]]&lt;&gt;aoc_02_input[[#This Row],[Pos2Valid]],1,0)</f>
        <v>1</v>
      </c>
    </row>
    <row r="162" spans="1:14" x14ac:dyDescent="0.45">
      <c r="A162" s="1" t="s">
        <v>468</v>
      </c>
      <c r="B162" s="1" t="s">
        <v>210</v>
      </c>
      <c r="C162" s="1" t="s">
        <v>469</v>
      </c>
      <c r="D162" s="1">
        <f>FIND("-",aoc_02_input[[#This Row],[InputNumbers]])</f>
        <v>3</v>
      </c>
      <c r="E162" s="1">
        <f>_xlfn.NUMBERVALUE(LEFT(aoc_02_input[[#This Row],[InputNumbers]],aoc_02_input[[#This Row],[PosDash]]-1))</f>
        <v>14</v>
      </c>
      <c r="F162" s="1">
        <f>_xlfn.NUMBERVALUE(MID(aoc_02_input[[#This Row],[InputNumbers]],aoc_02_input[[#This Row],[PosDash]]+1,5))</f>
        <v>16</v>
      </c>
      <c r="G162" s="1" t="str">
        <f>LEFT(aoc_02_input[[#This Row],[InputChar]],1)</f>
        <v>v</v>
      </c>
      <c r="H162" s="1" cm="1">
        <f t="array" ref="H162">CountChar(aoc_02_input[[#This Row],[Password]],aoc_02_input[[#This Row],[Char]])</f>
        <v>4</v>
      </c>
      <c r="I162" s="1">
        <f>IF(AND(aoc_02_input[[#This Row],[Int1]]&lt;=aoc_02_input[[#This Row],[CountOfChar]],aoc_02_input[[#This Row],[CountOfChar]]&lt;=aoc_02_input[[#This Row],[Int2]]),1,0)</f>
        <v>0</v>
      </c>
      <c r="J162" s="1" t="str">
        <f>MID(aoc_02_input[[#This Row],[Password]],aoc_02_input[[#This Row],[Int1]],1)</f>
        <v>f</v>
      </c>
      <c r="K162" s="1">
        <f>IF(aoc_02_input[[#This Row],[Pos1]]=aoc_02_input[[#This Row],[Char]],1,0)</f>
        <v>0</v>
      </c>
      <c r="L162" s="1" t="str">
        <f>MID(aoc_02_input[[#This Row],[Password]],aoc_02_input[[#This Row],[Int2]],1)</f>
        <v>v</v>
      </c>
      <c r="M162" s="1">
        <f>IF(aoc_02_input[[#This Row],[Pos2]]=aoc_02_input[[#This Row],[Char]],1,0)</f>
        <v>1</v>
      </c>
      <c r="N162" s="1">
        <f>IF(aoc_02_input[[#This Row],[Pos1Valid]]&lt;&gt;aoc_02_input[[#This Row],[Pos2Valid]],1,0)</f>
        <v>1</v>
      </c>
    </row>
    <row r="163" spans="1:14" x14ac:dyDescent="0.45">
      <c r="A163" s="1" t="s">
        <v>311</v>
      </c>
      <c r="B163" s="1" t="s">
        <v>228</v>
      </c>
      <c r="C163" s="1" t="s">
        <v>470</v>
      </c>
      <c r="D163" s="1">
        <f>FIND("-",aoc_02_input[[#This Row],[InputNumbers]])</f>
        <v>2</v>
      </c>
      <c r="E163" s="1">
        <f>_xlfn.NUMBERVALUE(LEFT(aoc_02_input[[#This Row],[InputNumbers]],aoc_02_input[[#This Row],[PosDash]]-1))</f>
        <v>3</v>
      </c>
      <c r="F163" s="1">
        <f>_xlfn.NUMBERVALUE(MID(aoc_02_input[[#This Row],[InputNumbers]],aoc_02_input[[#This Row],[PosDash]]+1,5))</f>
        <v>6</v>
      </c>
      <c r="G163" s="1" t="str">
        <f>LEFT(aoc_02_input[[#This Row],[InputChar]],1)</f>
        <v>t</v>
      </c>
      <c r="H163" s="1" cm="1">
        <f t="array" ref="H163">CountChar(aoc_02_input[[#This Row],[Password]],aoc_02_input[[#This Row],[Char]])</f>
        <v>9</v>
      </c>
      <c r="I163" s="1">
        <f>IF(AND(aoc_02_input[[#This Row],[Int1]]&lt;=aoc_02_input[[#This Row],[CountOfChar]],aoc_02_input[[#This Row],[CountOfChar]]&lt;=aoc_02_input[[#This Row],[Int2]]),1,0)</f>
        <v>0</v>
      </c>
      <c r="J163" s="1" t="str">
        <f>MID(aoc_02_input[[#This Row],[Password]],aoc_02_input[[#This Row],[Int1]],1)</f>
        <v>r</v>
      </c>
      <c r="K163" s="1">
        <f>IF(aoc_02_input[[#This Row],[Pos1]]=aoc_02_input[[#This Row],[Char]],1,0)</f>
        <v>0</v>
      </c>
      <c r="L163" s="1" t="str">
        <f>MID(aoc_02_input[[#This Row],[Password]],aoc_02_input[[#This Row],[Int2]],1)</f>
        <v>t</v>
      </c>
      <c r="M163" s="1">
        <f>IF(aoc_02_input[[#This Row],[Pos2]]=aoc_02_input[[#This Row],[Char]],1,0)</f>
        <v>1</v>
      </c>
      <c r="N163" s="1">
        <f>IF(aoc_02_input[[#This Row],[Pos1Valid]]&lt;&gt;aoc_02_input[[#This Row],[Pos2Valid]],1,0)</f>
        <v>1</v>
      </c>
    </row>
    <row r="164" spans="1:14" x14ac:dyDescent="0.45">
      <c r="A164" s="1" t="s">
        <v>224</v>
      </c>
      <c r="B164" s="1" t="s">
        <v>249</v>
      </c>
      <c r="C164" s="1" t="s">
        <v>471</v>
      </c>
      <c r="D164" s="1">
        <f>FIND("-",aoc_02_input[[#This Row],[InputNumbers]])</f>
        <v>2</v>
      </c>
      <c r="E164" s="1">
        <f>_xlfn.NUMBERVALUE(LEFT(aoc_02_input[[#This Row],[InputNumbers]],aoc_02_input[[#This Row],[PosDash]]-1))</f>
        <v>1</v>
      </c>
      <c r="F164" s="1">
        <f>_xlfn.NUMBERVALUE(MID(aoc_02_input[[#This Row],[InputNumbers]],aoc_02_input[[#This Row],[PosDash]]+1,5))</f>
        <v>5</v>
      </c>
      <c r="G164" s="1" t="str">
        <f>LEFT(aoc_02_input[[#This Row],[InputChar]],1)</f>
        <v>q</v>
      </c>
      <c r="H164" s="1" cm="1">
        <f t="array" ref="H164">CountChar(aoc_02_input[[#This Row],[Password]],aoc_02_input[[#This Row],[Char]])</f>
        <v>3</v>
      </c>
      <c r="I164" s="1">
        <f>IF(AND(aoc_02_input[[#This Row],[Int1]]&lt;=aoc_02_input[[#This Row],[CountOfChar]],aoc_02_input[[#This Row],[CountOfChar]]&lt;=aoc_02_input[[#This Row],[Int2]]),1,0)</f>
        <v>1</v>
      </c>
      <c r="J164" s="1" t="str">
        <f>MID(aoc_02_input[[#This Row],[Password]],aoc_02_input[[#This Row],[Int1]],1)</f>
        <v>x</v>
      </c>
      <c r="K164" s="1">
        <f>IF(aoc_02_input[[#This Row],[Pos1]]=aoc_02_input[[#This Row],[Char]],1,0)</f>
        <v>0</v>
      </c>
      <c r="L164" s="1" t="str">
        <f>MID(aoc_02_input[[#This Row],[Password]],aoc_02_input[[#This Row],[Int2]],1)</f>
        <v>q</v>
      </c>
      <c r="M164" s="1">
        <f>IF(aoc_02_input[[#This Row],[Pos2]]=aoc_02_input[[#This Row],[Char]],1,0)</f>
        <v>1</v>
      </c>
      <c r="N164" s="1">
        <f>IF(aoc_02_input[[#This Row],[Pos1Valid]]&lt;&gt;aoc_02_input[[#This Row],[Pos2Valid]],1,0)</f>
        <v>1</v>
      </c>
    </row>
    <row r="165" spans="1:14" x14ac:dyDescent="0.45">
      <c r="A165" s="1" t="s">
        <v>337</v>
      </c>
      <c r="B165" s="1" t="s">
        <v>246</v>
      </c>
      <c r="C165" s="1" t="s">
        <v>472</v>
      </c>
      <c r="D165" s="1">
        <f>FIND("-",aoc_02_input[[#This Row],[InputNumbers]])</f>
        <v>3</v>
      </c>
      <c r="E165" s="1">
        <f>_xlfn.NUMBERVALUE(LEFT(aoc_02_input[[#This Row],[InputNumbers]],aoc_02_input[[#This Row],[PosDash]]-1))</f>
        <v>10</v>
      </c>
      <c r="F165" s="1">
        <f>_xlfn.NUMBERVALUE(MID(aoc_02_input[[#This Row],[InputNumbers]],aoc_02_input[[#This Row],[PosDash]]+1,5))</f>
        <v>13</v>
      </c>
      <c r="G165" s="1" t="str">
        <f>LEFT(aoc_02_input[[#This Row],[InputChar]],1)</f>
        <v>n</v>
      </c>
      <c r="H165" s="1" cm="1">
        <f t="array" ref="H165">CountChar(aoc_02_input[[#This Row],[Password]],aoc_02_input[[#This Row],[Char]])</f>
        <v>12</v>
      </c>
      <c r="I165" s="1">
        <f>IF(AND(aoc_02_input[[#This Row],[Int1]]&lt;=aoc_02_input[[#This Row],[CountOfChar]],aoc_02_input[[#This Row],[CountOfChar]]&lt;=aoc_02_input[[#This Row],[Int2]]),1,0)</f>
        <v>1</v>
      </c>
      <c r="J165" s="1" t="str">
        <f>MID(aoc_02_input[[#This Row],[Password]],aoc_02_input[[#This Row],[Int1]],1)</f>
        <v>n</v>
      </c>
      <c r="K165" s="1">
        <f>IF(aoc_02_input[[#This Row],[Pos1]]=aoc_02_input[[#This Row],[Char]],1,0)</f>
        <v>1</v>
      </c>
      <c r="L165" s="1" t="str">
        <f>MID(aoc_02_input[[#This Row],[Password]],aoc_02_input[[#This Row],[Int2]],1)</f>
        <v>n</v>
      </c>
      <c r="M165" s="1">
        <f>IF(aoc_02_input[[#This Row],[Pos2]]=aoc_02_input[[#This Row],[Char]],1,0)</f>
        <v>1</v>
      </c>
      <c r="N165" s="1">
        <f>IF(aoc_02_input[[#This Row],[Pos1Valid]]&lt;&gt;aoc_02_input[[#This Row],[Pos2Valid]],1,0)</f>
        <v>0</v>
      </c>
    </row>
    <row r="166" spans="1:14" x14ac:dyDescent="0.45">
      <c r="A166" s="1" t="s">
        <v>473</v>
      </c>
      <c r="B166" s="1" t="s">
        <v>243</v>
      </c>
      <c r="C166" s="1" t="s">
        <v>474</v>
      </c>
      <c r="D166" s="1">
        <f>FIND("-",aoc_02_input[[#This Row],[InputNumbers]])</f>
        <v>2</v>
      </c>
      <c r="E166" s="1">
        <f>_xlfn.NUMBERVALUE(LEFT(aoc_02_input[[#This Row],[InputNumbers]],aoc_02_input[[#This Row],[PosDash]]-1))</f>
        <v>2</v>
      </c>
      <c r="F166" s="1">
        <f>_xlfn.NUMBERVALUE(MID(aoc_02_input[[#This Row],[InputNumbers]],aoc_02_input[[#This Row],[PosDash]]+1,5))</f>
        <v>6</v>
      </c>
      <c r="G166" s="1" t="str">
        <f>LEFT(aoc_02_input[[#This Row],[InputChar]],1)</f>
        <v>f</v>
      </c>
      <c r="H166" s="1" cm="1">
        <f t="array" ref="H166">CountChar(aoc_02_input[[#This Row],[Password]],aoc_02_input[[#This Row],[Char]])</f>
        <v>5</v>
      </c>
      <c r="I166" s="1">
        <f>IF(AND(aoc_02_input[[#This Row],[Int1]]&lt;=aoc_02_input[[#This Row],[CountOfChar]],aoc_02_input[[#This Row],[CountOfChar]]&lt;=aoc_02_input[[#This Row],[Int2]]),1,0)</f>
        <v>1</v>
      </c>
      <c r="J166" s="1" t="str">
        <f>MID(aoc_02_input[[#This Row],[Password]],aoc_02_input[[#This Row],[Int1]],1)</f>
        <v>s</v>
      </c>
      <c r="K166" s="1">
        <f>IF(aoc_02_input[[#This Row],[Pos1]]=aoc_02_input[[#This Row],[Char]],1,0)</f>
        <v>0</v>
      </c>
      <c r="L166" s="1" t="str">
        <f>MID(aoc_02_input[[#This Row],[Password]],aoc_02_input[[#This Row],[Int2]],1)</f>
        <v>f</v>
      </c>
      <c r="M166" s="1">
        <f>IF(aoc_02_input[[#This Row],[Pos2]]=aoc_02_input[[#This Row],[Char]],1,0)</f>
        <v>1</v>
      </c>
      <c r="N166" s="1">
        <f>IF(aoc_02_input[[#This Row],[Pos1Valid]]&lt;&gt;aoc_02_input[[#This Row],[Pos2Valid]],1,0)</f>
        <v>1</v>
      </c>
    </row>
    <row r="167" spans="1:14" x14ac:dyDescent="0.45">
      <c r="A167" s="1" t="s">
        <v>264</v>
      </c>
      <c r="B167" s="1" t="s">
        <v>305</v>
      </c>
      <c r="C167" s="1" t="s">
        <v>475</v>
      </c>
      <c r="D167" s="1">
        <f>FIND("-",aoc_02_input[[#This Row],[InputNumbers]])</f>
        <v>2</v>
      </c>
      <c r="E167" s="1">
        <f>_xlfn.NUMBERVALUE(LEFT(aoc_02_input[[#This Row],[InputNumbers]],aoc_02_input[[#This Row],[PosDash]]-1))</f>
        <v>9</v>
      </c>
      <c r="F167" s="1">
        <f>_xlfn.NUMBERVALUE(MID(aoc_02_input[[#This Row],[InputNumbers]],aoc_02_input[[#This Row],[PosDash]]+1,5))</f>
        <v>11</v>
      </c>
      <c r="G167" s="1" t="str">
        <f>LEFT(aoc_02_input[[#This Row],[InputChar]],1)</f>
        <v>s</v>
      </c>
      <c r="H167" s="1" cm="1">
        <f t="array" ref="H167">CountChar(aoc_02_input[[#This Row],[Password]],aoc_02_input[[#This Row],[Char]])</f>
        <v>7</v>
      </c>
      <c r="I167" s="1">
        <f>IF(AND(aoc_02_input[[#This Row],[Int1]]&lt;=aoc_02_input[[#This Row],[CountOfChar]],aoc_02_input[[#This Row],[CountOfChar]]&lt;=aoc_02_input[[#This Row],[Int2]]),1,0)</f>
        <v>0</v>
      </c>
      <c r="J167" s="1" t="str">
        <f>MID(aoc_02_input[[#This Row],[Password]],aoc_02_input[[#This Row],[Int1]],1)</f>
        <v>l</v>
      </c>
      <c r="K167" s="1">
        <f>IF(aoc_02_input[[#This Row],[Pos1]]=aoc_02_input[[#This Row],[Char]],1,0)</f>
        <v>0</v>
      </c>
      <c r="L167" s="1" t="str">
        <f>MID(aoc_02_input[[#This Row],[Password]],aoc_02_input[[#This Row],[Int2]],1)</f>
        <v>s</v>
      </c>
      <c r="M167" s="1">
        <f>IF(aoc_02_input[[#This Row],[Pos2]]=aoc_02_input[[#This Row],[Char]],1,0)</f>
        <v>1</v>
      </c>
      <c r="N167" s="1">
        <f>IF(aoc_02_input[[#This Row],[Pos1Valid]]&lt;&gt;aoc_02_input[[#This Row],[Pos2Valid]],1,0)</f>
        <v>1</v>
      </c>
    </row>
    <row r="168" spans="1:14" x14ac:dyDescent="0.45">
      <c r="A168" s="1" t="s">
        <v>271</v>
      </c>
      <c r="B168" s="1" t="s">
        <v>243</v>
      </c>
      <c r="C168" s="1" t="s">
        <v>476</v>
      </c>
      <c r="D168" s="1">
        <f>FIND("-",aoc_02_input[[#This Row],[InputNumbers]])</f>
        <v>2</v>
      </c>
      <c r="E168" s="1">
        <f>_xlfn.NUMBERVALUE(LEFT(aoc_02_input[[#This Row],[InputNumbers]],aoc_02_input[[#This Row],[PosDash]]-1))</f>
        <v>9</v>
      </c>
      <c r="F168" s="1">
        <f>_xlfn.NUMBERVALUE(MID(aoc_02_input[[#This Row],[InputNumbers]],aoc_02_input[[#This Row],[PosDash]]+1,5))</f>
        <v>10</v>
      </c>
      <c r="G168" s="1" t="str">
        <f>LEFT(aoc_02_input[[#This Row],[InputChar]],1)</f>
        <v>f</v>
      </c>
      <c r="H168" s="1" cm="1">
        <f t="array" ref="H168">CountChar(aoc_02_input[[#This Row],[Password]],aoc_02_input[[#This Row],[Char]])</f>
        <v>7</v>
      </c>
      <c r="I168" s="1">
        <f>IF(AND(aoc_02_input[[#This Row],[Int1]]&lt;=aoc_02_input[[#This Row],[CountOfChar]],aoc_02_input[[#This Row],[CountOfChar]]&lt;=aoc_02_input[[#This Row],[Int2]]),1,0)</f>
        <v>0</v>
      </c>
      <c r="J168" s="1" t="str">
        <f>MID(aoc_02_input[[#This Row],[Password]],aoc_02_input[[#This Row],[Int1]],1)</f>
        <v>w</v>
      </c>
      <c r="K168" s="1">
        <f>IF(aoc_02_input[[#This Row],[Pos1]]=aoc_02_input[[#This Row],[Char]],1,0)</f>
        <v>0</v>
      </c>
      <c r="L168" s="1" t="str">
        <f>MID(aoc_02_input[[#This Row],[Password]],aoc_02_input[[#This Row],[Int2]],1)</f>
        <v>s</v>
      </c>
      <c r="M168" s="1">
        <f>IF(aoc_02_input[[#This Row],[Pos2]]=aoc_02_input[[#This Row],[Char]],1,0)</f>
        <v>0</v>
      </c>
      <c r="N168" s="1">
        <f>IF(aoc_02_input[[#This Row],[Pos1Valid]]&lt;&gt;aoc_02_input[[#This Row],[Pos2Valid]],1,0)</f>
        <v>0</v>
      </c>
    </row>
    <row r="169" spans="1:14" x14ac:dyDescent="0.45">
      <c r="A169" s="1" t="s">
        <v>466</v>
      </c>
      <c r="B169" s="1" t="s">
        <v>249</v>
      </c>
      <c r="C169" s="1" t="s">
        <v>477</v>
      </c>
      <c r="D169" s="1">
        <f>FIND("-",aoc_02_input[[#This Row],[InputNumbers]])</f>
        <v>2</v>
      </c>
      <c r="E169" s="1">
        <f>_xlfn.NUMBERVALUE(LEFT(aoc_02_input[[#This Row],[InputNumbers]],aoc_02_input[[#This Row],[PosDash]]-1))</f>
        <v>1</v>
      </c>
      <c r="F169" s="1">
        <f>_xlfn.NUMBERVALUE(MID(aoc_02_input[[#This Row],[InputNumbers]],aoc_02_input[[#This Row],[PosDash]]+1,5))</f>
        <v>9</v>
      </c>
      <c r="G169" s="1" t="str">
        <f>LEFT(aoc_02_input[[#This Row],[InputChar]],1)</f>
        <v>q</v>
      </c>
      <c r="H169" s="1" cm="1">
        <f t="array" ref="H169">CountChar(aoc_02_input[[#This Row],[Password]],aoc_02_input[[#This Row],[Char]])</f>
        <v>6</v>
      </c>
      <c r="I169" s="1">
        <f>IF(AND(aoc_02_input[[#This Row],[Int1]]&lt;=aoc_02_input[[#This Row],[CountOfChar]],aoc_02_input[[#This Row],[CountOfChar]]&lt;=aoc_02_input[[#This Row],[Int2]]),1,0)</f>
        <v>1</v>
      </c>
      <c r="J169" s="1" t="str">
        <f>MID(aoc_02_input[[#This Row],[Password]],aoc_02_input[[#This Row],[Int1]],1)</f>
        <v>f</v>
      </c>
      <c r="K169" s="1">
        <f>IF(aoc_02_input[[#This Row],[Pos1]]=aoc_02_input[[#This Row],[Char]],1,0)</f>
        <v>0</v>
      </c>
      <c r="L169" s="1" t="str">
        <f>MID(aoc_02_input[[#This Row],[Password]],aoc_02_input[[#This Row],[Int2]],1)</f>
        <v>q</v>
      </c>
      <c r="M169" s="1">
        <f>IF(aoc_02_input[[#This Row],[Pos2]]=aoc_02_input[[#This Row],[Char]],1,0)</f>
        <v>1</v>
      </c>
      <c r="N169" s="1">
        <f>IF(aoc_02_input[[#This Row],[Pos1Valid]]&lt;&gt;aoc_02_input[[#This Row],[Pos2Valid]],1,0)</f>
        <v>1</v>
      </c>
    </row>
    <row r="170" spans="1:14" x14ac:dyDescent="0.45">
      <c r="A170" s="1" t="s">
        <v>224</v>
      </c>
      <c r="B170" s="1" t="s">
        <v>305</v>
      </c>
      <c r="C170" s="1" t="s">
        <v>478</v>
      </c>
      <c r="D170" s="1">
        <f>FIND("-",aoc_02_input[[#This Row],[InputNumbers]])</f>
        <v>2</v>
      </c>
      <c r="E170" s="1">
        <f>_xlfn.NUMBERVALUE(LEFT(aoc_02_input[[#This Row],[InputNumbers]],aoc_02_input[[#This Row],[PosDash]]-1))</f>
        <v>1</v>
      </c>
      <c r="F170" s="1">
        <f>_xlfn.NUMBERVALUE(MID(aoc_02_input[[#This Row],[InputNumbers]],aoc_02_input[[#This Row],[PosDash]]+1,5))</f>
        <v>5</v>
      </c>
      <c r="G170" s="1" t="str">
        <f>LEFT(aoc_02_input[[#This Row],[InputChar]],1)</f>
        <v>s</v>
      </c>
      <c r="H170" s="1" cm="1">
        <f t="array" ref="H170">CountChar(aoc_02_input[[#This Row],[Password]],aoc_02_input[[#This Row],[Char]])</f>
        <v>8</v>
      </c>
      <c r="I170" s="1">
        <f>IF(AND(aoc_02_input[[#This Row],[Int1]]&lt;=aoc_02_input[[#This Row],[CountOfChar]],aoc_02_input[[#This Row],[CountOfChar]]&lt;=aoc_02_input[[#This Row],[Int2]]),1,0)</f>
        <v>0</v>
      </c>
      <c r="J170" s="1" t="str">
        <f>MID(aoc_02_input[[#This Row],[Password]],aoc_02_input[[#This Row],[Int1]],1)</f>
        <v>k</v>
      </c>
      <c r="K170" s="1">
        <f>IF(aoc_02_input[[#This Row],[Pos1]]=aoc_02_input[[#This Row],[Char]],1,0)</f>
        <v>0</v>
      </c>
      <c r="L170" s="1" t="str">
        <f>MID(aoc_02_input[[#This Row],[Password]],aoc_02_input[[#This Row],[Int2]],1)</f>
        <v>s</v>
      </c>
      <c r="M170" s="1">
        <f>IF(aoc_02_input[[#This Row],[Pos2]]=aoc_02_input[[#This Row],[Char]],1,0)</f>
        <v>1</v>
      </c>
      <c r="N170" s="1">
        <f>IF(aoc_02_input[[#This Row],[Pos1Valid]]&lt;&gt;aoc_02_input[[#This Row],[Pos2Valid]],1,0)</f>
        <v>1</v>
      </c>
    </row>
    <row r="171" spans="1:14" x14ac:dyDescent="0.45">
      <c r="A171" s="1" t="s">
        <v>479</v>
      </c>
      <c r="B171" s="1" t="s">
        <v>222</v>
      </c>
      <c r="C171" s="1" t="s">
        <v>480</v>
      </c>
      <c r="D171" s="1">
        <f>FIND("-",aoc_02_input[[#This Row],[InputNumbers]])</f>
        <v>2</v>
      </c>
      <c r="E171" s="1">
        <f>_xlfn.NUMBERVALUE(LEFT(aoc_02_input[[#This Row],[InputNumbers]],aoc_02_input[[#This Row],[PosDash]]-1))</f>
        <v>9</v>
      </c>
      <c r="F171" s="1">
        <f>_xlfn.NUMBERVALUE(MID(aoc_02_input[[#This Row],[InputNumbers]],aoc_02_input[[#This Row],[PosDash]]+1,5))</f>
        <v>18</v>
      </c>
      <c r="G171" s="1" t="str">
        <f>LEFT(aoc_02_input[[#This Row],[InputChar]],1)</f>
        <v>l</v>
      </c>
      <c r="H171" s="1" cm="1">
        <f t="array" ref="H171">CountChar(aoc_02_input[[#This Row],[Password]],aoc_02_input[[#This Row],[Char]])</f>
        <v>6</v>
      </c>
      <c r="I171" s="1">
        <f>IF(AND(aoc_02_input[[#This Row],[Int1]]&lt;=aoc_02_input[[#This Row],[CountOfChar]],aoc_02_input[[#This Row],[CountOfChar]]&lt;=aoc_02_input[[#This Row],[Int2]]),1,0)</f>
        <v>0</v>
      </c>
      <c r="J171" s="1" t="str">
        <f>MID(aoc_02_input[[#This Row],[Password]],aoc_02_input[[#This Row],[Int1]],1)</f>
        <v>m</v>
      </c>
      <c r="K171" s="1">
        <f>IF(aoc_02_input[[#This Row],[Pos1]]=aoc_02_input[[#This Row],[Char]],1,0)</f>
        <v>0</v>
      </c>
      <c r="L171" s="1" t="str">
        <f>MID(aoc_02_input[[#This Row],[Password]],aoc_02_input[[#This Row],[Int2]],1)</f>
        <v>q</v>
      </c>
      <c r="M171" s="1">
        <f>IF(aoc_02_input[[#This Row],[Pos2]]=aoc_02_input[[#This Row],[Char]],1,0)</f>
        <v>0</v>
      </c>
      <c r="N171" s="1">
        <f>IF(aoc_02_input[[#This Row],[Pos1Valid]]&lt;&gt;aoc_02_input[[#This Row],[Pos2Valid]],1,0)</f>
        <v>0</v>
      </c>
    </row>
    <row r="172" spans="1:14" x14ac:dyDescent="0.45">
      <c r="A172" s="1" t="s">
        <v>309</v>
      </c>
      <c r="B172" s="1" t="s">
        <v>305</v>
      </c>
      <c r="C172" s="1" t="s">
        <v>481</v>
      </c>
      <c r="D172" s="1">
        <f>FIND("-",aoc_02_input[[#This Row],[InputNumbers]])</f>
        <v>2</v>
      </c>
      <c r="E172" s="1">
        <f>_xlfn.NUMBERVALUE(LEFT(aoc_02_input[[#This Row],[InputNumbers]],aoc_02_input[[#This Row],[PosDash]]-1))</f>
        <v>8</v>
      </c>
      <c r="F172" s="1">
        <f>_xlfn.NUMBERVALUE(MID(aoc_02_input[[#This Row],[InputNumbers]],aoc_02_input[[#This Row],[PosDash]]+1,5))</f>
        <v>11</v>
      </c>
      <c r="G172" s="1" t="str">
        <f>LEFT(aoc_02_input[[#This Row],[InputChar]],1)</f>
        <v>s</v>
      </c>
      <c r="H172" s="1" cm="1">
        <f t="array" ref="H172">CountChar(aoc_02_input[[#This Row],[Password]],aoc_02_input[[#This Row],[Char]])</f>
        <v>8</v>
      </c>
      <c r="I172" s="1">
        <f>IF(AND(aoc_02_input[[#This Row],[Int1]]&lt;=aoc_02_input[[#This Row],[CountOfChar]],aoc_02_input[[#This Row],[CountOfChar]]&lt;=aoc_02_input[[#This Row],[Int2]]),1,0)</f>
        <v>1</v>
      </c>
      <c r="J172" s="1" t="str">
        <f>MID(aoc_02_input[[#This Row],[Password]],aoc_02_input[[#This Row],[Int1]],1)</f>
        <v>s</v>
      </c>
      <c r="K172" s="1">
        <f>IF(aoc_02_input[[#This Row],[Pos1]]=aoc_02_input[[#This Row],[Char]],1,0)</f>
        <v>1</v>
      </c>
      <c r="L172" s="1" t="str">
        <f>MID(aoc_02_input[[#This Row],[Password]],aoc_02_input[[#This Row],[Int2]],1)</f>
        <v>m</v>
      </c>
      <c r="M172" s="1">
        <f>IF(aoc_02_input[[#This Row],[Pos2]]=aoc_02_input[[#This Row],[Char]],1,0)</f>
        <v>0</v>
      </c>
      <c r="N172" s="1">
        <f>IF(aoc_02_input[[#This Row],[Pos1Valid]]&lt;&gt;aoc_02_input[[#This Row],[Pos2Valid]],1,0)</f>
        <v>1</v>
      </c>
    </row>
    <row r="173" spans="1:14" x14ac:dyDescent="0.45">
      <c r="A173" s="1" t="s">
        <v>412</v>
      </c>
      <c r="B173" s="1" t="s">
        <v>246</v>
      </c>
      <c r="C173" s="1" t="s">
        <v>482</v>
      </c>
      <c r="D173" s="1">
        <f>FIND("-",aoc_02_input[[#This Row],[InputNumbers]])</f>
        <v>3</v>
      </c>
      <c r="E173" s="1">
        <f>_xlfn.NUMBERVALUE(LEFT(aoc_02_input[[#This Row],[InputNumbers]],aoc_02_input[[#This Row],[PosDash]]-1))</f>
        <v>16</v>
      </c>
      <c r="F173" s="1">
        <f>_xlfn.NUMBERVALUE(MID(aoc_02_input[[#This Row],[InputNumbers]],aoc_02_input[[#This Row],[PosDash]]+1,5))</f>
        <v>17</v>
      </c>
      <c r="G173" s="1" t="str">
        <f>LEFT(aoc_02_input[[#This Row],[InputChar]],1)</f>
        <v>n</v>
      </c>
      <c r="H173" s="1" cm="1">
        <f t="array" ref="H173">CountChar(aoc_02_input[[#This Row],[Password]],aoc_02_input[[#This Row],[Char]])</f>
        <v>2</v>
      </c>
      <c r="I173" s="1">
        <f>IF(AND(aoc_02_input[[#This Row],[Int1]]&lt;=aoc_02_input[[#This Row],[CountOfChar]],aoc_02_input[[#This Row],[CountOfChar]]&lt;=aoc_02_input[[#This Row],[Int2]]),1,0)</f>
        <v>0</v>
      </c>
      <c r="J173" s="1" t="str">
        <f>MID(aoc_02_input[[#This Row],[Password]],aoc_02_input[[#This Row],[Int1]],1)</f>
        <v>w</v>
      </c>
      <c r="K173" s="1">
        <f>IF(aoc_02_input[[#This Row],[Pos1]]=aoc_02_input[[#This Row],[Char]],1,0)</f>
        <v>0</v>
      </c>
      <c r="L173" s="1" t="str">
        <f>MID(aoc_02_input[[#This Row],[Password]],aoc_02_input[[#This Row],[Int2]],1)</f>
        <v>f</v>
      </c>
      <c r="M173" s="1">
        <f>IF(aoc_02_input[[#This Row],[Pos2]]=aoc_02_input[[#This Row],[Char]],1,0)</f>
        <v>0</v>
      </c>
      <c r="N173" s="1">
        <f>IF(aoc_02_input[[#This Row],[Pos1Valid]]&lt;&gt;aoc_02_input[[#This Row],[Pos2Valid]],1,0)</f>
        <v>0</v>
      </c>
    </row>
    <row r="174" spans="1:14" x14ac:dyDescent="0.45">
      <c r="A174" s="1" t="s">
        <v>420</v>
      </c>
      <c r="B174" s="1" t="s">
        <v>225</v>
      </c>
      <c r="C174" s="1" t="s">
        <v>483</v>
      </c>
      <c r="D174" s="1">
        <f>FIND("-",aoc_02_input[[#This Row],[InputNumbers]])</f>
        <v>3</v>
      </c>
      <c r="E174" s="1">
        <f>_xlfn.NUMBERVALUE(LEFT(aoc_02_input[[#This Row],[InputNumbers]],aoc_02_input[[#This Row],[PosDash]]-1))</f>
        <v>11</v>
      </c>
      <c r="F174" s="1">
        <f>_xlfn.NUMBERVALUE(MID(aoc_02_input[[#This Row],[InputNumbers]],aoc_02_input[[#This Row],[PosDash]]+1,5))</f>
        <v>17</v>
      </c>
      <c r="G174" s="1" t="str">
        <f>LEFT(aoc_02_input[[#This Row],[InputChar]],1)</f>
        <v>j</v>
      </c>
      <c r="H174" s="1" cm="1">
        <f t="array" ref="H174">CountChar(aoc_02_input[[#This Row],[Password]],aoc_02_input[[#This Row],[Char]])</f>
        <v>8</v>
      </c>
      <c r="I174" s="1">
        <f>IF(AND(aoc_02_input[[#This Row],[Int1]]&lt;=aoc_02_input[[#This Row],[CountOfChar]],aoc_02_input[[#This Row],[CountOfChar]]&lt;=aoc_02_input[[#This Row],[Int2]]),1,0)</f>
        <v>0</v>
      </c>
      <c r="J174" s="1" t="str">
        <f>MID(aoc_02_input[[#This Row],[Password]],aoc_02_input[[#This Row],[Int1]],1)</f>
        <v>z</v>
      </c>
      <c r="K174" s="1">
        <f>IF(aoc_02_input[[#This Row],[Pos1]]=aoc_02_input[[#This Row],[Char]],1,0)</f>
        <v>0</v>
      </c>
      <c r="L174" s="1" t="str">
        <f>MID(aoc_02_input[[#This Row],[Password]],aoc_02_input[[#This Row],[Int2]],1)</f>
        <v>j</v>
      </c>
      <c r="M174" s="1">
        <f>IF(aoc_02_input[[#This Row],[Pos2]]=aoc_02_input[[#This Row],[Char]],1,0)</f>
        <v>1</v>
      </c>
      <c r="N174" s="1">
        <f>IF(aoc_02_input[[#This Row],[Pos1Valid]]&lt;&gt;aoc_02_input[[#This Row],[Pos2Valid]],1,0)</f>
        <v>1</v>
      </c>
    </row>
    <row r="175" spans="1:14" x14ac:dyDescent="0.45">
      <c r="A175" s="1" t="s">
        <v>417</v>
      </c>
      <c r="B175" s="1" t="s">
        <v>265</v>
      </c>
      <c r="C175" s="1" t="s">
        <v>484</v>
      </c>
      <c r="D175" s="1">
        <f>FIND("-",aoc_02_input[[#This Row],[InputNumbers]])</f>
        <v>3</v>
      </c>
      <c r="E175" s="1">
        <f>_xlfn.NUMBERVALUE(LEFT(aoc_02_input[[#This Row],[InputNumbers]],aoc_02_input[[#This Row],[PosDash]]-1))</f>
        <v>12</v>
      </c>
      <c r="F175" s="1">
        <f>_xlfn.NUMBERVALUE(MID(aoc_02_input[[#This Row],[InputNumbers]],aoc_02_input[[#This Row],[PosDash]]+1,5))</f>
        <v>13</v>
      </c>
      <c r="G175" s="1" t="str">
        <f>LEFT(aoc_02_input[[#This Row],[InputChar]],1)</f>
        <v>r</v>
      </c>
      <c r="H175" s="1" cm="1">
        <f t="array" ref="H175">CountChar(aoc_02_input[[#This Row],[Password]],aoc_02_input[[#This Row],[Char]])</f>
        <v>12</v>
      </c>
      <c r="I175" s="1">
        <f>IF(AND(aoc_02_input[[#This Row],[Int1]]&lt;=aoc_02_input[[#This Row],[CountOfChar]],aoc_02_input[[#This Row],[CountOfChar]]&lt;=aoc_02_input[[#This Row],[Int2]]),1,0)</f>
        <v>1</v>
      </c>
      <c r="J175" s="1" t="str">
        <f>MID(aoc_02_input[[#This Row],[Password]],aoc_02_input[[#This Row],[Int1]],1)</f>
        <v>x</v>
      </c>
      <c r="K175" s="1">
        <f>IF(aoc_02_input[[#This Row],[Pos1]]=aoc_02_input[[#This Row],[Char]],1,0)</f>
        <v>0</v>
      </c>
      <c r="L175" s="1" t="str">
        <f>MID(aoc_02_input[[#This Row],[Password]],aoc_02_input[[#This Row],[Int2]],1)</f>
        <v>q</v>
      </c>
      <c r="M175" s="1">
        <f>IF(aoc_02_input[[#This Row],[Pos2]]=aoc_02_input[[#This Row],[Char]],1,0)</f>
        <v>0</v>
      </c>
      <c r="N175" s="1">
        <f>IF(aoc_02_input[[#This Row],[Pos1Valid]]&lt;&gt;aoc_02_input[[#This Row],[Pos2Valid]],1,0)</f>
        <v>0</v>
      </c>
    </row>
    <row r="176" spans="1:14" x14ac:dyDescent="0.45">
      <c r="A176" s="1" t="s">
        <v>339</v>
      </c>
      <c r="B176" s="1" t="s">
        <v>246</v>
      </c>
      <c r="C176" s="1" t="s">
        <v>485</v>
      </c>
      <c r="D176" s="1">
        <f>FIND("-",aoc_02_input[[#This Row],[InputNumbers]])</f>
        <v>2</v>
      </c>
      <c r="E176" s="1">
        <f>_xlfn.NUMBERVALUE(LEFT(aoc_02_input[[#This Row],[InputNumbers]],aoc_02_input[[#This Row],[PosDash]]-1))</f>
        <v>6</v>
      </c>
      <c r="F176" s="1">
        <f>_xlfn.NUMBERVALUE(MID(aoc_02_input[[#This Row],[InputNumbers]],aoc_02_input[[#This Row],[PosDash]]+1,5))</f>
        <v>10</v>
      </c>
      <c r="G176" s="1" t="str">
        <f>LEFT(aoc_02_input[[#This Row],[InputChar]],1)</f>
        <v>n</v>
      </c>
      <c r="H176" s="1" cm="1">
        <f t="array" ref="H176">CountChar(aoc_02_input[[#This Row],[Password]],aoc_02_input[[#This Row],[Char]])</f>
        <v>9</v>
      </c>
      <c r="I176" s="1">
        <f>IF(AND(aoc_02_input[[#This Row],[Int1]]&lt;=aoc_02_input[[#This Row],[CountOfChar]],aoc_02_input[[#This Row],[CountOfChar]]&lt;=aoc_02_input[[#This Row],[Int2]]),1,0)</f>
        <v>1</v>
      </c>
      <c r="J176" s="1" t="str">
        <f>MID(aoc_02_input[[#This Row],[Password]],aoc_02_input[[#This Row],[Int1]],1)</f>
        <v>n</v>
      </c>
      <c r="K176" s="1">
        <f>IF(aoc_02_input[[#This Row],[Pos1]]=aoc_02_input[[#This Row],[Char]],1,0)</f>
        <v>1</v>
      </c>
      <c r="L176" s="1" t="str">
        <f>MID(aoc_02_input[[#This Row],[Password]],aoc_02_input[[#This Row],[Int2]],1)</f>
        <v>n</v>
      </c>
      <c r="M176" s="1">
        <f>IF(aoc_02_input[[#This Row],[Pos2]]=aoc_02_input[[#This Row],[Char]],1,0)</f>
        <v>1</v>
      </c>
      <c r="N176" s="1">
        <f>IF(aoc_02_input[[#This Row],[Pos1Valid]]&lt;&gt;aoc_02_input[[#This Row],[Pos2Valid]],1,0)</f>
        <v>0</v>
      </c>
    </row>
    <row r="177" spans="1:14" x14ac:dyDescent="0.45">
      <c r="A177" s="1" t="s">
        <v>468</v>
      </c>
      <c r="B177" s="1" t="s">
        <v>216</v>
      </c>
      <c r="C177" s="1" t="s">
        <v>486</v>
      </c>
      <c r="D177" s="1">
        <f>FIND("-",aoc_02_input[[#This Row],[InputNumbers]])</f>
        <v>3</v>
      </c>
      <c r="E177" s="1">
        <f>_xlfn.NUMBERVALUE(LEFT(aoc_02_input[[#This Row],[InputNumbers]],aoc_02_input[[#This Row],[PosDash]]-1))</f>
        <v>14</v>
      </c>
      <c r="F177" s="1">
        <f>_xlfn.NUMBERVALUE(MID(aoc_02_input[[#This Row],[InputNumbers]],aoc_02_input[[#This Row],[PosDash]]+1,5))</f>
        <v>16</v>
      </c>
      <c r="G177" s="1" t="str">
        <f>LEFT(aoc_02_input[[#This Row],[InputChar]],1)</f>
        <v>z</v>
      </c>
      <c r="H177" s="1" cm="1">
        <f t="array" ref="H177">CountChar(aoc_02_input[[#This Row],[Password]],aoc_02_input[[#This Row],[Char]])</f>
        <v>5</v>
      </c>
      <c r="I177" s="1">
        <f>IF(AND(aoc_02_input[[#This Row],[Int1]]&lt;=aoc_02_input[[#This Row],[CountOfChar]],aoc_02_input[[#This Row],[CountOfChar]]&lt;=aoc_02_input[[#This Row],[Int2]]),1,0)</f>
        <v>0</v>
      </c>
      <c r="J177" s="1" t="str">
        <f>MID(aoc_02_input[[#This Row],[Password]],aoc_02_input[[#This Row],[Int1]],1)</f>
        <v>z</v>
      </c>
      <c r="K177" s="1">
        <f>IF(aoc_02_input[[#This Row],[Pos1]]=aoc_02_input[[#This Row],[Char]],1,0)</f>
        <v>1</v>
      </c>
      <c r="L177" s="1" t="str">
        <f>MID(aoc_02_input[[#This Row],[Password]],aoc_02_input[[#This Row],[Int2]],1)</f>
        <v>f</v>
      </c>
      <c r="M177" s="1">
        <f>IF(aoc_02_input[[#This Row],[Pos2]]=aoc_02_input[[#This Row],[Char]],1,0)</f>
        <v>0</v>
      </c>
      <c r="N177" s="1">
        <f>IF(aoc_02_input[[#This Row],[Pos1Valid]]&lt;&gt;aoc_02_input[[#This Row],[Pos2Valid]],1,0)</f>
        <v>1</v>
      </c>
    </row>
    <row r="178" spans="1:14" x14ac:dyDescent="0.45">
      <c r="A178" s="1" t="s">
        <v>283</v>
      </c>
      <c r="B178" s="1" t="s">
        <v>216</v>
      </c>
      <c r="C178" s="1" t="s">
        <v>487</v>
      </c>
      <c r="D178" s="1">
        <f>FIND("-",aoc_02_input[[#This Row],[InputNumbers]])</f>
        <v>2</v>
      </c>
      <c r="E178" s="1">
        <f>_xlfn.NUMBERVALUE(LEFT(aoc_02_input[[#This Row],[InputNumbers]],aoc_02_input[[#This Row],[PosDash]]-1))</f>
        <v>3</v>
      </c>
      <c r="F178" s="1">
        <f>_xlfn.NUMBERVALUE(MID(aoc_02_input[[#This Row],[InputNumbers]],aoc_02_input[[#This Row],[PosDash]]+1,5))</f>
        <v>4</v>
      </c>
      <c r="G178" s="1" t="str">
        <f>LEFT(aoc_02_input[[#This Row],[InputChar]],1)</f>
        <v>z</v>
      </c>
      <c r="H178" s="1" cm="1">
        <f t="array" ref="H178">CountChar(aoc_02_input[[#This Row],[Password]],aoc_02_input[[#This Row],[Char]])</f>
        <v>3</v>
      </c>
      <c r="I178" s="1">
        <f>IF(AND(aoc_02_input[[#This Row],[Int1]]&lt;=aoc_02_input[[#This Row],[CountOfChar]],aoc_02_input[[#This Row],[CountOfChar]]&lt;=aoc_02_input[[#This Row],[Int2]]),1,0)</f>
        <v>1</v>
      </c>
      <c r="J178" s="1" t="str">
        <f>MID(aoc_02_input[[#This Row],[Password]],aoc_02_input[[#This Row],[Int1]],1)</f>
        <v>z</v>
      </c>
      <c r="K178" s="1">
        <f>IF(aoc_02_input[[#This Row],[Pos1]]=aoc_02_input[[#This Row],[Char]],1,0)</f>
        <v>1</v>
      </c>
      <c r="L178" s="1" t="str">
        <f>MID(aoc_02_input[[#This Row],[Password]],aoc_02_input[[#This Row],[Int2]],1)</f>
        <v>d</v>
      </c>
      <c r="M178" s="1">
        <f>IF(aoc_02_input[[#This Row],[Pos2]]=aoc_02_input[[#This Row],[Char]],1,0)</f>
        <v>0</v>
      </c>
      <c r="N178" s="1">
        <f>IF(aoc_02_input[[#This Row],[Pos1Valid]]&lt;&gt;aoc_02_input[[#This Row],[Pos2Valid]],1,0)</f>
        <v>1</v>
      </c>
    </row>
    <row r="179" spans="1:14" x14ac:dyDescent="0.45">
      <c r="A179" s="1" t="s">
        <v>234</v>
      </c>
      <c r="B179" s="1" t="s">
        <v>235</v>
      </c>
      <c r="C179" s="1" t="s">
        <v>488</v>
      </c>
      <c r="D179" s="1">
        <f>FIND("-",aoc_02_input[[#This Row],[InputNumbers]])</f>
        <v>2</v>
      </c>
      <c r="E179" s="1">
        <f>_xlfn.NUMBERVALUE(LEFT(aoc_02_input[[#This Row],[InputNumbers]],aoc_02_input[[#This Row],[PosDash]]-1))</f>
        <v>7</v>
      </c>
      <c r="F179" s="1">
        <f>_xlfn.NUMBERVALUE(MID(aoc_02_input[[#This Row],[InputNumbers]],aoc_02_input[[#This Row],[PosDash]]+1,5))</f>
        <v>8</v>
      </c>
      <c r="G179" s="1" t="str">
        <f>LEFT(aoc_02_input[[#This Row],[InputChar]],1)</f>
        <v>d</v>
      </c>
      <c r="H179" s="1" cm="1">
        <f t="array" ref="H179">CountChar(aoc_02_input[[#This Row],[Password]],aoc_02_input[[#This Row],[Char]])</f>
        <v>8</v>
      </c>
      <c r="I179" s="1">
        <f>IF(AND(aoc_02_input[[#This Row],[Int1]]&lt;=aoc_02_input[[#This Row],[CountOfChar]],aoc_02_input[[#This Row],[CountOfChar]]&lt;=aoc_02_input[[#This Row],[Int2]]),1,0)</f>
        <v>1</v>
      </c>
      <c r="J179" s="1" t="str">
        <f>MID(aoc_02_input[[#This Row],[Password]],aoc_02_input[[#This Row],[Int1]],1)</f>
        <v>f</v>
      </c>
      <c r="K179" s="1">
        <f>IF(aoc_02_input[[#This Row],[Pos1]]=aoc_02_input[[#This Row],[Char]],1,0)</f>
        <v>0</v>
      </c>
      <c r="L179" s="1" t="str">
        <f>MID(aoc_02_input[[#This Row],[Password]],aoc_02_input[[#This Row],[Int2]],1)</f>
        <v>d</v>
      </c>
      <c r="M179" s="1">
        <f>IF(aoc_02_input[[#This Row],[Pos2]]=aoc_02_input[[#This Row],[Char]],1,0)</f>
        <v>1</v>
      </c>
      <c r="N179" s="1">
        <f>IF(aoc_02_input[[#This Row],[Pos1Valid]]&lt;&gt;aoc_02_input[[#This Row],[Pos2Valid]],1,0)</f>
        <v>1</v>
      </c>
    </row>
    <row r="180" spans="1:14" x14ac:dyDescent="0.45">
      <c r="A180" s="1" t="s">
        <v>489</v>
      </c>
      <c r="B180" s="1" t="s">
        <v>305</v>
      </c>
      <c r="C180" s="1" t="s">
        <v>490</v>
      </c>
      <c r="D180" s="1">
        <f>FIND("-",aoc_02_input[[#This Row],[InputNumbers]])</f>
        <v>2</v>
      </c>
      <c r="E180" s="1">
        <f>_xlfn.NUMBERVALUE(LEFT(aoc_02_input[[#This Row],[InputNumbers]],aoc_02_input[[#This Row],[PosDash]]-1))</f>
        <v>3</v>
      </c>
      <c r="F180" s="1">
        <f>_xlfn.NUMBERVALUE(MID(aoc_02_input[[#This Row],[InputNumbers]],aoc_02_input[[#This Row],[PosDash]]+1,5))</f>
        <v>11</v>
      </c>
      <c r="G180" s="1" t="str">
        <f>LEFT(aoc_02_input[[#This Row],[InputChar]],1)</f>
        <v>s</v>
      </c>
      <c r="H180" s="1" cm="1">
        <f t="array" ref="H180">CountChar(aoc_02_input[[#This Row],[Password]],aoc_02_input[[#This Row],[Char]])</f>
        <v>12</v>
      </c>
      <c r="I180" s="1">
        <f>IF(AND(aoc_02_input[[#This Row],[Int1]]&lt;=aoc_02_input[[#This Row],[CountOfChar]],aoc_02_input[[#This Row],[CountOfChar]]&lt;=aoc_02_input[[#This Row],[Int2]]),1,0)</f>
        <v>0</v>
      </c>
      <c r="J180" s="1" t="str">
        <f>MID(aoc_02_input[[#This Row],[Password]],aoc_02_input[[#This Row],[Int1]],1)</f>
        <v>s</v>
      </c>
      <c r="K180" s="1">
        <f>IF(aoc_02_input[[#This Row],[Pos1]]=aoc_02_input[[#This Row],[Char]],1,0)</f>
        <v>1</v>
      </c>
      <c r="L180" s="1" t="str">
        <f>MID(aoc_02_input[[#This Row],[Password]],aoc_02_input[[#This Row],[Int2]],1)</f>
        <v>s</v>
      </c>
      <c r="M180" s="1">
        <f>IF(aoc_02_input[[#This Row],[Pos2]]=aoc_02_input[[#This Row],[Char]],1,0)</f>
        <v>1</v>
      </c>
      <c r="N180" s="1">
        <f>IF(aoc_02_input[[#This Row],[Pos1Valid]]&lt;&gt;aoc_02_input[[#This Row],[Pos2Valid]],1,0)</f>
        <v>0</v>
      </c>
    </row>
    <row r="181" spans="1:14" x14ac:dyDescent="0.45">
      <c r="A181" s="1" t="s">
        <v>227</v>
      </c>
      <c r="B181" s="1" t="s">
        <v>213</v>
      </c>
      <c r="C181" s="1" t="s">
        <v>491</v>
      </c>
      <c r="D181" s="1">
        <f>FIND("-",aoc_02_input[[#This Row],[InputNumbers]])</f>
        <v>2</v>
      </c>
      <c r="E181" s="1">
        <f>_xlfn.NUMBERVALUE(LEFT(aoc_02_input[[#This Row],[InputNumbers]],aoc_02_input[[#This Row],[PosDash]]-1))</f>
        <v>4</v>
      </c>
      <c r="F181" s="1">
        <f>_xlfn.NUMBERVALUE(MID(aoc_02_input[[#This Row],[InputNumbers]],aoc_02_input[[#This Row],[PosDash]]+1,5))</f>
        <v>5</v>
      </c>
      <c r="G181" s="1" t="str">
        <f>LEFT(aoc_02_input[[#This Row],[InputChar]],1)</f>
        <v>m</v>
      </c>
      <c r="H181" s="1" cm="1">
        <f t="array" ref="H181">CountChar(aoc_02_input[[#This Row],[Password]],aoc_02_input[[#This Row],[Char]])</f>
        <v>1</v>
      </c>
      <c r="I181" s="1">
        <f>IF(AND(aoc_02_input[[#This Row],[Int1]]&lt;=aoc_02_input[[#This Row],[CountOfChar]],aoc_02_input[[#This Row],[CountOfChar]]&lt;=aoc_02_input[[#This Row],[Int2]]),1,0)</f>
        <v>0</v>
      </c>
      <c r="J181" s="1" t="str">
        <f>MID(aoc_02_input[[#This Row],[Password]],aoc_02_input[[#This Row],[Int1]],1)</f>
        <v>m</v>
      </c>
      <c r="K181" s="1">
        <f>IF(aoc_02_input[[#This Row],[Pos1]]=aoc_02_input[[#This Row],[Char]],1,0)</f>
        <v>1</v>
      </c>
      <c r="L181" s="1" t="str">
        <f>MID(aoc_02_input[[#This Row],[Password]],aoc_02_input[[#This Row],[Int2]],1)</f>
        <v>f</v>
      </c>
      <c r="M181" s="1">
        <f>IF(aoc_02_input[[#This Row],[Pos2]]=aoc_02_input[[#This Row],[Char]],1,0)</f>
        <v>0</v>
      </c>
      <c r="N181" s="1">
        <f>IF(aoc_02_input[[#This Row],[Pos1Valid]]&lt;&gt;aoc_02_input[[#This Row],[Pos2Valid]],1,0)</f>
        <v>1</v>
      </c>
    </row>
    <row r="182" spans="1:14" x14ac:dyDescent="0.45">
      <c r="A182" s="1" t="s">
        <v>251</v>
      </c>
      <c r="B182" s="1" t="s">
        <v>222</v>
      </c>
      <c r="C182" s="1" t="s">
        <v>492</v>
      </c>
      <c r="D182" s="1">
        <f>FIND("-",aoc_02_input[[#This Row],[InputNumbers]])</f>
        <v>2</v>
      </c>
      <c r="E182" s="1">
        <f>_xlfn.NUMBERVALUE(LEFT(aoc_02_input[[#This Row],[InputNumbers]],aoc_02_input[[#This Row],[PosDash]]-1))</f>
        <v>5</v>
      </c>
      <c r="F182" s="1">
        <f>_xlfn.NUMBERVALUE(MID(aoc_02_input[[#This Row],[InputNumbers]],aoc_02_input[[#This Row],[PosDash]]+1,5))</f>
        <v>6</v>
      </c>
      <c r="G182" s="1" t="str">
        <f>LEFT(aoc_02_input[[#This Row],[InputChar]],1)</f>
        <v>l</v>
      </c>
      <c r="H182" s="1" cm="1">
        <f t="array" ref="H182">CountChar(aoc_02_input[[#This Row],[Password]],aoc_02_input[[#This Row],[Char]])</f>
        <v>5</v>
      </c>
      <c r="I182" s="1">
        <f>IF(AND(aoc_02_input[[#This Row],[Int1]]&lt;=aoc_02_input[[#This Row],[CountOfChar]],aoc_02_input[[#This Row],[CountOfChar]]&lt;=aoc_02_input[[#This Row],[Int2]]),1,0)</f>
        <v>1</v>
      </c>
      <c r="J182" s="1" t="str">
        <f>MID(aoc_02_input[[#This Row],[Password]],aoc_02_input[[#This Row],[Int1]],1)</f>
        <v>l</v>
      </c>
      <c r="K182" s="1">
        <f>IF(aoc_02_input[[#This Row],[Pos1]]=aoc_02_input[[#This Row],[Char]],1,0)</f>
        <v>1</v>
      </c>
      <c r="L182" s="1" t="str">
        <f>MID(aoc_02_input[[#This Row],[Password]],aoc_02_input[[#This Row],[Int2]],1)</f>
        <v>d</v>
      </c>
      <c r="M182" s="1">
        <f>IF(aoc_02_input[[#This Row],[Pos2]]=aoc_02_input[[#This Row],[Char]],1,0)</f>
        <v>0</v>
      </c>
      <c r="N182" s="1">
        <f>IF(aoc_02_input[[#This Row],[Pos1Valid]]&lt;&gt;aoc_02_input[[#This Row],[Pos2Valid]],1,0)</f>
        <v>1</v>
      </c>
    </row>
    <row r="183" spans="1:14" x14ac:dyDescent="0.45">
      <c r="A183" s="1" t="s">
        <v>330</v>
      </c>
      <c r="B183" s="1" t="s">
        <v>295</v>
      </c>
      <c r="C183" s="1" t="s">
        <v>493</v>
      </c>
      <c r="D183" s="1">
        <f>FIND("-",aoc_02_input[[#This Row],[InputNumbers]])</f>
        <v>3</v>
      </c>
      <c r="E183" s="1">
        <f>_xlfn.NUMBERVALUE(LEFT(aoc_02_input[[#This Row],[InputNumbers]],aoc_02_input[[#This Row],[PosDash]]-1))</f>
        <v>13</v>
      </c>
      <c r="F183" s="1">
        <f>_xlfn.NUMBERVALUE(MID(aoc_02_input[[#This Row],[InputNumbers]],aoc_02_input[[#This Row],[PosDash]]+1,5))</f>
        <v>14</v>
      </c>
      <c r="G183" s="1" t="str">
        <f>LEFT(aoc_02_input[[#This Row],[InputChar]],1)</f>
        <v>c</v>
      </c>
      <c r="H183" s="1" cm="1">
        <f t="array" ref="H183">CountChar(aoc_02_input[[#This Row],[Password]],aoc_02_input[[#This Row],[Char]])</f>
        <v>8</v>
      </c>
      <c r="I183" s="1">
        <f>IF(AND(aoc_02_input[[#This Row],[Int1]]&lt;=aoc_02_input[[#This Row],[CountOfChar]],aoc_02_input[[#This Row],[CountOfChar]]&lt;=aoc_02_input[[#This Row],[Int2]]),1,0)</f>
        <v>0</v>
      </c>
      <c r="J183" s="1" t="str">
        <f>MID(aoc_02_input[[#This Row],[Password]],aoc_02_input[[#This Row],[Int1]],1)</f>
        <v>r</v>
      </c>
      <c r="K183" s="1">
        <f>IF(aoc_02_input[[#This Row],[Pos1]]=aoc_02_input[[#This Row],[Char]],1,0)</f>
        <v>0</v>
      </c>
      <c r="L183" s="1" t="str">
        <f>MID(aoc_02_input[[#This Row],[Password]],aoc_02_input[[#This Row],[Int2]],1)</f>
        <v>r</v>
      </c>
      <c r="M183" s="1">
        <f>IF(aoc_02_input[[#This Row],[Pos2]]=aoc_02_input[[#This Row],[Char]],1,0)</f>
        <v>0</v>
      </c>
      <c r="N183" s="1">
        <f>IF(aoc_02_input[[#This Row],[Pos1Valid]]&lt;&gt;aoc_02_input[[#This Row],[Pos2Valid]],1,0)</f>
        <v>0</v>
      </c>
    </row>
    <row r="184" spans="1:14" x14ac:dyDescent="0.45">
      <c r="A184" s="1" t="s">
        <v>494</v>
      </c>
      <c r="B184" s="1" t="s">
        <v>314</v>
      </c>
      <c r="C184" s="1" t="s">
        <v>495</v>
      </c>
      <c r="D184" s="1">
        <f>FIND("-",aoc_02_input[[#This Row],[InputNumbers]])</f>
        <v>2</v>
      </c>
      <c r="E184" s="1">
        <f>_xlfn.NUMBERVALUE(LEFT(aoc_02_input[[#This Row],[InputNumbers]],aoc_02_input[[#This Row],[PosDash]]-1))</f>
        <v>7</v>
      </c>
      <c r="F184" s="1">
        <f>_xlfn.NUMBERVALUE(MID(aoc_02_input[[#This Row],[InputNumbers]],aoc_02_input[[#This Row],[PosDash]]+1,5))</f>
        <v>10</v>
      </c>
      <c r="G184" s="1" t="str">
        <f>LEFT(aoc_02_input[[#This Row],[InputChar]],1)</f>
        <v>h</v>
      </c>
      <c r="H184" s="1" cm="1">
        <f t="array" ref="H184">CountChar(aoc_02_input[[#This Row],[Password]],aoc_02_input[[#This Row],[Char]])</f>
        <v>10</v>
      </c>
      <c r="I184" s="1">
        <f>IF(AND(aoc_02_input[[#This Row],[Int1]]&lt;=aoc_02_input[[#This Row],[CountOfChar]],aoc_02_input[[#This Row],[CountOfChar]]&lt;=aoc_02_input[[#This Row],[Int2]]),1,0)</f>
        <v>1</v>
      </c>
      <c r="J184" s="1" t="str">
        <f>MID(aoc_02_input[[#This Row],[Password]],aoc_02_input[[#This Row],[Int1]],1)</f>
        <v>k</v>
      </c>
      <c r="K184" s="1">
        <f>IF(aoc_02_input[[#This Row],[Pos1]]=aoc_02_input[[#This Row],[Char]],1,0)</f>
        <v>0</v>
      </c>
      <c r="L184" s="1" t="str">
        <f>MID(aoc_02_input[[#This Row],[Password]],aoc_02_input[[#This Row],[Int2]],1)</f>
        <v>h</v>
      </c>
      <c r="M184" s="1">
        <f>IF(aoc_02_input[[#This Row],[Pos2]]=aoc_02_input[[#This Row],[Char]],1,0)</f>
        <v>1</v>
      </c>
      <c r="N184" s="1">
        <f>IF(aoc_02_input[[#This Row],[Pos1Valid]]&lt;&gt;aoc_02_input[[#This Row],[Pos2Valid]],1,0)</f>
        <v>1</v>
      </c>
    </row>
    <row r="185" spans="1:14" x14ac:dyDescent="0.45">
      <c r="A185" s="1" t="s">
        <v>227</v>
      </c>
      <c r="B185" s="1" t="s">
        <v>225</v>
      </c>
      <c r="C185" s="1" t="s">
        <v>496</v>
      </c>
      <c r="D185" s="1">
        <f>FIND("-",aoc_02_input[[#This Row],[InputNumbers]])</f>
        <v>2</v>
      </c>
      <c r="E185" s="1">
        <f>_xlfn.NUMBERVALUE(LEFT(aoc_02_input[[#This Row],[InputNumbers]],aoc_02_input[[#This Row],[PosDash]]-1))</f>
        <v>4</v>
      </c>
      <c r="F185" s="1">
        <f>_xlfn.NUMBERVALUE(MID(aoc_02_input[[#This Row],[InputNumbers]],aoc_02_input[[#This Row],[PosDash]]+1,5))</f>
        <v>5</v>
      </c>
      <c r="G185" s="1" t="str">
        <f>LEFT(aoc_02_input[[#This Row],[InputChar]],1)</f>
        <v>j</v>
      </c>
      <c r="H185" s="1" cm="1">
        <f t="array" ref="H185">CountChar(aoc_02_input[[#This Row],[Password]],aoc_02_input[[#This Row],[Char]])</f>
        <v>2</v>
      </c>
      <c r="I185" s="1">
        <f>IF(AND(aoc_02_input[[#This Row],[Int1]]&lt;=aoc_02_input[[#This Row],[CountOfChar]],aoc_02_input[[#This Row],[CountOfChar]]&lt;=aoc_02_input[[#This Row],[Int2]]),1,0)</f>
        <v>0</v>
      </c>
      <c r="J185" s="1" t="str">
        <f>MID(aoc_02_input[[#This Row],[Password]],aoc_02_input[[#This Row],[Int1]],1)</f>
        <v>j</v>
      </c>
      <c r="K185" s="1">
        <f>IF(aoc_02_input[[#This Row],[Pos1]]=aoc_02_input[[#This Row],[Char]],1,0)</f>
        <v>1</v>
      </c>
      <c r="L185" s="1" t="str">
        <f>MID(aoc_02_input[[#This Row],[Password]],aoc_02_input[[#This Row],[Int2]],1)</f>
        <v>f</v>
      </c>
      <c r="M185" s="1">
        <f>IF(aoc_02_input[[#This Row],[Pos2]]=aoc_02_input[[#This Row],[Char]],1,0)</f>
        <v>0</v>
      </c>
      <c r="N185" s="1">
        <f>IF(aoc_02_input[[#This Row],[Pos1Valid]]&lt;&gt;aoc_02_input[[#This Row],[Pos2Valid]],1,0)</f>
        <v>1</v>
      </c>
    </row>
    <row r="186" spans="1:14" x14ac:dyDescent="0.45">
      <c r="A186" s="1" t="s">
        <v>242</v>
      </c>
      <c r="B186" s="1" t="s">
        <v>222</v>
      </c>
      <c r="C186" s="1" t="s">
        <v>497</v>
      </c>
      <c r="D186" s="1">
        <f>FIND("-",aoc_02_input[[#This Row],[InputNumbers]])</f>
        <v>3</v>
      </c>
      <c r="E186" s="1">
        <f>_xlfn.NUMBERVALUE(LEFT(aoc_02_input[[#This Row],[InputNumbers]],aoc_02_input[[#This Row],[PosDash]]-1))</f>
        <v>10</v>
      </c>
      <c r="F186" s="1">
        <f>_xlfn.NUMBERVALUE(MID(aoc_02_input[[#This Row],[InputNumbers]],aoc_02_input[[#This Row],[PosDash]]+1,5))</f>
        <v>11</v>
      </c>
      <c r="G186" s="1" t="str">
        <f>LEFT(aoc_02_input[[#This Row],[InputChar]],1)</f>
        <v>l</v>
      </c>
      <c r="H186" s="1" cm="1">
        <f t="array" ref="H186">CountChar(aoc_02_input[[#This Row],[Password]],aoc_02_input[[#This Row],[Char]])</f>
        <v>8</v>
      </c>
      <c r="I186" s="1">
        <f>IF(AND(aoc_02_input[[#This Row],[Int1]]&lt;=aoc_02_input[[#This Row],[CountOfChar]],aoc_02_input[[#This Row],[CountOfChar]]&lt;=aoc_02_input[[#This Row],[Int2]]),1,0)</f>
        <v>0</v>
      </c>
      <c r="J186" s="1" t="str">
        <f>MID(aoc_02_input[[#This Row],[Password]],aoc_02_input[[#This Row],[Int1]],1)</f>
        <v>w</v>
      </c>
      <c r="K186" s="1">
        <f>IF(aoc_02_input[[#This Row],[Pos1]]=aoc_02_input[[#This Row],[Char]],1,0)</f>
        <v>0</v>
      </c>
      <c r="L186" s="1" t="str">
        <f>MID(aoc_02_input[[#This Row],[Password]],aoc_02_input[[#This Row],[Int2]],1)</f>
        <v>n</v>
      </c>
      <c r="M186" s="1">
        <f>IF(aoc_02_input[[#This Row],[Pos2]]=aoc_02_input[[#This Row],[Char]],1,0)</f>
        <v>0</v>
      </c>
      <c r="N186" s="1">
        <f>IF(aoc_02_input[[#This Row],[Pos1Valid]]&lt;&gt;aoc_02_input[[#This Row],[Pos2Valid]],1,0)</f>
        <v>0</v>
      </c>
    </row>
    <row r="187" spans="1:14" x14ac:dyDescent="0.45">
      <c r="A187" s="1" t="s">
        <v>227</v>
      </c>
      <c r="B187" s="1" t="s">
        <v>252</v>
      </c>
      <c r="C187" s="1" t="s">
        <v>498</v>
      </c>
      <c r="D187" s="1">
        <f>FIND("-",aoc_02_input[[#This Row],[InputNumbers]])</f>
        <v>2</v>
      </c>
      <c r="E187" s="1">
        <f>_xlfn.NUMBERVALUE(LEFT(aoc_02_input[[#This Row],[InputNumbers]],aoc_02_input[[#This Row],[PosDash]]-1))</f>
        <v>4</v>
      </c>
      <c r="F187" s="1">
        <f>_xlfn.NUMBERVALUE(MID(aoc_02_input[[#This Row],[InputNumbers]],aoc_02_input[[#This Row],[PosDash]]+1,5))</f>
        <v>5</v>
      </c>
      <c r="G187" s="1" t="str">
        <f>LEFT(aoc_02_input[[#This Row],[InputChar]],1)</f>
        <v>p</v>
      </c>
      <c r="H187" s="1" cm="1">
        <f t="array" ref="H187">CountChar(aoc_02_input[[#This Row],[Password]],aoc_02_input[[#This Row],[Char]])</f>
        <v>2</v>
      </c>
      <c r="I187" s="1">
        <f>IF(AND(aoc_02_input[[#This Row],[Int1]]&lt;=aoc_02_input[[#This Row],[CountOfChar]],aoc_02_input[[#This Row],[CountOfChar]]&lt;=aoc_02_input[[#This Row],[Int2]]),1,0)</f>
        <v>0</v>
      </c>
      <c r="J187" s="1" t="str">
        <f>MID(aoc_02_input[[#This Row],[Password]],aoc_02_input[[#This Row],[Int1]],1)</f>
        <v>l</v>
      </c>
      <c r="K187" s="1">
        <f>IF(aoc_02_input[[#This Row],[Pos1]]=aoc_02_input[[#This Row],[Char]],1,0)</f>
        <v>0</v>
      </c>
      <c r="L187" s="1" t="str">
        <f>MID(aoc_02_input[[#This Row],[Password]],aoc_02_input[[#This Row],[Int2]],1)</f>
        <v>p</v>
      </c>
      <c r="M187" s="1">
        <f>IF(aoc_02_input[[#This Row],[Pos2]]=aoc_02_input[[#This Row],[Char]],1,0)</f>
        <v>1</v>
      </c>
      <c r="N187" s="1">
        <f>IF(aoc_02_input[[#This Row],[Pos1Valid]]&lt;&gt;aoc_02_input[[#This Row],[Pos2Valid]],1,0)</f>
        <v>1</v>
      </c>
    </row>
    <row r="188" spans="1:14" x14ac:dyDescent="0.45">
      <c r="A188" s="1" t="s">
        <v>230</v>
      </c>
      <c r="B188" s="1" t="s">
        <v>314</v>
      </c>
      <c r="C188" s="1" t="s">
        <v>499</v>
      </c>
      <c r="D188" s="1">
        <f>FIND("-",aoc_02_input[[#This Row],[InputNumbers]])</f>
        <v>2</v>
      </c>
      <c r="E188" s="1">
        <f>_xlfn.NUMBERVALUE(LEFT(aoc_02_input[[#This Row],[InputNumbers]],aoc_02_input[[#This Row],[PosDash]]-1))</f>
        <v>2</v>
      </c>
      <c r="F188" s="1">
        <f>_xlfn.NUMBERVALUE(MID(aoc_02_input[[#This Row],[InputNumbers]],aoc_02_input[[#This Row],[PosDash]]+1,5))</f>
        <v>4</v>
      </c>
      <c r="G188" s="1" t="str">
        <f>LEFT(aoc_02_input[[#This Row],[InputChar]],1)</f>
        <v>h</v>
      </c>
      <c r="H188" s="1" cm="1">
        <f t="array" ref="H188">CountChar(aoc_02_input[[#This Row],[Password]],aoc_02_input[[#This Row],[Char]])</f>
        <v>3</v>
      </c>
      <c r="I188" s="1">
        <f>IF(AND(aoc_02_input[[#This Row],[Int1]]&lt;=aoc_02_input[[#This Row],[CountOfChar]],aoc_02_input[[#This Row],[CountOfChar]]&lt;=aoc_02_input[[#This Row],[Int2]]),1,0)</f>
        <v>1</v>
      </c>
      <c r="J188" s="1" t="str">
        <f>MID(aoc_02_input[[#This Row],[Password]],aoc_02_input[[#This Row],[Int1]],1)</f>
        <v>h</v>
      </c>
      <c r="K188" s="1">
        <f>IF(aoc_02_input[[#This Row],[Pos1]]=aoc_02_input[[#This Row],[Char]],1,0)</f>
        <v>1</v>
      </c>
      <c r="L188" s="1" t="str">
        <f>MID(aoc_02_input[[#This Row],[Password]],aoc_02_input[[#This Row],[Int2]],1)</f>
        <v>z</v>
      </c>
      <c r="M188" s="1">
        <f>IF(aoc_02_input[[#This Row],[Pos2]]=aoc_02_input[[#This Row],[Char]],1,0)</f>
        <v>0</v>
      </c>
      <c r="N188" s="1">
        <f>IF(aoc_02_input[[#This Row],[Pos1Valid]]&lt;&gt;aoc_02_input[[#This Row],[Pos2Valid]],1,0)</f>
        <v>1</v>
      </c>
    </row>
    <row r="189" spans="1:14" x14ac:dyDescent="0.45">
      <c r="A189" s="1" t="s">
        <v>500</v>
      </c>
      <c r="B189" s="1" t="s">
        <v>207</v>
      </c>
      <c r="C189" s="1" t="s">
        <v>501</v>
      </c>
      <c r="D189" s="1">
        <f>FIND("-",aoc_02_input[[#This Row],[InputNumbers]])</f>
        <v>3</v>
      </c>
      <c r="E189" s="1">
        <f>_xlfn.NUMBERVALUE(LEFT(aoc_02_input[[#This Row],[InputNumbers]],aoc_02_input[[#This Row],[PosDash]]-1))</f>
        <v>14</v>
      </c>
      <c r="F189" s="1">
        <f>_xlfn.NUMBERVALUE(MID(aoc_02_input[[#This Row],[InputNumbers]],aoc_02_input[[#This Row],[PosDash]]+1,5))</f>
        <v>17</v>
      </c>
      <c r="G189" s="1" t="str">
        <f>LEFT(aoc_02_input[[#This Row],[InputChar]],1)</f>
        <v>b</v>
      </c>
      <c r="H189" s="1" cm="1">
        <f t="array" ref="H189">CountChar(aoc_02_input[[#This Row],[Password]],aoc_02_input[[#This Row],[Char]])</f>
        <v>13</v>
      </c>
      <c r="I189" s="1">
        <f>IF(AND(aoc_02_input[[#This Row],[Int1]]&lt;=aoc_02_input[[#This Row],[CountOfChar]],aoc_02_input[[#This Row],[CountOfChar]]&lt;=aoc_02_input[[#This Row],[Int2]]),1,0)</f>
        <v>0</v>
      </c>
      <c r="J189" s="1" t="str">
        <f>MID(aoc_02_input[[#This Row],[Password]],aoc_02_input[[#This Row],[Int1]],1)</f>
        <v>r</v>
      </c>
      <c r="K189" s="1">
        <f>IF(aoc_02_input[[#This Row],[Pos1]]=aoc_02_input[[#This Row],[Char]],1,0)</f>
        <v>0</v>
      </c>
      <c r="L189" s="1" t="str">
        <f>MID(aoc_02_input[[#This Row],[Password]],aoc_02_input[[#This Row],[Int2]],1)</f>
        <v>z</v>
      </c>
      <c r="M189" s="1">
        <f>IF(aoc_02_input[[#This Row],[Pos2]]=aoc_02_input[[#This Row],[Char]],1,0)</f>
        <v>0</v>
      </c>
      <c r="N189" s="1">
        <f>IF(aoc_02_input[[#This Row],[Pos1Valid]]&lt;&gt;aoc_02_input[[#This Row],[Pos2Valid]],1,0)</f>
        <v>0</v>
      </c>
    </row>
    <row r="190" spans="1:14" x14ac:dyDescent="0.45">
      <c r="A190" s="1" t="s">
        <v>502</v>
      </c>
      <c r="B190" s="1" t="s">
        <v>278</v>
      </c>
      <c r="C190" s="1" t="s">
        <v>503</v>
      </c>
      <c r="D190" s="1">
        <f>FIND("-",aoc_02_input[[#This Row],[InputNumbers]])</f>
        <v>3</v>
      </c>
      <c r="E190" s="1">
        <f>_xlfn.NUMBERVALUE(LEFT(aoc_02_input[[#This Row],[InputNumbers]],aoc_02_input[[#This Row],[PosDash]]-1))</f>
        <v>14</v>
      </c>
      <c r="F190" s="1">
        <f>_xlfn.NUMBERVALUE(MID(aoc_02_input[[#This Row],[InputNumbers]],aoc_02_input[[#This Row],[PosDash]]+1,5))</f>
        <v>18</v>
      </c>
      <c r="G190" s="1" t="str">
        <f>LEFT(aoc_02_input[[#This Row],[InputChar]],1)</f>
        <v>x</v>
      </c>
      <c r="H190" s="1" cm="1">
        <f t="array" ref="H190">CountChar(aoc_02_input[[#This Row],[Password]],aoc_02_input[[#This Row],[Char]])</f>
        <v>4</v>
      </c>
      <c r="I190" s="1">
        <f>IF(AND(aoc_02_input[[#This Row],[Int1]]&lt;=aoc_02_input[[#This Row],[CountOfChar]],aoc_02_input[[#This Row],[CountOfChar]]&lt;=aoc_02_input[[#This Row],[Int2]]),1,0)</f>
        <v>0</v>
      </c>
      <c r="J190" s="1" t="str">
        <f>MID(aoc_02_input[[#This Row],[Password]],aoc_02_input[[#This Row],[Int1]],1)</f>
        <v>q</v>
      </c>
      <c r="K190" s="1">
        <f>IF(aoc_02_input[[#This Row],[Pos1]]=aoc_02_input[[#This Row],[Char]],1,0)</f>
        <v>0</v>
      </c>
      <c r="L190" s="1" t="str">
        <f>MID(aoc_02_input[[#This Row],[Password]],aoc_02_input[[#This Row],[Int2]],1)</f>
        <v>z</v>
      </c>
      <c r="M190" s="1">
        <f>IF(aoc_02_input[[#This Row],[Pos2]]=aoc_02_input[[#This Row],[Char]],1,0)</f>
        <v>0</v>
      </c>
      <c r="N190" s="1">
        <f>IF(aoc_02_input[[#This Row],[Pos1Valid]]&lt;&gt;aoc_02_input[[#This Row],[Pos2Valid]],1,0)</f>
        <v>0</v>
      </c>
    </row>
    <row r="191" spans="1:14" x14ac:dyDescent="0.45">
      <c r="A191" s="1" t="s">
        <v>230</v>
      </c>
      <c r="B191" s="1" t="s">
        <v>249</v>
      </c>
      <c r="C191" s="1" t="s">
        <v>504</v>
      </c>
      <c r="D191" s="1">
        <f>FIND("-",aoc_02_input[[#This Row],[InputNumbers]])</f>
        <v>2</v>
      </c>
      <c r="E191" s="1">
        <f>_xlfn.NUMBERVALUE(LEFT(aoc_02_input[[#This Row],[InputNumbers]],aoc_02_input[[#This Row],[PosDash]]-1))</f>
        <v>2</v>
      </c>
      <c r="F191" s="1">
        <f>_xlfn.NUMBERVALUE(MID(aoc_02_input[[#This Row],[InputNumbers]],aoc_02_input[[#This Row],[PosDash]]+1,5))</f>
        <v>4</v>
      </c>
      <c r="G191" s="1" t="str">
        <f>LEFT(aoc_02_input[[#This Row],[InputChar]],1)</f>
        <v>q</v>
      </c>
      <c r="H191" s="1" cm="1">
        <f t="array" ref="H191">CountChar(aoc_02_input[[#This Row],[Password]],aoc_02_input[[#This Row],[Char]])</f>
        <v>5</v>
      </c>
      <c r="I191" s="1">
        <f>IF(AND(aoc_02_input[[#This Row],[Int1]]&lt;=aoc_02_input[[#This Row],[CountOfChar]],aoc_02_input[[#This Row],[CountOfChar]]&lt;=aoc_02_input[[#This Row],[Int2]]),1,0)</f>
        <v>0</v>
      </c>
      <c r="J191" s="1" t="str">
        <f>MID(aoc_02_input[[#This Row],[Password]],aoc_02_input[[#This Row],[Int1]],1)</f>
        <v>h</v>
      </c>
      <c r="K191" s="1">
        <f>IF(aoc_02_input[[#This Row],[Pos1]]=aoc_02_input[[#This Row],[Char]],1,0)</f>
        <v>0</v>
      </c>
      <c r="L191" s="1" t="str">
        <f>MID(aoc_02_input[[#This Row],[Password]],aoc_02_input[[#This Row],[Int2]],1)</f>
        <v>q</v>
      </c>
      <c r="M191" s="1">
        <f>IF(aoc_02_input[[#This Row],[Pos2]]=aoc_02_input[[#This Row],[Char]],1,0)</f>
        <v>1</v>
      </c>
      <c r="N191" s="1">
        <f>IF(aoc_02_input[[#This Row],[Pos1Valid]]&lt;&gt;aoc_02_input[[#This Row],[Pos2Valid]],1,0)</f>
        <v>1</v>
      </c>
    </row>
    <row r="192" spans="1:14" x14ac:dyDescent="0.45">
      <c r="A192" s="1" t="s">
        <v>392</v>
      </c>
      <c r="B192" s="1" t="s">
        <v>225</v>
      </c>
      <c r="C192" s="1" t="s">
        <v>505</v>
      </c>
      <c r="D192" s="1">
        <f>FIND("-",aoc_02_input[[#This Row],[InputNumbers]])</f>
        <v>2</v>
      </c>
      <c r="E192" s="1">
        <f>_xlfn.NUMBERVALUE(LEFT(aoc_02_input[[#This Row],[InputNumbers]],aoc_02_input[[#This Row],[PosDash]]-1))</f>
        <v>8</v>
      </c>
      <c r="F192" s="1">
        <f>_xlfn.NUMBERVALUE(MID(aoc_02_input[[#This Row],[InputNumbers]],aoc_02_input[[#This Row],[PosDash]]+1,5))</f>
        <v>9</v>
      </c>
      <c r="G192" s="1" t="str">
        <f>LEFT(aoc_02_input[[#This Row],[InputChar]],1)</f>
        <v>j</v>
      </c>
      <c r="H192" s="1" cm="1">
        <f t="array" ref="H192">CountChar(aoc_02_input[[#This Row],[Password]],aoc_02_input[[#This Row],[Char]])</f>
        <v>7</v>
      </c>
      <c r="I192" s="1">
        <f>IF(AND(aoc_02_input[[#This Row],[Int1]]&lt;=aoc_02_input[[#This Row],[CountOfChar]],aoc_02_input[[#This Row],[CountOfChar]]&lt;=aoc_02_input[[#This Row],[Int2]]),1,0)</f>
        <v>0</v>
      </c>
      <c r="J192" s="1" t="str">
        <f>MID(aoc_02_input[[#This Row],[Password]],aoc_02_input[[#This Row],[Int1]],1)</f>
        <v>j</v>
      </c>
      <c r="K192" s="1">
        <f>IF(aoc_02_input[[#This Row],[Pos1]]=aoc_02_input[[#This Row],[Char]],1,0)</f>
        <v>1</v>
      </c>
      <c r="L192" s="1" t="str">
        <f>MID(aoc_02_input[[#This Row],[Password]],aoc_02_input[[#This Row],[Int2]],1)</f>
        <v>x</v>
      </c>
      <c r="M192" s="1">
        <f>IF(aoc_02_input[[#This Row],[Pos2]]=aoc_02_input[[#This Row],[Char]],1,0)</f>
        <v>0</v>
      </c>
      <c r="N192" s="1">
        <f>IF(aoc_02_input[[#This Row],[Pos1Valid]]&lt;&gt;aoc_02_input[[#This Row],[Pos2Valid]],1,0)</f>
        <v>1</v>
      </c>
    </row>
    <row r="193" spans="1:14" x14ac:dyDescent="0.45">
      <c r="A193" s="1" t="s">
        <v>299</v>
      </c>
      <c r="B193" s="1" t="s">
        <v>238</v>
      </c>
      <c r="C193" s="1" t="s">
        <v>506</v>
      </c>
      <c r="D193" s="1">
        <f>FIND("-",aoc_02_input[[#This Row],[InputNumbers]])</f>
        <v>2</v>
      </c>
      <c r="E193" s="1">
        <f>_xlfn.NUMBERVALUE(LEFT(aoc_02_input[[#This Row],[InputNumbers]],aoc_02_input[[#This Row],[PosDash]]-1))</f>
        <v>1</v>
      </c>
      <c r="F193" s="1">
        <f>_xlfn.NUMBERVALUE(MID(aoc_02_input[[#This Row],[InputNumbers]],aoc_02_input[[#This Row],[PosDash]]+1,5))</f>
        <v>2</v>
      </c>
      <c r="G193" s="1" t="str">
        <f>LEFT(aoc_02_input[[#This Row],[InputChar]],1)</f>
        <v>w</v>
      </c>
      <c r="H193" s="1" cm="1">
        <f t="array" ref="H193">CountChar(aoc_02_input[[#This Row],[Password]],aoc_02_input[[#This Row],[Char]])</f>
        <v>2</v>
      </c>
      <c r="I193" s="1">
        <f>IF(AND(aoc_02_input[[#This Row],[Int1]]&lt;=aoc_02_input[[#This Row],[CountOfChar]],aoc_02_input[[#This Row],[CountOfChar]]&lt;=aoc_02_input[[#This Row],[Int2]]),1,0)</f>
        <v>1</v>
      </c>
      <c r="J193" s="1" t="str">
        <f>MID(aoc_02_input[[#This Row],[Password]],aoc_02_input[[#This Row],[Int1]],1)</f>
        <v>c</v>
      </c>
      <c r="K193" s="1">
        <f>IF(aoc_02_input[[#This Row],[Pos1]]=aoc_02_input[[#This Row],[Char]],1,0)</f>
        <v>0</v>
      </c>
      <c r="L193" s="1" t="str">
        <f>MID(aoc_02_input[[#This Row],[Password]],aoc_02_input[[#This Row],[Int2]],1)</f>
        <v>z</v>
      </c>
      <c r="M193" s="1">
        <f>IF(aoc_02_input[[#This Row],[Pos2]]=aoc_02_input[[#This Row],[Char]],1,0)</f>
        <v>0</v>
      </c>
      <c r="N193" s="1">
        <f>IF(aoc_02_input[[#This Row],[Pos1Valid]]&lt;&gt;aoc_02_input[[#This Row],[Pos2Valid]],1,0)</f>
        <v>0</v>
      </c>
    </row>
    <row r="194" spans="1:14" x14ac:dyDescent="0.45">
      <c r="A194" s="1" t="s">
        <v>271</v>
      </c>
      <c r="B194" s="1" t="s">
        <v>228</v>
      </c>
      <c r="C194" s="1" t="s">
        <v>507</v>
      </c>
      <c r="D194" s="1">
        <f>FIND("-",aoc_02_input[[#This Row],[InputNumbers]])</f>
        <v>2</v>
      </c>
      <c r="E194" s="1">
        <f>_xlfn.NUMBERVALUE(LEFT(aoc_02_input[[#This Row],[InputNumbers]],aoc_02_input[[#This Row],[PosDash]]-1))</f>
        <v>9</v>
      </c>
      <c r="F194" s="1">
        <f>_xlfn.NUMBERVALUE(MID(aoc_02_input[[#This Row],[InputNumbers]],aoc_02_input[[#This Row],[PosDash]]+1,5))</f>
        <v>10</v>
      </c>
      <c r="G194" s="1" t="str">
        <f>LEFT(aoc_02_input[[#This Row],[InputChar]],1)</f>
        <v>t</v>
      </c>
      <c r="H194" s="1" cm="1">
        <f t="array" ref="H194">CountChar(aoc_02_input[[#This Row],[Password]],aoc_02_input[[#This Row],[Char]])</f>
        <v>9</v>
      </c>
      <c r="I194" s="1">
        <f>IF(AND(aoc_02_input[[#This Row],[Int1]]&lt;=aoc_02_input[[#This Row],[CountOfChar]],aoc_02_input[[#This Row],[CountOfChar]]&lt;=aoc_02_input[[#This Row],[Int2]]),1,0)</f>
        <v>1</v>
      </c>
      <c r="J194" s="1" t="str">
        <f>MID(aoc_02_input[[#This Row],[Password]],aoc_02_input[[#This Row],[Int1]],1)</f>
        <v>c</v>
      </c>
      <c r="K194" s="1">
        <f>IF(aoc_02_input[[#This Row],[Pos1]]=aoc_02_input[[#This Row],[Char]],1,0)</f>
        <v>0</v>
      </c>
      <c r="L194" s="1" t="str">
        <f>MID(aoc_02_input[[#This Row],[Password]],aoc_02_input[[#This Row],[Int2]],1)</f>
        <v>t</v>
      </c>
      <c r="M194" s="1">
        <f>IF(aoc_02_input[[#This Row],[Pos2]]=aoc_02_input[[#This Row],[Char]],1,0)</f>
        <v>1</v>
      </c>
      <c r="N194" s="1">
        <f>IF(aoc_02_input[[#This Row],[Pos1Valid]]&lt;&gt;aoc_02_input[[#This Row],[Pos2Valid]],1,0)</f>
        <v>1</v>
      </c>
    </row>
    <row r="195" spans="1:14" x14ac:dyDescent="0.45">
      <c r="A195" s="1" t="s">
        <v>273</v>
      </c>
      <c r="B195" s="1" t="s">
        <v>278</v>
      </c>
      <c r="C195" s="1" t="s">
        <v>508</v>
      </c>
      <c r="D195" s="1">
        <f>FIND("-",aoc_02_input[[#This Row],[InputNumbers]])</f>
        <v>2</v>
      </c>
      <c r="E195" s="1">
        <f>_xlfn.NUMBERVALUE(LEFT(aoc_02_input[[#This Row],[InputNumbers]],aoc_02_input[[#This Row],[PosDash]]-1))</f>
        <v>6</v>
      </c>
      <c r="F195" s="1">
        <f>_xlfn.NUMBERVALUE(MID(aoc_02_input[[#This Row],[InputNumbers]],aoc_02_input[[#This Row],[PosDash]]+1,5))</f>
        <v>11</v>
      </c>
      <c r="G195" s="1" t="str">
        <f>LEFT(aoc_02_input[[#This Row],[InputChar]],1)</f>
        <v>x</v>
      </c>
      <c r="H195" s="1" cm="1">
        <f t="array" ref="H195">CountChar(aoc_02_input[[#This Row],[Password]],aoc_02_input[[#This Row],[Char]])</f>
        <v>9</v>
      </c>
      <c r="I195" s="1">
        <f>IF(AND(aoc_02_input[[#This Row],[Int1]]&lt;=aoc_02_input[[#This Row],[CountOfChar]],aoc_02_input[[#This Row],[CountOfChar]]&lt;=aoc_02_input[[#This Row],[Int2]]),1,0)</f>
        <v>1</v>
      </c>
      <c r="J195" s="1" t="str">
        <f>MID(aoc_02_input[[#This Row],[Password]],aoc_02_input[[#This Row],[Int1]],1)</f>
        <v>l</v>
      </c>
      <c r="K195" s="1">
        <f>IF(aoc_02_input[[#This Row],[Pos1]]=aoc_02_input[[#This Row],[Char]],1,0)</f>
        <v>0</v>
      </c>
      <c r="L195" s="1" t="str">
        <f>MID(aoc_02_input[[#This Row],[Password]],aoc_02_input[[#This Row],[Int2]],1)</f>
        <v>t</v>
      </c>
      <c r="M195" s="1">
        <f>IF(aoc_02_input[[#This Row],[Pos2]]=aoc_02_input[[#This Row],[Char]],1,0)</f>
        <v>0</v>
      </c>
      <c r="N195" s="1">
        <f>IF(aoc_02_input[[#This Row],[Pos1Valid]]&lt;&gt;aoc_02_input[[#This Row],[Pos2Valid]],1,0)</f>
        <v>0</v>
      </c>
    </row>
    <row r="196" spans="1:14" x14ac:dyDescent="0.45">
      <c r="A196" s="1" t="s">
        <v>509</v>
      </c>
      <c r="B196" s="1" t="s">
        <v>238</v>
      </c>
      <c r="C196" s="1" t="s">
        <v>510</v>
      </c>
      <c r="D196" s="1">
        <f>FIND("-",aoc_02_input[[#This Row],[InputNumbers]])</f>
        <v>3</v>
      </c>
      <c r="E196" s="1">
        <f>_xlfn.NUMBERVALUE(LEFT(aoc_02_input[[#This Row],[InputNumbers]],aoc_02_input[[#This Row],[PosDash]]-1))</f>
        <v>13</v>
      </c>
      <c r="F196" s="1">
        <f>_xlfn.NUMBERVALUE(MID(aoc_02_input[[#This Row],[InputNumbers]],aoc_02_input[[#This Row],[PosDash]]+1,5))</f>
        <v>17</v>
      </c>
      <c r="G196" s="1" t="str">
        <f>LEFT(aoc_02_input[[#This Row],[InputChar]],1)</f>
        <v>w</v>
      </c>
      <c r="H196" s="1" cm="1">
        <f t="array" ref="H196">CountChar(aoc_02_input[[#This Row],[Password]],aoc_02_input[[#This Row],[Char]])</f>
        <v>15</v>
      </c>
      <c r="I196" s="1">
        <f>IF(AND(aoc_02_input[[#This Row],[Int1]]&lt;=aoc_02_input[[#This Row],[CountOfChar]],aoc_02_input[[#This Row],[CountOfChar]]&lt;=aoc_02_input[[#This Row],[Int2]]),1,0)</f>
        <v>1</v>
      </c>
      <c r="J196" s="1" t="str">
        <f>MID(aoc_02_input[[#This Row],[Password]],aoc_02_input[[#This Row],[Int1]],1)</f>
        <v>q</v>
      </c>
      <c r="K196" s="1">
        <f>IF(aoc_02_input[[#This Row],[Pos1]]=aoc_02_input[[#This Row],[Char]],1,0)</f>
        <v>0</v>
      </c>
      <c r="L196" s="1" t="str">
        <f>MID(aoc_02_input[[#This Row],[Password]],aoc_02_input[[#This Row],[Int2]],1)</f>
        <v>r</v>
      </c>
      <c r="M196" s="1">
        <f>IF(aoc_02_input[[#This Row],[Pos2]]=aoc_02_input[[#This Row],[Char]],1,0)</f>
        <v>0</v>
      </c>
      <c r="N196" s="1">
        <f>IF(aoc_02_input[[#This Row],[Pos1Valid]]&lt;&gt;aoc_02_input[[#This Row],[Pos2Valid]],1,0)</f>
        <v>0</v>
      </c>
    </row>
    <row r="197" spans="1:14" x14ac:dyDescent="0.45">
      <c r="A197" s="1" t="s">
        <v>292</v>
      </c>
      <c r="B197" s="1" t="s">
        <v>235</v>
      </c>
      <c r="C197" s="1" t="s">
        <v>511</v>
      </c>
      <c r="D197" s="1">
        <f>FIND("-",aoc_02_input[[#This Row],[InputNumbers]])</f>
        <v>2</v>
      </c>
      <c r="E197" s="1">
        <f>_xlfn.NUMBERVALUE(LEFT(aoc_02_input[[#This Row],[InputNumbers]],aoc_02_input[[#This Row],[PosDash]]-1))</f>
        <v>7</v>
      </c>
      <c r="F197" s="1">
        <f>_xlfn.NUMBERVALUE(MID(aoc_02_input[[#This Row],[InputNumbers]],aoc_02_input[[#This Row],[PosDash]]+1,5))</f>
        <v>9</v>
      </c>
      <c r="G197" s="1" t="str">
        <f>LEFT(aoc_02_input[[#This Row],[InputChar]],1)</f>
        <v>d</v>
      </c>
      <c r="H197" s="1" cm="1">
        <f t="array" ref="H197">CountChar(aoc_02_input[[#This Row],[Password]],aoc_02_input[[#This Row],[Char]])</f>
        <v>11</v>
      </c>
      <c r="I197" s="1">
        <f>IF(AND(aoc_02_input[[#This Row],[Int1]]&lt;=aoc_02_input[[#This Row],[CountOfChar]],aoc_02_input[[#This Row],[CountOfChar]]&lt;=aoc_02_input[[#This Row],[Int2]]),1,0)</f>
        <v>0</v>
      </c>
      <c r="J197" s="1" t="str">
        <f>MID(aoc_02_input[[#This Row],[Password]],aoc_02_input[[#This Row],[Int1]],1)</f>
        <v>d</v>
      </c>
      <c r="K197" s="1">
        <f>IF(aoc_02_input[[#This Row],[Pos1]]=aoc_02_input[[#This Row],[Char]],1,0)</f>
        <v>1</v>
      </c>
      <c r="L197" s="1" t="str">
        <f>MID(aoc_02_input[[#This Row],[Password]],aoc_02_input[[#This Row],[Int2]],1)</f>
        <v>d</v>
      </c>
      <c r="M197" s="1">
        <f>IF(aoc_02_input[[#This Row],[Pos2]]=aoc_02_input[[#This Row],[Char]],1,0)</f>
        <v>1</v>
      </c>
      <c r="N197" s="1">
        <f>IF(aoc_02_input[[#This Row],[Pos1Valid]]&lt;&gt;aoc_02_input[[#This Row],[Pos2Valid]],1,0)</f>
        <v>0</v>
      </c>
    </row>
    <row r="198" spans="1:14" x14ac:dyDescent="0.45">
      <c r="A198" s="1" t="s">
        <v>212</v>
      </c>
      <c r="B198" s="1" t="s">
        <v>314</v>
      </c>
      <c r="C198" s="1" t="s">
        <v>512</v>
      </c>
      <c r="D198" s="1">
        <f>FIND("-",aoc_02_input[[#This Row],[InputNumbers]])</f>
        <v>2</v>
      </c>
      <c r="E198" s="1">
        <f>_xlfn.NUMBERVALUE(LEFT(aoc_02_input[[#This Row],[InputNumbers]],aoc_02_input[[#This Row],[PosDash]]-1))</f>
        <v>2</v>
      </c>
      <c r="F198" s="1">
        <f>_xlfn.NUMBERVALUE(MID(aoc_02_input[[#This Row],[InputNumbers]],aoc_02_input[[#This Row],[PosDash]]+1,5))</f>
        <v>5</v>
      </c>
      <c r="G198" s="1" t="str">
        <f>LEFT(aoc_02_input[[#This Row],[InputChar]],1)</f>
        <v>h</v>
      </c>
      <c r="H198" s="1" cm="1">
        <f t="array" ref="H198">CountChar(aoc_02_input[[#This Row],[Password]],aoc_02_input[[#This Row],[Char]])</f>
        <v>5</v>
      </c>
      <c r="I198" s="1">
        <f>IF(AND(aoc_02_input[[#This Row],[Int1]]&lt;=aoc_02_input[[#This Row],[CountOfChar]],aoc_02_input[[#This Row],[CountOfChar]]&lt;=aoc_02_input[[#This Row],[Int2]]),1,0)</f>
        <v>1</v>
      </c>
      <c r="J198" s="1" t="str">
        <f>MID(aoc_02_input[[#This Row],[Password]],aoc_02_input[[#This Row],[Int1]],1)</f>
        <v>q</v>
      </c>
      <c r="K198" s="1">
        <f>IF(aoc_02_input[[#This Row],[Pos1]]=aoc_02_input[[#This Row],[Char]],1,0)</f>
        <v>0</v>
      </c>
      <c r="L198" s="1" t="str">
        <f>MID(aoc_02_input[[#This Row],[Password]],aoc_02_input[[#This Row],[Int2]],1)</f>
        <v>h</v>
      </c>
      <c r="M198" s="1">
        <f>IF(aoc_02_input[[#This Row],[Pos2]]=aoc_02_input[[#This Row],[Char]],1,0)</f>
        <v>1</v>
      </c>
      <c r="N198" s="1">
        <f>IF(aoc_02_input[[#This Row],[Pos1Valid]]&lt;&gt;aoc_02_input[[#This Row],[Pos2Valid]],1,0)</f>
        <v>1</v>
      </c>
    </row>
    <row r="199" spans="1:14" x14ac:dyDescent="0.45">
      <c r="A199" s="1" t="s">
        <v>394</v>
      </c>
      <c r="B199" s="1" t="s">
        <v>213</v>
      </c>
      <c r="C199" s="1" t="s">
        <v>513</v>
      </c>
      <c r="D199" s="1">
        <f>FIND("-",aoc_02_input[[#This Row],[InputNumbers]])</f>
        <v>2</v>
      </c>
      <c r="E199" s="1">
        <f>_xlfn.NUMBERVALUE(LEFT(aoc_02_input[[#This Row],[InputNumbers]],aoc_02_input[[#This Row],[PosDash]]-1))</f>
        <v>4</v>
      </c>
      <c r="F199" s="1">
        <f>_xlfn.NUMBERVALUE(MID(aoc_02_input[[#This Row],[InputNumbers]],aoc_02_input[[#This Row],[PosDash]]+1,5))</f>
        <v>7</v>
      </c>
      <c r="G199" s="1" t="str">
        <f>LEFT(aoc_02_input[[#This Row],[InputChar]],1)</f>
        <v>m</v>
      </c>
      <c r="H199" s="1" cm="1">
        <f t="array" ref="H199">CountChar(aoc_02_input[[#This Row],[Password]],aoc_02_input[[#This Row],[Char]])</f>
        <v>5</v>
      </c>
      <c r="I199" s="1">
        <f>IF(AND(aoc_02_input[[#This Row],[Int1]]&lt;=aoc_02_input[[#This Row],[CountOfChar]],aoc_02_input[[#This Row],[CountOfChar]]&lt;=aoc_02_input[[#This Row],[Int2]]),1,0)</f>
        <v>1</v>
      </c>
      <c r="J199" s="1" t="str">
        <f>MID(aoc_02_input[[#This Row],[Password]],aoc_02_input[[#This Row],[Int1]],1)</f>
        <v>m</v>
      </c>
      <c r="K199" s="1">
        <f>IF(aoc_02_input[[#This Row],[Pos1]]=aoc_02_input[[#This Row],[Char]],1,0)</f>
        <v>1</v>
      </c>
      <c r="L199" s="1" t="str">
        <f>MID(aoc_02_input[[#This Row],[Password]],aoc_02_input[[#This Row],[Int2]],1)</f>
        <v>j</v>
      </c>
      <c r="M199" s="1">
        <f>IF(aoc_02_input[[#This Row],[Pos2]]=aoc_02_input[[#This Row],[Char]],1,0)</f>
        <v>0</v>
      </c>
      <c r="N199" s="1">
        <f>IF(aoc_02_input[[#This Row],[Pos1Valid]]&lt;&gt;aoc_02_input[[#This Row],[Pos2Valid]],1,0)</f>
        <v>1</v>
      </c>
    </row>
    <row r="200" spans="1:14" x14ac:dyDescent="0.45">
      <c r="A200" s="1" t="s">
        <v>514</v>
      </c>
      <c r="B200" s="1" t="s">
        <v>243</v>
      </c>
      <c r="C200" s="1" t="s">
        <v>515</v>
      </c>
      <c r="D200" s="1">
        <f>FIND("-",aoc_02_input[[#This Row],[InputNumbers]])</f>
        <v>3</v>
      </c>
      <c r="E200" s="1">
        <f>_xlfn.NUMBERVALUE(LEFT(aoc_02_input[[#This Row],[InputNumbers]],aoc_02_input[[#This Row],[PosDash]]-1))</f>
        <v>13</v>
      </c>
      <c r="F200" s="1">
        <f>_xlfn.NUMBERVALUE(MID(aoc_02_input[[#This Row],[InputNumbers]],aoc_02_input[[#This Row],[PosDash]]+1,5))</f>
        <v>19</v>
      </c>
      <c r="G200" s="1" t="str">
        <f>LEFT(aoc_02_input[[#This Row],[InputChar]],1)</f>
        <v>f</v>
      </c>
      <c r="H200" s="1" cm="1">
        <f t="array" ref="H200">CountChar(aoc_02_input[[#This Row],[Password]],aoc_02_input[[#This Row],[Char]])</f>
        <v>11</v>
      </c>
      <c r="I200" s="1">
        <f>IF(AND(aoc_02_input[[#This Row],[Int1]]&lt;=aoc_02_input[[#This Row],[CountOfChar]],aoc_02_input[[#This Row],[CountOfChar]]&lt;=aoc_02_input[[#This Row],[Int2]]),1,0)</f>
        <v>0</v>
      </c>
      <c r="J200" s="1" t="str">
        <f>MID(aoc_02_input[[#This Row],[Password]],aoc_02_input[[#This Row],[Int1]],1)</f>
        <v>f</v>
      </c>
      <c r="K200" s="1">
        <f>IF(aoc_02_input[[#This Row],[Pos1]]=aoc_02_input[[#This Row],[Char]],1,0)</f>
        <v>1</v>
      </c>
      <c r="L200" s="1" t="str">
        <f>MID(aoc_02_input[[#This Row],[Password]],aoc_02_input[[#This Row],[Int2]],1)</f>
        <v>x</v>
      </c>
      <c r="M200" s="1">
        <f>IF(aoc_02_input[[#This Row],[Pos2]]=aoc_02_input[[#This Row],[Char]],1,0)</f>
        <v>0</v>
      </c>
      <c r="N200" s="1">
        <f>IF(aoc_02_input[[#This Row],[Pos1Valid]]&lt;&gt;aoc_02_input[[#This Row],[Pos2Valid]],1,0)</f>
        <v>1</v>
      </c>
    </row>
    <row r="201" spans="1:14" x14ac:dyDescent="0.45">
      <c r="A201" s="1" t="s">
        <v>417</v>
      </c>
      <c r="B201" s="1" t="s">
        <v>207</v>
      </c>
      <c r="C201" s="1" t="s">
        <v>516</v>
      </c>
      <c r="D201" s="1">
        <f>FIND("-",aoc_02_input[[#This Row],[InputNumbers]])</f>
        <v>3</v>
      </c>
      <c r="E201" s="1">
        <f>_xlfn.NUMBERVALUE(LEFT(aoc_02_input[[#This Row],[InputNumbers]],aoc_02_input[[#This Row],[PosDash]]-1))</f>
        <v>12</v>
      </c>
      <c r="F201" s="1">
        <f>_xlfn.NUMBERVALUE(MID(aoc_02_input[[#This Row],[InputNumbers]],aoc_02_input[[#This Row],[PosDash]]+1,5))</f>
        <v>13</v>
      </c>
      <c r="G201" s="1" t="str">
        <f>LEFT(aoc_02_input[[#This Row],[InputChar]],1)</f>
        <v>b</v>
      </c>
      <c r="H201" s="1" cm="1">
        <f t="array" ref="H201">CountChar(aoc_02_input[[#This Row],[Password]],aoc_02_input[[#This Row],[Char]])</f>
        <v>7</v>
      </c>
      <c r="I201" s="1">
        <f>IF(AND(aoc_02_input[[#This Row],[Int1]]&lt;=aoc_02_input[[#This Row],[CountOfChar]],aoc_02_input[[#This Row],[CountOfChar]]&lt;=aoc_02_input[[#This Row],[Int2]]),1,0)</f>
        <v>0</v>
      </c>
      <c r="J201" s="1" t="str">
        <f>MID(aoc_02_input[[#This Row],[Password]],aoc_02_input[[#This Row],[Int1]],1)</f>
        <v>j</v>
      </c>
      <c r="K201" s="1">
        <f>IF(aoc_02_input[[#This Row],[Pos1]]=aoc_02_input[[#This Row],[Char]],1,0)</f>
        <v>0</v>
      </c>
      <c r="L201" s="1" t="str">
        <f>MID(aoc_02_input[[#This Row],[Password]],aoc_02_input[[#This Row],[Int2]],1)</f>
        <v>b</v>
      </c>
      <c r="M201" s="1">
        <f>IF(aoc_02_input[[#This Row],[Pos2]]=aoc_02_input[[#This Row],[Char]],1,0)</f>
        <v>1</v>
      </c>
      <c r="N201" s="1">
        <f>IF(aoc_02_input[[#This Row],[Pos1Valid]]&lt;&gt;aoc_02_input[[#This Row],[Pos2Valid]],1,0)</f>
        <v>1</v>
      </c>
    </row>
    <row r="202" spans="1:14" x14ac:dyDescent="0.45">
      <c r="A202" s="1" t="s">
        <v>316</v>
      </c>
      <c r="B202" s="1" t="s">
        <v>210</v>
      </c>
      <c r="C202" s="1" t="s">
        <v>517</v>
      </c>
      <c r="D202" s="1">
        <f>FIND("-",aoc_02_input[[#This Row],[InputNumbers]])</f>
        <v>2</v>
      </c>
      <c r="E202" s="1">
        <f>_xlfn.NUMBERVALUE(LEFT(aoc_02_input[[#This Row],[InputNumbers]],aoc_02_input[[#This Row],[PosDash]]-1))</f>
        <v>1</v>
      </c>
      <c r="F202" s="1">
        <f>_xlfn.NUMBERVALUE(MID(aoc_02_input[[#This Row],[InputNumbers]],aoc_02_input[[#This Row],[PosDash]]+1,5))</f>
        <v>6</v>
      </c>
      <c r="G202" s="1" t="str">
        <f>LEFT(aoc_02_input[[#This Row],[InputChar]],1)</f>
        <v>v</v>
      </c>
      <c r="H202" s="1" cm="1">
        <f t="array" ref="H202">CountChar(aoc_02_input[[#This Row],[Password]],aoc_02_input[[#This Row],[Char]])</f>
        <v>6</v>
      </c>
      <c r="I202" s="1">
        <f>IF(AND(aoc_02_input[[#This Row],[Int1]]&lt;=aoc_02_input[[#This Row],[CountOfChar]],aoc_02_input[[#This Row],[CountOfChar]]&lt;=aoc_02_input[[#This Row],[Int2]]),1,0)</f>
        <v>1</v>
      </c>
      <c r="J202" s="1" t="str">
        <f>MID(aoc_02_input[[#This Row],[Password]],aoc_02_input[[#This Row],[Int1]],1)</f>
        <v>s</v>
      </c>
      <c r="K202" s="1">
        <f>IF(aoc_02_input[[#This Row],[Pos1]]=aoc_02_input[[#This Row],[Char]],1,0)</f>
        <v>0</v>
      </c>
      <c r="L202" s="1" t="str">
        <f>MID(aoc_02_input[[#This Row],[Password]],aoc_02_input[[#This Row],[Int2]],1)</f>
        <v>h</v>
      </c>
      <c r="M202" s="1">
        <f>IF(aoc_02_input[[#This Row],[Pos2]]=aoc_02_input[[#This Row],[Char]],1,0)</f>
        <v>0</v>
      </c>
      <c r="N202" s="1">
        <f>IF(aoc_02_input[[#This Row],[Pos1Valid]]&lt;&gt;aoc_02_input[[#This Row],[Pos2Valid]],1,0)</f>
        <v>0</v>
      </c>
    </row>
    <row r="203" spans="1:14" x14ac:dyDescent="0.45">
      <c r="A203" s="1" t="s">
        <v>251</v>
      </c>
      <c r="B203" s="1" t="s">
        <v>213</v>
      </c>
      <c r="C203" s="1" t="s">
        <v>518</v>
      </c>
      <c r="D203" s="1">
        <f>FIND("-",aoc_02_input[[#This Row],[InputNumbers]])</f>
        <v>2</v>
      </c>
      <c r="E203" s="1">
        <f>_xlfn.NUMBERVALUE(LEFT(aoc_02_input[[#This Row],[InputNumbers]],aoc_02_input[[#This Row],[PosDash]]-1))</f>
        <v>5</v>
      </c>
      <c r="F203" s="1">
        <f>_xlfn.NUMBERVALUE(MID(aoc_02_input[[#This Row],[InputNumbers]],aoc_02_input[[#This Row],[PosDash]]+1,5))</f>
        <v>6</v>
      </c>
      <c r="G203" s="1" t="str">
        <f>LEFT(aoc_02_input[[#This Row],[InputChar]],1)</f>
        <v>m</v>
      </c>
      <c r="H203" s="1" cm="1">
        <f t="array" ref="H203">CountChar(aoc_02_input[[#This Row],[Password]],aoc_02_input[[#This Row],[Char]])</f>
        <v>5</v>
      </c>
      <c r="I203" s="1">
        <f>IF(AND(aoc_02_input[[#This Row],[Int1]]&lt;=aoc_02_input[[#This Row],[CountOfChar]],aoc_02_input[[#This Row],[CountOfChar]]&lt;=aoc_02_input[[#This Row],[Int2]]),1,0)</f>
        <v>1</v>
      </c>
      <c r="J203" s="1" t="str">
        <f>MID(aoc_02_input[[#This Row],[Password]],aoc_02_input[[#This Row],[Int1]],1)</f>
        <v>d</v>
      </c>
      <c r="K203" s="1">
        <f>IF(aoc_02_input[[#This Row],[Pos1]]=aoc_02_input[[#This Row],[Char]],1,0)</f>
        <v>0</v>
      </c>
      <c r="L203" s="1" t="str">
        <f>MID(aoc_02_input[[#This Row],[Password]],aoc_02_input[[#This Row],[Int2]],1)</f>
        <v>m</v>
      </c>
      <c r="M203" s="1">
        <f>IF(aoc_02_input[[#This Row],[Pos2]]=aoc_02_input[[#This Row],[Char]],1,0)</f>
        <v>1</v>
      </c>
      <c r="N203" s="1">
        <f>IF(aoc_02_input[[#This Row],[Pos1Valid]]&lt;&gt;aoc_02_input[[#This Row],[Pos2Valid]],1,0)</f>
        <v>1</v>
      </c>
    </row>
    <row r="204" spans="1:14" x14ac:dyDescent="0.45">
      <c r="A204" s="1" t="s">
        <v>326</v>
      </c>
      <c r="B204" s="1" t="s">
        <v>246</v>
      </c>
      <c r="C204" s="1" t="s">
        <v>519</v>
      </c>
      <c r="D204" s="1">
        <f>FIND("-",aoc_02_input[[#This Row],[InputNumbers]])</f>
        <v>3</v>
      </c>
      <c r="E204" s="1">
        <f>_xlfn.NUMBERVALUE(LEFT(aoc_02_input[[#This Row],[InputNumbers]],aoc_02_input[[#This Row],[PosDash]]-1))</f>
        <v>10</v>
      </c>
      <c r="F204" s="1">
        <f>_xlfn.NUMBERVALUE(MID(aoc_02_input[[#This Row],[InputNumbers]],aoc_02_input[[#This Row],[PosDash]]+1,5))</f>
        <v>12</v>
      </c>
      <c r="G204" s="1" t="str">
        <f>LEFT(aoc_02_input[[#This Row],[InputChar]],1)</f>
        <v>n</v>
      </c>
      <c r="H204" s="1" cm="1">
        <f t="array" ref="H204">CountChar(aoc_02_input[[#This Row],[Password]],aoc_02_input[[#This Row],[Char]])</f>
        <v>14</v>
      </c>
      <c r="I204" s="1">
        <f>IF(AND(aoc_02_input[[#This Row],[Int1]]&lt;=aoc_02_input[[#This Row],[CountOfChar]],aoc_02_input[[#This Row],[CountOfChar]]&lt;=aoc_02_input[[#This Row],[Int2]]),1,0)</f>
        <v>0</v>
      </c>
      <c r="J204" s="1" t="str">
        <f>MID(aoc_02_input[[#This Row],[Password]],aoc_02_input[[#This Row],[Int1]],1)</f>
        <v>r</v>
      </c>
      <c r="K204" s="1">
        <f>IF(aoc_02_input[[#This Row],[Pos1]]=aoc_02_input[[#This Row],[Char]],1,0)</f>
        <v>0</v>
      </c>
      <c r="L204" s="1" t="str">
        <f>MID(aoc_02_input[[#This Row],[Password]],aoc_02_input[[#This Row],[Int2]],1)</f>
        <v>n</v>
      </c>
      <c r="M204" s="1">
        <f>IF(aoc_02_input[[#This Row],[Pos2]]=aoc_02_input[[#This Row],[Char]],1,0)</f>
        <v>1</v>
      </c>
      <c r="N204" s="1">
        <f>IF(aoc_02_input[[#This Row],[Pos1Valid]]&lt;&gt;aoc_02_input[[#This Row],[Pos2Valid]],1,0)</f>
        <v>1</v>
      </c>
    </row>
    <row r="205" spans="1:14" x14ac:dyDescent="0.45">
      <c r="A205" s="1" t="s">
        <v>349</v>
      </c>
      <c r="B205" s="1" t="s">
        <v>228</v>
      </c>
      <c r="C205" s="1" t="s">
        <v>520</v>
      </c>
      <c r="D205" s="1">
        <f>FIND("-",aoc_02_input[[#This Row],[InputNumbers]])</f>
        <v>2</v>
      </c>
      <c r="E205" s="1">
        <f>_xlfn.NUMBERVALUE(LEFT(aoc_02_input[[#This Row],[InputNumbers]],aoc_02_input[[#This Row],[PosDash]]-1))</f>
        <v>7</v>
      </c>
      <c r="F205" s="1">
        <f>_xlfn.NUMBERVALUE(MID(aoc_02_input[[#This Row],[InputNumbers]],aoc_02_input[[#This Row],[PosDash]]+1,5))</f>
        <v>16</v>
      </c>
      <c r="G205" s="1" t="str">
        <f>LEFT(aoc_02_input[[#This Row],[InputChar]],1)</f>
        <v>t</v>
      </c>
      <c r="H205" s="1" cm="1">
        <f t="array" ref="H205">CountChar(aoc_02_input[[#This Row],[Password]],aoc_02_input[[#This Row],[Char]])</f>
        <v>6</v>
      </c>
      <c r="I205" s="1">
        <f>IF(AND(aoc_02_input[[#This Row],[Int1]]&lt;=aoc_02_input[[#This Row],[CountOfChar]],aoc_02_input[[#This Row],[CountOfChar]]&lt;=aoc_02_input[[#This Row],[Int2]]),1,0)</f>
        <v>0</v>
      </c>
      <c r="J205" s="1" t="str">
        <f>MID(aoc_02_input[[#This Row],[Password]],aoc_02_input[[#This Row],[Int1]],1)</f>
        <v>t</v>
      </c>
      <c r="K205" s="1">
        <f>IF(aoc_02_input[[#This Row],[Pos1]]=aoc_02_input[[#This Row],[Char]],1,0)</f>
        <v>1</v>
      </c>
      <c r="L205" s="1" t="str">
        <f>MID(aoc_02_input[[#This Row],[Password]],aoc_02_input[[#This Row],[Int2]],1)</f>
        <v>z</v>
      </c>
      <c r="M205" s="1">
        <f>IF(aoc_02_input[[#This Row],[Pos2]]=aoc_02_input[[#This Row],[Char]],1,0)</f>
        <v>0</v>
      </c>
      <c r="N205" s="1">
        <f>IF(aoc_02_input[[#This Row],[Pos1Valid]]&lt;&gt;aoc_02_input[[#This Row],[Pos2Valid]],1,0)</f>
        <v>1</v>
      </c>
    </row>
    <row r="206" spans="1:14" x14ac:dyDescent="0.45">
      <c r="A206" s="1" t="s">
        <v>324</v>
      </c>
      <c r="B206" s="1" t="s">
        <v>295</v>
      </c>
      <c r="C206" s="1" t="s">
        <v>521</v>
      </c>
      <c r="D206" s="1">
        <f>FIND("-",aoc_02_input[[#This Row],[InputNumbers]])</f>
        <v>2</v>
      </c>
      <c r="E206" s="1">
        <f>_xlfn.NUMBERVALUE(LEFT(aoc_02_input[[#This Row],[InputNumbers]],aoc_02_input[[#This Row],[PosDash]]-1))</f>
        <v>1</v>
      </c>
      <c r="F206" s="1">
        <f>_xlfn.NUMBERVALUE(MID(aoc_02_input[[#This Row],[InputNumbers]],aoc_02_input[[#This Row],[PosDash]]+1,5))</f>
        <v>3</v>
      </c>
      <c r="G206" s="1" t="str">
        <f>LEFT(aoc_02_input[[#This Row],[InputChar]],1)</f>
        <v>c</v>
      </c>
      <c r="H206" s="1" cm="1">
        <f t="array" ref="H206">CountChar(aoc_02_input[[#This Row],[Password]],aoc_02_input[[#This Row],[Char]])</f>
        <v>5</v>
      </c>
      <c r="I206" s="1">
        <f>IF(AND(aoc_02_input[[#This Row],[Int1]]&lt;=aoc_02_input[[#This Row],[CountOfChar]],aoc_02_input[[#This Row],[CountOfChar]]&lt;=aoc_02_input[[#This Row],[Int2]]),1,0)</f>
        <v>0</v>
      </c>
      <c r="J206" s="1" t="str">
        <f>MID(aoc_02_input[[#This Row],[Password]],aoc_02_input[[#This Row],[Int1]],1)</f>
        <v>d</v>
      </c>
      <c r="K206" s="1">
        <f>IF(aoc_02_input[[#This Row],[Pos1]]=aoc_02_input[[#This Row],[Char]],1,0)</f>
        <v>0</v>
      </c>
      <c r="L206" s="1" t="str">
        <f>MID(aoc_02_input[[#This Row],[Password]],aoc_02_input[[#This Row],[Int2]],1)</f>
        <v>c</v>
      </c>
      <c r="M206" s="1">
        <f>IF(aoc_02_input[[#This Row],[Pos2]]=aoc_02_input[[#This Row],[Char]],1,0)</f>
        <v>1</v>
      </c>
      <c r="N206" s="1">
        <f>IF(aoc_02_input[[#This Row],[Pos1Valid]]&lt;&gt;aoc_02_input[[#This Row],[Pos2Valid]],1,0)</f>
        <v>1</v>
      </c>
    </row>
    <row r="207" spans="1:14" x14ac:dyDescent="0.45">
      <c r="A207" s="1" t="s">
        <v>522</v>
      </c>
      <c r="B207" s="1" t="s">
        <v>222</v>
      </c>
      <c r="C207" s="1" t="s">
        <v>523</v>
      </c>
      <c r="D207" s="1">
        <f>FIND("-",aoc_02_input[[#This Row],[InputNumbers]])</f>
        <v>2</v>
      </c>
      <c r="E207" s="1">
        <f>_xlfn.NUMBERVALUE(LEFT(aoc_02_input[[#This Row],[InputNumbers]],aoc_02_input[[#This Row],[PosDash]]-1))</f>
        <v>9</v>
      </c>
      <c r="F207" s="1">
        <f>_xlfn.NUMBERVALUE(MID(aoc_02_input[[#This Row],[InputNumbers]],aoc_02_input[[#This Row],[PosDash]]+1,5))</f>
        <v>17</v>
      </c>
      <c r="G207" s="1" t="str">
        <f>LEFT(aoc_02_input[[#This Row],[InputChar]],1)</f>
        <v>l</v>
      </c>
      <c r="H207" s="1" cm="1">
        <f t="array" ref="H207">CountChar(aoc_02_input[[#This Row],[Password]],aoc_02_input[[#This Row],[Char]])</f>
        <v>11</v>
      </c>
      <c r="I207" s="1">
        <f>IF(AND(aoc_02_input[[#This Row],[Int1]]&lt;=aoc_02_input[[#This Row],[CountOfChar]],aoc_02_input[[#This Row],[CountOfChar]]&lt;=aoc_02_input[[#This Row],[Int2]]),1,0)</f>
        <v>1</v>
      </c>
      <c r="J207" s="1" t="str">
        <f>MID(aoc_02_input[[#This Row],[Password]],aoc_02_input[[#This Row],[Int1]],1)</f>
        <v>l</v>
      </c>
      <c r="K207" s="1">
        <f>IF(aoc_02_input[[#This Row],[Pos1]]=aoc_02_input[[#This Row],[Char]],1,0)</f>
        <v>1</v>
      </c>
      <c r="L207" s="1" t="str">
        <f>MID(aoc_02_input[[#This Row],[Password]],aoc_02_input[[#This Row],[Int2]],1)</f>
        <v>j</v>
      </c>
      <c r="M207" s="1">
        <f>IF(aoc_02_input[[#This Row],[Pos2]]=aoc_02_input[[#This Row],[Char]],1,0)</f>
        <v>0</v>
      </c>
      <c r="N207" s="1">
        <f>IF(aoc_02_input[[#This Row],[Pos1Valid]]&lt;&gt;aoc_02_input[[#This Row],[Pos2Valid]],1,0)</f>
        <v>1</v>
      </c>
    </row>
    <row r="208" spans="1:14" x14ac:dyDescent="0.45">
      <c r="A208" s="1" t="s">
        <v>256</v>
      </c>
      <c r="B208" s="1" t="s">
        <v>265</v>
      </c>
      <c r="C208" s="1" t="s">
        <v>524</v>
      </c>
      <c r="D208" s="1">
        <f>FIND("-",aoc_02_input[[#This Row],[InputNumbers]])</f>
        <v>2</v>
      </c>
      <c r="E208" s="1">
        <f>_xlfn.NUMBERVALUE(LEFT(aoc_02_input[[#This Row],[InputNumbers]],aoc_02_input[[#This Row],[PosDash]]-1))</f>
        <v>5</v>
      </c>
      <c r="F208" s="1">
        <f>_xlfn.NUMBERVALUE(MID(aoc_02_input[[#This Row],[InputNumbers]],aoc_02_input[[#This Row],[PosDash]]+1,5))</f>
        <v>7</v>
      </c>
      <c r="G208" s="1" t="str">
        <f>LEFT(aoc_02_input[[#This Row],[InputChar]],1)</f>
        <v>r</v>
      </c>
      <c r="H208" s="1" cm="1">
        <f t="array" ref="H208">CountChar(aoc_02_input[[#This Row],[Password]],aoc_02_input[[#This Row],[Char]])</f>
        <v>7</v>
      </c>
      <c r="I208" s="1">
        <f>IF(AND(aoc_02_input[[#This Row],[Int1]]&lt;=aoc_02_input[[#This Row],[CountOfChar]],aoc_02_input[[#This Row],[CountOfChar]]&lt;=aoc_02_input[[#This Row],[Int2]]),1,0)</f>
        <v>1</v>
      </c>
      <c r="J208" s="1" t="str">
        <f>MID(aoc_02_input[[#This Row],[Password]],aoc_02_input[[#This Row],[Int1]],1)</f>
        <v>r</v>
      </c>
      <c r="K208" s="1">
        <f>IF(aoc_02_input[[#This Row],[Pos1]]=aoc_02_input[[#This Row],[Char]],1,0)</f>
        <v>1</v>
      </c>
      <c r="L208" s="1" t="str">
        <f>MID(aoc_02_input[[#This Row],[Password]],aoc_02_input[[#This Row],[Int2]],1)</f>
        <v>r</v>
      </c>
      <c r="M208" s="1">
        <f>IF(aoc_02_input[[#This Row],[Pos2]]=aoc_02_input[[#This Row],[Char]],1,0)</f>
        <v>1</v>
      </c>
      <c r="N208" s="1">
        <f>IF(aoc_02_input[[#This Row],[Pos1Valid]]&lt;&gt;aoc_02_input[[#This Row],[Pos2Valid]],1,0)</f>
        <v>0</v>
      </c>
    </row>
    <row r="209" spans="1:14" x14ac:dyDescent="0.45">
      <c r="A209" s="1" t="s">
        <v>221</v>
      </c>
      <c r="B209" s="1" t="s">
        <v>295</v>
      </c>
      <c r="C209" s="1" t="s">
        <v>525</v>
      </c>
      <c r="D209" s="1">
        <f>FIND("-",aoc_02_input[[#This Row],[InputNumbers]])</f>
        <v>2</v>
      </c>
      <c r="E209" s="1">
        <f>_xlfn.NUMBERVALUE(LEFT(aoc_02_input[[#This Row],[InputNumbers]],aoc_02_input[[#This Row],[PosDash]]-1))</f>
        <v>2</v>
      </c>
      <c r="F209" s="1">
        <f>_xlfn.NUMBERVALUE(MID(aoc_02_input[[#This Row],[InputNumbers]],aoc_02_input[[#This Row],[PosDash]]+1,5))</f>
        <v>3</v>
      </c>
      <c r="G209" s="1" t="str">
        <f>LEFT(aoc_02_input[[#This Row],[InputChar]],1)</f>
        <v>c</v>
      </c>
      <c r="H209" s="1" cm="1">
        <f t="array" ref="H209">CountChar(aoc_02_input[[#This Row],[Password]],aoc_02_input[[#This Row],[Char]])</f>
        <v>4</v>
      </c>
      <c r="I209" s="1">
        <f>IF(AND(aoc_02_input[[#This Row],[Int1]]&lt;=aoc_02_input[[#This Row],[CountOfChar]],aoc_02_input[[#This Row],[CountOfChar]]&lt;=aoc_02_input[[#This Row],[Int2]]),1,0)</f>
        <v>0</v>
      </c>
      <c r="J209" s="1" t="str">
        <f>MID(aoc_02_input[[#This Row],[Password]],aoc_02_input[[#This Row],[Int1]],1)</f>
        <v>c</v>
      </c>
      <c r="K209" s="1">
        <f>IF(aoc_02_input[[#This Row],[Pos1]]=aoc_02_input[[#This Row],[Char]],1,0)</f>
        <v>1</v>
      </c>
      <c r="L209" s="1" t="str">
        <f>MID(aoc_02_input[[#This Row],[Password]],aoc_02_input[[#This Row],[Int2]],1)</f>
        <v>d</v>
      </c>
      <c r="M209" s="1">
        <f>IF(aoc_02_input[[#This Row],[Pos2]]=aoc_02_input[[#This Row],[Char]],1,0)</f>
        <v>0</v>
      </c>
      <c r="N209" s="1">
        <f>IF(aoc_02_input[[#This Row],[Pos1Valid]]&lt;&gt;aoc_02_input[[#This Row],[Pos2Valid]],1,0)</f>
        <v>1</v>
      </c>
    </row>
    <row r="210" spans="1:14" x14ac:dyDescent="0.45">
      <c r="A210" s="1" t="s">
        <v>526</v>
      </c>
      <c r="B210" s="1" t="s">
        <v>252</v>
      </c>
      <c r="C210" s="1" t="s">
        <v>527</v>
      </c>
      <c r="D210" s="1">
        <f>FIND("-",aoc_02_input[[#This Row],[InputNumbers]])</f>
        <v>3</v>
      </c>
      <c r="E210" s="1">
        <f>_xlfn.NUMBERVALUE(LEFT(aoc_02_input[[#This Row],[InputNumbers]],aoc_02_input[[#This Row],[PosDash]]-1))</f>
        <v>13</v>
      </c>
      <c r="F210" s="1">
        <f>_xlfn.NUMBERVALUE(MID(aoc_02_input[[#This Row],[InputNumbers]],aoc_02_input[[#This Row],[PosDash]]+1,5))</f>
        <v>20</v>
      </c>
      <c r="G210" s="1" t="str">
        <f>LEFT(aoc_02_input[[#This Row],[InputChar]],1)</f>
        <v>p</v>
      </c>
      <c r="H210" s="1" cm="1">
        <f t="array" ref="H210">CountChar(aoc_02_input[[#This Row],[Password]],aoc_02_input[[#This Row],[Char]])</f>
        <v>20</v>
      </c>
      <c r="I210" s="1">
        <f>IF(AND(aoc_02_input[[#This Row],[Int1]]&lt;=aoc_02_input[[#This Row],[CountOfChar]],aoc_02_input[[#This Row],[CountOfChar]]&lt;=aoc_02_input[[#This Row],[Int2]]),1,0)</f>
        <v>1</v>
      </c>
      <c r="J210" s="1" t="str">
        <f>MID(aoc_02_input[[#This Row],[Password]],aoc_02_input[[#This Row],[Int1]],1)</f>
        <v>p</v>
      </c>
      <c r="K210" s="1">
        <f>IF(aoc_02_input[[#This Row],[Pos1]]=aoc_02_input[[#This Row],[Char]],1,0)</f>
        <v>1</v>
      </c>
      <c r="L210" s="1" t="str">
        <f>MID(aoc_02_input[[#This Row],[Password]],aoc_02_input[[#This Row],[Int2]],1)</f>
        <v>p</v>
      </c>
      <c r="M210" s="1">
        <f>IF(aoc_02_input[[#This Row],[Pos2]]=aoc_02_input[[#This Row],[Char]],1,0)</f>
        <v>1</v>
      </c>
      <c r="N210" s="1">
        <f>IF(aoc_02_input[[#This Row],[Pos1Valid]]&lt;&gt;aoc_02_input[[#This Row],[Pos2Valid]],1,0)</f>
        <v>0</v>
      </c>
    </row>
    <row r="211" spans="1:14" x14ac:dyDescent="0.45">
      <c r="A211" s="1" t="s">
        <v>494</v>
      </c>
      <c r="B211" s="1" t="s">
        <v>219</v>
      </c>
      <c r="C211" s="1" t="s">
        <v>528</v>
      </c>
      <c r="D211" s="1">
        <f>FIND("-",aoc_02_input[[#This Row],[InputNumbers]])</f>
        <v>2</v>
      </c>
      <c r="E211" s="1">
        <f>_xlfn.NUMBERVALUE(LEFT(aoc_02_input[[#This Row],[InputNumbers]],aoc_02_input[[#This Row],[PosDash]]-1))</f>
        <v>7</v>
      </c>
      <c r="F211" s="1">
        <f>_xlfn.NUMBERVALUE(MID(aoc_02_input[[#This Row],[InputNumbers]],aoc_02_input[[#This Row],[PosDash]]+1,5))</f>
        <v>10</v>
      </c>
      <c r="G211" s="1" t="str">
        <f>LEFT(aoc_02_input[[#This Row],[InputChar]],1)</f>
        <v>g</v>
      </c>
      <c r="H211" s="1" cm="1">
        <f t="array" ref="H211">CountChar(aoc_02_input[[#This Row],[Password]],aoc_02_input[[#This Row],[Char]])</f>
        <v>2</v>
      </c>
      <c r="I211" s="1">
        <f>IF(AND(aoc_02_input[[#This Row],[Int1]]&lt;=aoc_02_input[[#This Row],[CountOfChar]],aoc_02_input[[#This Row],[CountOfChar]]&lt;=aoc_02_input[[#This Row],[Int2]]),1,0)</f>
        <v>0</v>
      </c>
      <c r="J211" s="1" t="str">
        <f>MID(aoc_02_input[[#This Row],[Password]],aoc_02_input[[#This Row],[Int1]],1)</f>
        <v>q</v>
      </c>
      <c r="K211" s="1">
        <f>IF(aoc_02_input[[#This Row],[Pos1]]=aoc_02_input[[#This Row],[Char]],1,0)</f>
        <v>0</v>
      </c>
      <c r="L211" s="1" t="str">
        <f>MID(aoc_02_input[[#This Row],[Password]],aoc_02_input[[#This Row],[Int2]],1)</f>
        <v>m</v>
      </c>
      <c r="M211" s="1">
        <f>IF(aoc_02_input[[#This Row],[Pos2]]=aoc_02_input[[#This Row],[Char]],1,0)</f>
        <v>0</v>
      </c>
      <c r="N211" s="1">
        <f>IF(aoc_02_input[[#This Row],[Pos1Valid]]&lt;&gt;aoc_02_input[[#This Row],[Pos2Valid]],1,0)</f>
        <v>0</v>
      </c>
    </row>
    <row r="212" spans="1:14" x14ac:dyDescent="0.45">
      <c r="A212" s="1" t="s">
        <v>234</v>
      </c>
      <c r="B212" s="1" t="s">
        <v>249</v>
      </c>
      <c r="C212" s="1" t="s">
        <v>529</v>
      </c>
      <c r="D212" s="1">
        <f>FIND("-",aoc_02_input[[#This Row],[InputNumbers]])</f>
        <v>2</v>
      </c>
      <c r="E212" s="1">
        <f>_xlfn.NUMBERVALUE(LEFT(aoc_02_input[[#This Row],[InputNumbers]],aoc_02_input[[#This Row],[PosDash]]-1))</f>
        <v>7</v>
      </c>
      <c r="F212" s="1">
        <f>_xlfn.NUMBERVALUE(MID(aoc_02_input[[#This Row],[InputNumbers]],aoc_02_input[[#This Row],[PosDash]]+1,5))</f>
        <v>8</v>
      </c>
      <c r="G212" s="1" t="str">
        <f>LEFT(aoc_02_input[[#This Row],[InputChar]],1)</f>
        <v>q</v>
      </c>
      <c r="H212" s="1" cm="1">
        <f t="array" ref="H212">CountChar(aoc_02_input[[#This Row],[Password]],aoc_02_input[[#This Row],[Char]])</f>
        <v>10</v>
      </c>
      <c r="I212" s="1">
        <f>IF(AND(aoc_02_input[[#This Row],[Int1]]&lt;=aoc_02_input[[#This Row],[CountOfChar]],aoc_02_input[[#This Row],[CountOfChar]]&lt;=aoc_02_input[[#This Row],[Int2]]),1,0)</f>
        <v>0</v>
      </c>
      <c r="J212" s="1" t="str">
        <f>MID(aoc_02_input[[#This Row],[Password]],aoc_02_input[[#This Row],[Int1]],1)</f>
        <v>q</v>
      </c>
      <c r="K212" s="1">
        <f>IF(aoc_02_input[[#This Row],[Pos1]]=aoc_02_input[[#This Row],[Char]],1,0)</f>
        <v>1</v>
      </c>
      <c r="L212" s="1" t="str">
        <f>MID(aoc_02_input[[#This Row],[Password]],aoc_02_input[[#This Row],[Int2]],1)</f>
        <v>q</v>
      </c>
      <c r="M212" s="1">
        <f>IF(aoc_02_input[[#This Row],[Pos2]]=aoc_02_input[[#This Row],[Char]],1,0)</f>
        <v>1</v>
      </c>
      <c r="N212" s="1">
        <f>IF(aoc_02_input[[#This Row],[Pos1Valid]]&lt;&gt;aoc_02_input[[#This Row],[Pos2Valid]],1,0)</f>
        <v>0</v>
      </c>
    </row>
    <row r="213" spans="1:14" x14ac:dyDescent="0.45">
      <c r="A213" s="1" t="s">
        <v>269</v>
      </c>
      <c r="B213" s="1" t="s">
        <v>252</v>
      </c>
      <c r="C213" s="1" t="s">
        <v>530</v>
      </c>
      <c r="D213" s="1">
        <f>FIND("-",aoc_02_input[[#This Row],[InputNumbers]])</f>
        <v>2</v>
      </c>
      <c r="E213" s="1">
        <f>_xlfn.NUMBERVALUE(LEFT(aoc_02_input[[#This Row],[InputNumbers]],aoc_02_input[[#This Row],[PosDash]]-1))</f>
        <v>4</v>
      </c>
      <c r="F213" s="1">
        <f>_xlfn.NUMBERVALUE(MID(aoc_02_input[[#This Row],[InputNumbers]],aoc_02_input[[#This Row],[PosDash]]+1,5))</f>
        <v>9</v>
      </c>
      <c r="G213" s="1" t="str">
        <f>LEFT(aoc_02_input[[#This Row],[InputChar]],1)</f>
        <v>p</v>
      </c>
      <c r="H213" s="1" cm="1">
        <f t="array" ref="H213">CountChar(aoc_02_input[[#This Row],[Password]],aoc_02_input[[#This Row],[Char]])</f>
        <v>2</v>
      </c>
      <c r="I213" s="1">
        <f>IF(AND(aoc_02_input[[#This Row],[Int1]]&lt;=aoc_02_input[[#This Row],[CountOfChar]],aoc_02_input[[#This Row],[CountOfChar]]&lt;=aoc_02_input[[#This Row],[Int2]]),1,0)</f>
        <v>0</v>
      </c>
      <c r="J213" s="1" t="str">
        <f>MID(aoc_02_input[[#This Row],[Password]],aoc_02_input[[#This Row],[Int1]],1)</f>
        <v>p</v>
      </c>
      <c r="K213" s="1">
        <f>IF(aoc_02_input[[#This Row],[Pos1]]=aoc_02_input[[#This Row],[Char]],1,0)</f>
        <v>1</v>
      </c>
      <c r="L213" s="1" t="str">
        <f>MID(aoc_02_input[[#This Row],[Password]],aoc_02_input[[#This Row],[Int2]],1)</f>
        <v>p</v>
      </c>
      <c r="M213" s="1">
        <f>IF(aoc_02_input[[#This Row],[Pos2]]=aoc_02_input[[#This Row],[Char]],1,0)</f>
        <v>1</v>
      </c>
      <c r="N213" s="1">
        <f>IF(aoc_02_input[[#This Row],[Pos1Valid]]&lt;&gt;aoc_02_input[[#This Row],[Pos2Valid]],1,0)</f>
        <v>0</v>
      </c>
    </row>
    <row r="214" spans="1:14" x14ac:dyDescent="0.45">
      <c r="A214" s="1" t="s">
        <v>301</v>
      </c>
      <c r="B214" s="1" t="s">
        <v>228</v>
      </c>
      <c r="C214" s="1" t="s">
        <v>531</v>
      </c>
      <c r="D214" s="1">
        <f>FIND("-",aoc_02_input[[#This Row],[InputNumbers]])</f>
        <v>3</v>
      </c>
      <c r="E214" s="1">
        <f>_xlfn.NUMBERVALUE(LEFT(aoc_02_input[[#This Row],[InputNumbers]],aoc_02_input[[#This Row],[PosDash]]-1))</f>
        <v>14</v>
      </c>
      <c r="F214" s="1">
        <f>_xlfn.NUMBERVALUE(MID(aoc_02_input[[#This Row],[InputNumbers]],aoc_02_input[[#This Row],[PosDash]]+1,5))</f>
        <v>19</v>
      </c>
      <c r="G214" s="1" t="str">
        <f>LEFT(aoc_02_input[[#This Row],[InputChar]],1)</f>
        <v>t</v>
      </c>
      <c r="H214" s="1" cm="1">
        <f t="array" ref="H214">CountChar(aoc_02_input[[#This Row],[Password]],aoc_02_input[[#This Row],[Char]])</f>
        <v>18</v>
      </c>
      <c r="I214" s="1">
        <f>IF(AND(aoc_02_input[[#This Row],[Int1]]&lt;=aoc_02_input[[#This Row],[CountOfChar]],aoc_02_input[[#This Row],[CountOfChar]]&lt;=aoc_02_input[[#This Row],[Int2]]),1,0)</f>
        <v>1</v>
      </c>
      <c r="J214" s="1" t="str">
        <f>MID(aoc_02_input[[#This Row],[Password]],aoc_02_input[[#This Row],[Int1]],1)</f>
        <v>t</v>
      </c>
      <c r="K214" s="1">
        <f>IF(aoc_02_input[[#This Row],[Pos1]]=aoc_02_input[[#This Row],[Char]],1,0)</f>
        <v>1</v>
      </c>
      <c r="L214" s="1" t="str">
        <f>MID(aoc_02_input[[#This Row],[Password]],aoc_02_input[[#This Row],[Int2]],1)</f>
        <v>x</v>
      </c>
      <c r="M214" s="1">
        <f>IF(aoc_02_input[[#This Row],[Pos2]]=aoc_02_input[[#This Row],[Char]],1,0)</f>
        <v>0</v>
      </c>
      <c r="N214" s="1">
        <f>IF(aoc_02_input[[#This Row],[Pos1Valid]]&lt;&gt;aoc_02_input[[#This Row],[Pos2Valid]],1,0)</f>
        <v>1</v>
      </c>
    </row>
    <row r="215" spans="1:14" x14ac:dyDescent="0.45">
      <c r="A215" s="1" t="s">
        <v>337</v>
      </c>
      <c r="B215" s="1" t="s">
        <v>225</v>
      </c>
      <c r="C215" s="1" t="s">
        <v>532</v>
      </c>
      <c r="D215" s="1">
        <f>FIND("-",aoc_02_input[[#This Row],[InputNumbers]])</f>
        <v>3</v>
      </c>
      <c r="E215" s="1">
        <f>_xlfn.NUMBERVALUE(LEFT(aoc_02_input[[#This Row],[InputNumbers]],aoc_02_input[[#This Row],[PosDash]]-1))</f>
        <v>10</v>
      </c>
      <c r="F215" s="1">
        <f>_xlfn.NUMBERVALUE(MID(aoc_02_input[[#This Row],[InputNumbers]],aoc_02_input[[#This Row],[PosDash]]+1,5))</f>
        <v>13</v>
      </c>
      <c r="G215" s="1" t="str">
        <f>LEFT(aoc_02_input[[#This Row],[InputChar]],1)</f>
        <v>j</v>
      </c>
      <c r="H215" s="1" cm="1">
        <f t="array" ref="H215">CountChar(aoc_02_input[[#This Row],[Password]],aoc_02_input[[#This Row],[Char]])</f>
        <v>4</v>
      </c>
      <c r="I215" s="1">
        <f>IF(AND(aoc_02_input[[#This Row],[Int1]]&lt;=aoc_02_input[[#This Row],[CountOfChar]],aoc_02_input[[#This Row],[CountOfChar]]&lt;=aoc_02_input[[#This Row],[Int2]]),1,0)</f>
        <v>0</v>
      </c>
      <c r="J215" s="1" t="str">
        <f>MID(aoc_02_input[[#This Row],[Password]],aoc_02_input[[#This Row],[Int1]],1)</f>
        <v>p</v>
      </c>
      <c r="K215" s="1">
        <f>IF(aoc_02_input[[#This Row],[Pos1]]=aoc_02_input[[#This Row],[Char]],1,0)</f>
        <v>0</v>
      </c>
      <c r="L215" s="1" t="str">
        <f>MID(aoc_02_input[[#This Row],[Password]],aoc_02_input[[#This Row],[Int2]],1)</f>
        <v>j</v>
      </c>
      <c r="M215" s="1">
        <f>IF(aoc_02_input[[#This Row],[Pos2]]=aoc_02_input[[#This Row],[Char]],1,0)</f>
        <v>1</v>
      </c>
      <c r="N215" s="1">
        <f>IF(aoc_02_input[[#This Row],[Pos1Valid]]&lt;&gt;aoc_02_input[[#This Row],[Pos2Valid]],1,0)</f>
        <v>1</v>
      </c>
    </row>
    <row r="216" spans="1:14" x14ac:dyDescent="0.45">
      <c r="A216" s="1" t="s">
        <v>322</v>
      </c>
      <c r="B216" s="1" t="s">
        <v>252</v>
      </c>
      <c r="C216" s="1" t="s">
        <v>533</v>
      </c>
      <c r="D216" s="1">
        <f>FIND("-",aoc_02_input[[#This Row],[InputNumbers]])</f>
        <v>2</v>
      </c>
      <c r="E216" s="1">
        <f>_xlfn.NUMBERVALUE(LEFT(aoc_02_input[[#This Row],[InputNumbers]],aoc_02_input[[#This Row],[PosDash]]-1))</f>
        <v>5</v>
      </c>
      <c r="F216" s="1">
        <f>_xlfn.NUMBERVALUE(MID(aoc_02_input[[#This Row],[InputNumbers]],aoc_02_input[[#This Row],[PosDash]]+1,5))</f>
        <v>13</v>
      </c>
      <c r="G216" s="1" t="str">
        <f>LEFT(aoc_02_input[[#This Row],[InputChar]],1)</f>
        <v>p</v>
      </c>
      <c r="H216" s="1" cm="1">
        <f t="array" ref="H216">CountChar(aoc_02_input[[#This Row],[Password]],aoc_02_input[[#This Row],[Char]])</f>
        <v>8</v>
      </c>
      <c r="I216" s="1">
        <f>IF(AND(aoc_02_input[[#This Row],[Int1]]&lt;=aoc_02_input[[#This Row],[CountOfChar]],aoc_02_input[[#This Row],[CountOfChar]]&lt;=aoc_02_input[[#This Row],[Int2]]),1,0)</f>
        <v>1</v>
      </c>
      <c r="J216" s="1" t="str">
        <f>MID(aoc_02_input[[#This Row],[Password]],aoc_02_input[[#This Row],[Int1]],1)</f>
        <v>d</v>
      </c>
      <c r="K216" s="1">
        <f>IF(aoc_02_input[[#This Row],[Pos1]]=aoc_02_input[[#This Row],[Char]],1,0)</f>
        <v>0</v>
      </c>
      <c r="L216" s="1" t="str">
        <f>MID(aoc_02_input[[#This Row],[Password]],aoc_02_input[[#This Row],[Int2]],1)</f>
        <v>d</v>
      </c>
      <c r="M216" s="1">
        <f>IF(aoc_02_input[[#This Row],[Pos2]]=aoc_02_input[[#This Row],[Char]],1,0)</f>
        <v>0</v>
      </c>
      <c r="N216" s="1">
        <f>IF(aoc_02_input[[#This Row],[Pos1Valid]]&lt;&gt;aoc_02_input[[#This Row],[Pos2Valid]],1,0)</f>
        <v>0</v>
      </c>
    </row>
    <row r="217" spans="1:14" x14ac:dyDescent="0.45">
      <c r="A217" s="1" t="s">
        <v>534</v>
      </c>
      <c r="B217" s="1" t="s">
        <v>254</v>
      </c>
      <c r="C217" s="1" t="s">
        <v>535</v>
      </c>
      <c r="D217" s="1">
        <f>FIND("-",aoc_02_input[[#This Row],[InputNumbers]])</f>
        <v>3</v>
      </c>
      <c r="E217" s="1">
        <f>_xlfn.NUMBERVALUE(LEFT(aoc_02_input[[#This Row],[InputNumbers]],aoc_02_input[[#This Row],[PosDash]]-1))</f>
        <v>10</v>
      </c>
      <c r="F217" s="1">
        <f>_xlfn.NUMBERVALUE(MID(aoc_02_input[[#This Row],[InputNumbers]],aoc_02_input[[#This Row],[PosDash]]+1,5))</f>
        <v>14</v>
      </c>
      <c r="G217" s="1" t="str">
        <f>LEFT(aoc_02_input[[#This Row],[InputChar]],1)</f>
        <v>k</v>
      </c>
      <c r="H217" s="1" cm="1">
        <f t="array" ref="H217">CountChar(aoc_02_input[[#This Row],[Password]],aoc_02_input[[#This Row],[Char]])</f>
        <v>15</v>
      </c>
      <c r="I217" s="1">
        <f>IF(AND(aoc_02_input[[#This Row],[Int1]]&lt;=aoc_02_input[[#This Row],[CountOfChar]],aoc_02_input[[#This Row],[CountOfChar]]&lt;=aoc_02_input[[#This Row],[Int2]]),1,0)</f>
        <v>0</v>
      </c>
      <c r="J217" s="1" t="str">
        <f>MID(aoc_02_input[[#This Row],[Password]],aoc_02_input[[#This Row],[Int1]],1)</f>
        <v>k</v>
      </c>
      <c r="K217" s="1">
        <f>IF(aoc_02_input[[#This Row],[Pos1]]=aoc_02_input[[#This Row],[Char]],1,0)</f>
        <v>1</v>
      </c>
      <c r="L217" s="1" t="str">
        <f>MID(aoc_02_input[[#This Row],[Password]],aoc_02_input[[#This Row],[Int2]],1)</f>
        <v>k</v>
      </c>
      <c r="M217" s="1">
        <f>IF(aoc_02_input[[#This Row],[Pos2]]=aoc_02_input[[#This Row],[Char]],1,0)</f>
        <v>1</v>
      </c>
      <c r="N217" s="1">
        <f>IF(aoc_02_input[[#This Row],[Pos1Valid]]&lt;&gt;aoc_02_input[[#This Row],[Pos2Valid]],1,0)</f>
        <v>0</v>
      </c>
    </row>
    <row r="218" spans="1:14" x14ac:dyDescent="0.45">
      <c r="A218" s="1" t="s">
        <v>271</v>
      </c>
      <c r="B218" s="1" t="s">
        <v>252</v>
      </c>
      <c r="C218" s="1" t="s">
        <v>536</v>
      </c>
      <c r="D218" s="1">
        <f>FIND("-",aoc_02_input[[#This Row],[InputNumbers]])</f>
        <v>2</v>
      </c>
      <c r="E218" s="1">
        <f>_xlfn.NUMBERVALUE(LEFT(aoc_02_input[[#This Row],[InputNumbers]],aoc_02_input[[#This Row],[PosDash]]-1))</f>
        <v>9</v>
      </c>
      <c r="F218" s="1">
        <f>_xlfn.NUMBERVALUE(MID(aoc_02_input[[#This Row],[InputNumbers]],aoc_02_input[[#This Row],[PosDash]]+1,5))</f>
        <v>10</v>
      </c>
      <c r="G218" s="1" t="str">
        <f>LEFT(aoc_02_input[[#This Row],[InputChar]],1)</f>
        <v>p</v>
      </c>
      <c r="H218" s="1" cm="1">
        <f t="array" ref="H218">CountChar(aoc_02_input[[#This Row],[Password]],aoc_02_input[[#This Row],[Char]])</f>
        <v>4</v>
      </c>
      <c r="I218" s="1">
        <f>IF(AND(aoc_02_input[[#This Row],[Int1]]&lt;=aoc_02_input[[#This Row],[CountOfChar]],aoc_02_input[[#This Row],[CountOfChar]]&lt;=aoc_02_input[[#This Row],[Int2]]),1,0)</f>
        <v>0</v>
      </c>
      <c r="J218" s="1" t="str">
        <f>MID(aoc_02_input[[#This Row],[Password]],aoc_02_input[[#This Row],[Int1]],1)</f>
        <v>j</v>
      </c>
      <c r="K218" s="1">
        <f>IF(aoc_02_input[[#This Row],[Pos1]]=aoc_02_input[[#This Row],[Char]],1,0)</f>
        <v>0</v>
      </c>
      <c r="L218" s="1" t="str">
        <f>MID(aoc_02_input[[#This Row],[Password]],aoc_02_input[[#This Row],[Int2]],1)</f>
        <v>p</v>
      </c>
      <c r="M218" s="1">
        <f>IF(aoc_02_input[[#This Row],[Pos2]]=aoc_02_input[[#This Row],[Char]],1,0)</f>
        <v>1</v>
      </c>
      <c r="N218" s="1">
        <f>IF(aoc_02_input[[#This Row],[Pos1Valid]]&lt;&gt;aoc_02_input[[#This Row],[Pos2Valid]],1,0)</f>
        <v>1</v>
      </c>
    </row>
    <row r="219" spans="1:14" x14ac:dyDescent="0.45">
      <c r="A219" s="1" t="s">
        <v>365</v>
      </c>
      <c r="B219" s="1" t="s">
        <v>207</v>
      </c>
      <c r="C219" s="1" t="s">
        <v>537</v>
      </c>
      <c r="D219" s="1">
        <f>FIND("-",aoc_02_input[[#This Row],[InputNumbers]])</f>
        <v>2</v>
      </c>
      <c r="E219" s="1">
        <f>_xlfn.NUMBERVALUE(LEFT(aoc_02_input[[#This Row],[InputNumbers]],aoc_02_input[[#This Row],[PosDash]]-1))</f>
        <v>6</v>
      </c>
      <c r="F219" s="1">
        <f>_xlfn.NUMBERVALUE(MID(aoc_02_input[[#This Row],[InputNumbers]],aoc_02_input[[#This Row],[PosDash]]+1,5))</f>
        <v>9</v>
      </c>
      <c r="G219" s="1" t="str">
        <f>LEFT(aoc_02_input[[#This Row],[InputChar]],1)</f>
        <v>b</v>
      </c>
      <c r="H219" s="1" cm="1">
        <f t="array" ref="H219">CountChar(aoc_02_input[[#This Row],[Password]],aoc_02_input[[#This Row],[Char]])</f>
        <v>10</v>
      </c>
      <c r="I219" s="1">
        <f>IF(AND(aoc_02_input[[#This Row],[Int1]]&lt;=aoc_02_input[[#This Row],[CountOfChar]],aoc_02_input[[#This Row],[CountOfChar]]&lt;=aoc_02_input[[#This Row],[Int2]]),1,0)</f>
        <v>0</v>
      </c>
      <c r="J219" s="1" t="str">
        <f>MID(aoc_02_input[[#This Row],[Password]],aoc_02_input[[#This Row],[Int1]],1)</f>
        <v>b</v>
      </c>
      <c r="K219" s="1">
        <f>IF(aoc_02_input[[#This Row],[Pos1]]=aoc_02_input[[#This Row],[Char]],1,0)</f>
        <v>1</v>
      </c>
      <c r="L219" s="1" t="str">
        <f>MID(aoc_02_input[[#This Row],[Password]],aoc_02_input[[#This Row],[Int2]],1)</f>
        <v>j</v>
      </c>
      <c r="M219" s="1">
        <f>IF(aoc_02_input[[#This Row],[Pos2]]=aoc_02_input[[#This Row],[Char]],1,0)</f>
        <v>0</v>
      </c>
      <c r="N219" s="1">
        <f>IF(aoc_02_input[[#This Row],[Pos1Valid]]&lt;&gt;aoc_02_input[[#This Row],[Pos2Valid]],1,0)</f>
        <v>1</v>
      </c>
    </row>
    <row r="220" spans="1:14" x14ac:dyDescent="0.45">
      <c r="A220" s="1" t="s">
        <v>538</v>
      </c>
      <c r="B220" s="1" t="s">
        <v>246</v>
      </c>
      <c r="C220" s="1" t="s">
        <v>539</v>
      </c>
      <c r="D220" s="1">
        <f>FIND("-",aoc_02_input[[#This Row],[InputNumbers]])</f>
        <v>3</v>
      </c>
      <c r="E220" s="1">
        <f>_xlfn.NUMBERVALUE(LEFT(aoc_02_input[[#This Row],[InputNumbers]],aoc_02_input[[#This Row],[PosDash]]-1))</f>
        <v>11</v>
      </c>
      <c r="F220" s="1">
        <f>_xlfn.NUMBERVALUE(MID(aoc_02_input[[#This Row],[InputNumbers]],aoc_02_input[[#This Row],[PosDash]]+1,5))</f>
        <v>14</v>
      </c>
      <c r="G220" s="1" t="str">
        <f>LEFT(aoc_02_input[[#This Row],[InputChar]],1)</f>
        <v>n</v>
      </c>
      <c r="H220" s="1" cm="1">
        <f t="array" ref="H220">CountChar(aoc_02_input[[#This Row],[Password]],aoc_02_input[[#This Row],[Char]])</f>
        <v>9</v>
      </c>
      <c r="I220" s="1">
        <f>IF(AND(aoc_02_input[[#This Row],[Int1]]&lt;=aoc_02_input[[#This Row],[CountOfChar]],aoc_02_input[[#This Row],[CountOfChar]]&lt;=aoc_02_input[[#This Row],[Int2]]),1,0)</f>
        <v>0</v>
      </c>
      <c r="J220" s="1" t="str">
        <f>MID(aoc_02_input[[#This Row],[Password]],aoc_02_input[[#This Row],[Int1]],1)</f>
        <v>n</v>
      </c>
      <c r="K220" s="1">
        <f>IF(aoc_02_input[[#This Row],[Pos1]]=aoc_02_input[[#This Row],[Char]],1,0)</f>
        <v>1</v>
      </c>
      <c r="L220" s="1" t="str">
        <f>MID(aoc_02_input[[#This Row],[Password]],aoc_02_input[[#This Row],[Int2]],1)</f>
        <v>n</v>
      </c>
      <c r="M220" s="1">
        <f>IF(aoc_02_input[[#This Row],[Pos2]]=aoc_02_input[[#This Row],[Char]],1,0)</f>
        <v>1</v>
      </c>
      <c r="N220" s="1">
        <f>IF(aoc_02_input[[#This Row],[Pos1Valid]]&lt;&gt;aoc_02_input[[#This Row],[Pos2Valid]],1,0)</f>
        <v>0</v>
      </c>
    </row>
    <row r="221" spans="1:14" x14ac:dyDescent="0.45">
      <c r="A221" s="1" t="s">
        <v>262</v>
      </c>
      <c r="B221" s="1" t="s">
        <v>216</v>
      </c>
      <c r="C221" s="1" t="s">
        <v>540</v>
      </c>
      <c r="D221" s="1">
        <f>FIND("-",aoc_02_input[[#This Row],[InputNumbers]])</f>
        <v>2</v>
      </c>
      <c r="E221" s="1">
        <f>_xlfn.NUMBERVALUE(LEFT(aoc_02_input[[#This Row],[InputNumbers]],aoc_02_input[[#This Row],[PosDash]]-1))</f>
        <v>8</v>
      </c>
      <c r="F221" s="1">
        <f>_xlfn.NUMBERVALUE(MID(aoc_02_input[[#This Row],[InputNumbers]],aoc_02_input[[#This Row],[PosDash]]+1,5))</f>
        <v>16</v>
      </c>
      <c r="G221" s="1" t="str">
        <f>LEFT(aoc_02_input[[#This Row],[InputChar]],1)</f>
        <v>z</v>
      </c>
      <c r="H221" s="1" cm="1">
        <f t="array" ref="H221">CountChar(aoc_02_input[[#This Row],[Password]],aoc_02_input[[#This Row],[Char]])</f>
        <v>5</v>
      </c>
      <c r="I221" s="1">
        <f>IF(AND(aoc_02_input[[#This Row],[Int1]]&lt;=aoc_02_input[[#This Row],[CountOfChar]],aoc_02_input[[#This Row],[CountOfChar]]&lt;=aoc_02_input[[#This Row],[Int2]]),1,0)</f>
        <v>0</v>
      </c>
      <c r="J221" s="1" t="str">
        <f>MID(aoc_02_input[[#This Row],[Password]],aoc_02_input[[#This Row],[Int1]],1)</f>
        <v>z</v>
      </c>
      <c r="K221" s="1">
        <f>IF(aoc_02_input[[#This Row],[Pos1]]=aoc_02_input[[#This Row],[Char]],1,0)</f>
        <v>1</v>
      </c>
      <c r="L221" s="1" t="str">
        <f>MID(aoc_02_input[[#This Row],[Password]],aoc_02_input[[#This Row],[Int2]],1)</f>
        <v>f</v>
      </c>
      <c r="M221" s="1">
        <f>IF(aoc_02_input[[#This Row],[Pos2]]=aoc_02_input[[#This Row],[Char]],1,0)</f>
        <v>0</v>
      </c>
      <c r="N221" s="1">
        <f>IF(aoc_02_input[[#This Row],[Pos1Valid]]&lt;&gt;aoc_02_input[[#This Row],[Pos2Valid]],1,0)</f>
        <v>1</v>
      </c>
    </row>
    <row r="222" spans="1:14" x14ac:dyDescent="0.45">
      <c r="A222" s="1" t="s">
        <v>316</v>
      </c>
      <c r="B222" s="1" t="s">
        <v>235</v>
      </c>
      <c r="C222" s="1" t="s">
        <v>541</v>
      </c>
      <c r="D222" s="1">
        <f>FIND("-",aoc_02_input[[#This Row],[InputNumbers]])</f>
        <v>2</v>
      </c>
      <c r="E222" s="1">
        <f>_xlfn.NUMBERVALUE(LEFT(aoc_02_input[[#This Row],[InputNumbers]],aoc_02_input[[#This Row],[PosDash]]-1))</f>
        <v>1</v>
      </c>
      <c r="F222" s="1">
        <f>_xlfn.NUMBERVALUE(MID(aoc_02_input[[#This Row],[InputNumbers]],aoc_02_input[[#This Row],[PosDash]]+1,5))</f>
        <v>6</v>
      </c>
      <c r="G222" s="1" t="str">
        <f>LEFT(aoc_02_input[[#This Row],[InputChar]],1)</f>
        <v>d</v>
      </c>
      <c r="H222" s="1" cm="1">
        <f t="array" ref="H222">CountChar(aoc_02_input[[#This Row],[Password]],aoc_02_input[[#This Row],[Char]])</f>
        <v>7</v>
      </c>
      <c r="I222" s="1">
        <f>IF(AND(aoc_02_input[[#This Row],[Int1]]&lt;=aoc_02_input[[#This Row],[CountOfChar]],aoc_02_input[[#This Row],[CountOfChar]]&lt;=aoc_02_input[[#This Row],[Int2]]),1,0)</f>
        <v>0</v>
      </c>
      <c r="J222" s="1" t="str">
        <f>MID(aoc_02_input[[#This Row],[Password]],aoc_02_input[[#This Row],[Int1]],1)</f>
        <v>d</v>
      </c>
      <c r="K222" s="1">
        <f>IF(aoc_02_input[[#This Row],[Pos1]]=aoc_02_input[[#This Row],[Char]],1,0)</f>
        <v>1</v>
      </c>
      <c r="L222" s="1" t="str">
        <f>MID(aoc_02_input[[#This Row],[Password]],aoc_02_input[[#This Row],[Int2]],1)</f>
        <v>d</v>
      </c>
      <c r="M222" s="1">
        <f>IF(aoc_02_input[[#This Row],[Pos2]]=aoc_02_input[[#This Row],[Char]],1,0)</f>
        <v>1</v>
      </c>
      <c r="N222" s="1">
        <f>IF(aoc_02_input[[#This Row],[Pos1Valid]]&lt;&gt;aoc_02_input[[#This Row],[Pos2Valid]],1,0)</f>
        <v>0</v>
      </c>
    </row>
    <row r="223" spans="1:14" x14ac:dyDescent="0.45">
      <c r="A223" s="1" t="s">
        <v>365</v>
      </c>
      <c r="B223" s="1" t="s">
        <v>265</v>
      </c>
      <c r="C223" s="1" t="s">
        <v>542</v>
      </c>
      <c r="D223" s="1">
        <f>FIND("-",aoc_02_input[[#This Row],[InputNumbers]])</f>
        <v>2</v>
      </c>
      <c r="E223" s="1">
        <f>_xlfn.NUMBERVALUE(LEFT(aoc_02_input[[#This Row],[InputNumbers]],aoc_02_input[[#This Row],[PosDash]]-1))</f>
        <v>6</v>
      </c>
      <c r="F223" s="1">
        <f>_xlfn.NUMBERVALUE(MID(aoc_02_input[[#This Row],[InputNumbers]],aoc_02_input[[#This Row],[PosDash]]+1,5))</f>
        <v>9</v>
      </c>
      <c r="G223" s="1" t="str">
        <f>LEFT(aoc_02_input[[#This Row],[InputChar]],1)</f>
        <v>r</v>
      </c>
      <c r="H223" s="1" cm="1">
        <f t="array" ref="H223">CountChar(aoc_02_input[[#This Row],[Password]],aoc_02_input[[#This Row],[Char]])</f>
        <v>4</v>
      </c>
      <c r="I223" s="1">
        <f>IF(AND(aoc_02_input[[#This Row],[Int1]]&lt;=aoc_02_input[[#This Row],[CountOfChar]],aoc_02_input[[#This Row],[CountOfChar]]&lt;=aoc_02_input[[#This Row],[Int2]]),1,0)</f>
        <v>0</v>
      </c>
      <c r="J223" s="1" t="str">
        <f>MID(aoc_02_input[[#This Row],[Password]],aoc_02_input[[#This Row],[Int1]],1)</f>
        <v>r</v>
      </c>
      <c r="K223" s="1">
        <f>IF(aoc_02_input[[#This Row],[Pos1]]=aoc_02_input[[#This Row],[Char]],1,0)</f>
        <v>1</v>
      </c>
      <c r="L223" s="1" t="str">
        <f>MID(aoc_02_input[[#This Row],[Password]],aoc_02_input[[#This Row],[Int2]],1)</f>
        <v>r</v>
      </c>
      <c r="M223" s="1">
        <f>IF(aoc_02_input[[#This Row],[Pos2]]=aoc_02_input[[#This Row],[Char]],1,0)</f>
        <v>1</v>
      </c>
      <c r="N223" s="1">
        <f>IF(aoc_02_input[[#This Row],[Pos1Valid]]&lt;&gt;aoc_02_input[[#This Row],[Pos2Valid]],1,0)</f>
        <v>0</v>
      </c>
    </row>
    <row r="224" spans="1:14" x14ac:dyDescent="0.45">
      <c r="A224" s="1" t="s">
        <v>392</v>
      </c>
      <c r="B224" s="1" t="s">
        <v>213</v>
      </c>
      <c r="C224" s="1" t="s">
        <v>543</v>
      </c>
      <c r="D224" s="1">
        <f>FIND("-",aoc_02_input[[#This Row],[InputNumbers]])</f>
        <v>2</v>
      </c>
      <c r="E224" s="1">
        <f>_xlfn.NUMBERVALUE(LEFT(aoc_02_input[[#This Row],[InputNumbers]],aoc_02_input[[#This Row],[PosDash]]-1))</f>
        <v>8</v>
      </c>
      <c r="F224" s="1">
        <f>_xlfn.NUMBERVALUE(MID(aoc_02_input[[#This Row],[InputNumbers]],aoc_02_input[[#This Row],[PosDash]]+1,5))</f>
        <v>9</v>
      </c>
      <c r="G224" s="1" t="str">
        <f>LEFT(aoc_02_input[[#This Row],[InputChar]],1)</f>
        <v>m</v>
      </c>
      <c r="H224" s="1" cm="1">
        <f t="array" ref="H224">CountChar(aoc_02_input[[#This Row],[Password]],aoc_02_input[[#This Row],[Char]])</f>
        <v>7</v>
      </c>
      <c r="I224" s="1">
        <f>IF(AND(aoc_02_input[[#This Row],[Int1]]&lt;=aoc_02_input[[#This Row],[CountOfChar]],aoc_02_input[[#This Row],[CountOfChar]]&lt;=aoc_02_input[[#This Row],[Int2]]),1,0)</f>
        <v>0</v>
      </c>
      <c r="J224" s="1" t="str">
        <f>MID(aoc_02_input[[#This Row],[Password]],aoc_02_input[[#This Row],[Int1]],1)</f>
        <v>m</v>
      </c>
      <c r="K224" s="1">
        <f>IF(aoc_02_input[[#This Row],[Pos1]]=aoc_02_input[[#This Row],[Char]],1,0)</f>
        <v>1</v>
      </c>
      <c r="L224" s="1" t="str">
        <f>MID(aoc_02_input[[#This Row],[Password]],aoc_02_input[[#This Row],[Int2]],1)</f>
        <v>t</v>
      </c>
      <c r="M224" s="1">
        <f>IF(aoc_02_input[[#This Row],[Pos2]]=aoc_02_input[[#This Row],[Char]],1,0)</f>
        <v>0</v>
      </c>
      <c r="N224" s="1">
        <f>IF(aoc_02_input[[#This Row],[Pos1Valid]]&lt;&gt;aoc_02_input[[#This Row],[Pos2Valid]],1,0)</f>
        <v>1</v>
      </c>
    </row>
    <row r="225" spans="1:14" x14ac:dyDescent="0.45">
      <c r="A225" s="1" t="s">
        <v>489</v>
      </c>
      <c r="B225" s="1" t="s">
        <v>219</v>
      </c>
      <c r="C225" s="1" t="s">
        <v>544</v>
      </c>
      <c r="D225" s="1">
        <f>FIND("-",aoc_02_input[[#This Row],[InputNumbers]])</f>
        <v>2</v>
      </c>
      <c r="E225" s="1">
        <f>_xlfn.NUMBERVALUE(LEFT(aoc_02_input[[#This Row],[InputNumbers]],aoc_02_input[[#This Row],[PosDash]]-1))</f>
        <v>3</v>
      </c>
      <c r="F225" s="1">
        <f>_xlfn.NUMBERVALUE(MID(aoc_02_input[[#This Row],[InputNumbers]],aoc_02_input[[#This Row],[PosDash]]+1,5))</f>
        <v>11</v>
      </c>
      <c r="G225" s="1" t="str">
        <f>LEFT(aoc_02_input[[#This Row],[InputChar]],1)</f>
        <v>g</v>
      </c>
      <c r="H225" s="1" cm="1">
        <f t="array" ref="H225">CountChar(aoc_02_input[[#This Row],[Password]],aoc_02_input[[#This Row],[Char]])</f>
        <v>4</v>
      </c>
      <c r="I225" s="1">
        <f>IF(AND(aoc_02_input[[#This Row],[Int1]]&lt;=aoc_02_input[[#This Row],[CountOfChar]],aoc_02_input[[#This Row],[CountOfChar]]&lt;=aoc_02_input[[#This Row],[Int2]]),1,0)</f>
        <v>1</v>
      </c>
      <c r="J225" s="1" t="str">
        <f>MID(aoc_02_input[[#This Row],[Password]],aoc_02_input[[#This Row],[Int1]],1)</f>
        <v>f</v>
      </c>
      <c r="K225" s="1">
        <f>IF(aoc_02_input[[#This Row],[Pos1]]=aoc_02_input[[#This Row],[Char]],1,0)</f>
        <v>0</v>
      </c>
      <c r="L225" s="1" t="str">
        <f>MID(aoc_02_input[[#This Row],[Password]],aoc_02_input[[#This Row],[Int2]],1)</f>
        <v>v</v>
      </c>
      <c r="M225" s="1">
        <f>IF(aoc_02_input[[#This Row],[Pos2]]=aoc_02_input[[#This Row],[Char]],1,0)</f>
        <v>0</v>
      </c>
      <c r="N225" s="1">
        <f>IF(aoc_02_input[[#This Row],[Pos1Valid]]&lt;&gt;aoc_02_input[[#This Row],[Pos2Valid]],1,0)</f>
        <v>0</v>
      </c>
    </row>
    <row r="226" spans="1:14" x14ac:dyDescent="0.45">
      <c r="A226" s="1" t="s">
        <v>545</v>
      </c>
      <c r="B226" s="1" t="s">
        <v>222</v>
      </c>
      <c r="C226" s="1" t="s">
        <v>546</v>
      </c>
      <c r="D226" s="1">
        <f>FIND("-",aoc_02_input[[#This Row],[InputNumbers]])</f>
        <v>3</v>
      </c>
      <c r="E226" s="1">
        <f>_xlfn.NUMBERVALUE(LEFT(aoc_02_input[[#This Row],[InputNumbers]],aoc_02_input[[#This Row],[PosDash]]-1))</f>
        <v>13</v>
      </c>
      <c r="F226" s="1">
        <f>_xlfn.NUMBERVALUE(MID(aoc_02_input[[#This Row],[InputNumbers]],aoc_02_input[[#This Row],[PosDash]]+1,5))</f>
        <v>18</v>
      </c>
      <c r="G226" s="1" t="str">
        <f>LEFT(aoc_02_input[[#This Row],[InputChar]],1)</f>
        <v>l</v>
      </c>
      <c r="H226" s="1" cm="1">
        <f t="array" ref="H226">CountChar(aoc_02_input[[#This Row],[Password]],aoc_02_input[[#This Row],[Char]])</f>
        <v>6</v>
      </c>
      <c r="I226" s="1">
        <f>IF(AND(aoc_02_input[[#This Row],[Int1]]&lt;=aoc_02_input[[#This Row],[CountOfChar]],aoc_02_input[[#This Row],[CountOfChar]]&lt;=aoc_02_input[[#This Row],[Int2]]),1,0)</f>
        <v>0</v>
      </c>
      <c r="J226" s="1" t="str">
        <f>MID(aoc_02_input[[#This Row],[Password]],aoc_02_input[[#This Row],[Int1]],1)</f>
        <v>z</v>
      </c>
      <c r="K226" s="1">
        <f>IF(aoc_02_input[[#This Row],[Pos1]]=aoc_02_input[[#This Row],[Char]],1,0)</f>
        <v>0</v>
      </c>
      <c r="L226" s="1" t="str">
        <f>MID(aoc_02_input[[#This Row],[Password]],aoc_02_input[[#This Row],[Int2]],1)</f>
        <v>l</v>
      </c>
      <c r="M226" s="1">
        <f>IF(aoc_02_input[[#This Row],[Pos2]]=aoc_02_input[[#This Row],[Char]],1,0)</f>
        <v>1</v>
      </c>
      <c r="N226" s="1">
        <f>IF(aoc_02_input[[#This Row],[Pos1Valid]]&lt;&gt;aoc_02_input[[#This Row],[Pos2Valid]],1,0)</f>
        <v>1</v>
      </c>
    </row>
    <row r="227" spans="1:14" x14ac:dyDescent="0.45">
      <c r="A227" s="1" t="s">
        <v>380</v>
      </c>
      <c r="B227" s="1" t="s">
        <v>246</v>
      </c>
      <c r="C227" s="1" t="s">
        <v>547</v>
      </c>
      <c r="D227" s="1">
        <f>FIND("-",aoc_02_input[[#This Row],[InputNumbers]])</f>
        <v>2</v>
      </c>
      <c r="E227" s="1">
        <f>_xlfn.NUMBERVALUE(LEFT(aoc_02_input[[#This Row],[InputNumbers]],aoc_02_input[[#This Row],[PosDash]]-1))</f>
        <v>3</v>
      </c>
      <c r="F227" s="1">
        <f>_xlfn.NUMBERVALUE(MID(aoc_02_input[[#This Row],[InputNumbers]],aoc_02_input[[#This Row],[PosDash]]+1,5))</f>
        <v>7</v>
      </c>
      <c r="G227" s="1" t="str">
        <f>LEFT(aoc_02_input[[#This Row],[InputChar]],1)</f>
        <v>n</v>
      </c>
      <c r="H227" s="1" cm="1">
        <f t="array" ref="H227">CountChar(aoc_02_input[[#This Row],[Password]],aoc_02_input[[#This Row],[Char]])</f>
        <v>8</v>
      </c>
      <c r="I227" s="1">
        <f>IF(AND(aoc_02_input[[#This Row],[Int1]]&lt;=aoc_02_input[[#This Row],[CountOfChar]],aoc_02_input[[#This Row],[CountOfChar]]&lt;=aoc_02_input[[#This Row],[Int2]]),1,0)</f>
        <v>0</v>
      </c>
      <c r="J227" s="1" t="str">
        <f>MID(aoc_02_input[[#This Row],[Password]],aoc_02_input[[#This Row],[Int1]],1)</f>
        <v>n</v>
      </c>
      <c r="K227" s="1">
        <f>IF(aoc_02_input[[#This Row],[Pos1]]=aoc_02_input[[#This Row],[Char]],1,0)</f>
        <v>1</v>
      </c>
      <c r="L227" s="1" t="str">
        <f>MID(aoc_02_input[[#This Row],[Password]],aoc_02_input[[#This Row],[Int2]],1)</f>
        <v>n</v>
      </c>
      <c r="M227" s="1">
        <f>IF(aoc_02_input[[#This Row],[Pos2]]=aoc_02_input[[#This Row],[Char]],1,0)</f>
        <v>1</v>
      </c>
      <c r="N227" s="1">
        <f>IF(aoc_02_input[[#This Row],[Pos1Valid]]&lt;&gt;aoc_02_input[[#This Row],[Pos2Valid]],1,0)</f>
        <v>0</v>
      </c>
    </row>
    <row r="228" spans="1:14" x14ac:dyDescent="0.45">
      <c r="A228" s="1" t="s">
        <v>256</v>
      </c>
      <c r="B228" s="1" t="s">
        <v>235</v>
      </c>
      <c r="C228" s="1" t="s">
        <v>548</v>
      </c>
      <c r="D228" s="1">
        <f>FIND("-",aoc_02_input[[#This Row],[InputNumbers]])</f>
        <v>2</v>
      </c>
      <c r="E228" s="1">
        <f>_xlfn.NUMBERVALUE(LEFT(aoc_02_input[[#This Row],[InputNumbers]],aoc_02_input[[#This Row],[PosDash]]-1))</f>
        <v>5</v>
      </c>
      <c r="F228" s="1">
        <f>_xlfn.NUMBERVALUE(MID(aoc_02_input[[#This Row],[InputNumbers]],aoc_02_input[[#This Row],[PosDash]]+1,5))</f>
        <v>7</v>
      </c>
      <c r="G228" s="1" t="str">
        <f>LEFT(aoc_02_input[[#This Row],[InputChar]],1)</f>
        <v>d</v>
      </c>
      <c r="H228" s="1" cm="1">
        <f t="array" ref="H228">CountChar(aoc_02_input[[#This Row],[Password]],aoc_02_input[[#This Row],[Char]])</f>
        <v>3</v>
      </c>
      <c r="I228" s="1">
        <f>IF(AND(aoc_02_input[[#This Row],[Int1]]&lt;=aoc_02_input[[#This Row],[CountOfChar]],aoc_02_input[[#This Row],[CountOfChar]]&lt;=aoc_02_input[[#This Row],[Int2]]),1,0)</f>
        <v>0</v>
      </c>
      <c r="J228" s="1" t="str">
        <f>MID(aoc_02_input[[#This Row],[Password]],aoc_02_input[[#This Row],[Int1]],1)</f>
        <v>j</v>
      </c>
      <c r="K228" s="1">
        <f>IF(aoc_02_input[[#This Row],[Pos1]]=aoc_02_input[[#This Row],[Char]],1,0)</f>
        <v>0</v>
      </c>
      <c r="L228" s="1" t="str">
        <f>MID(aoc_02_input[[#This Row],[Password]],aoc_02_input[[#This Row],[Int2]],1)</f>
        <v>d</v>
      </c>
      <c r="M228" s="1">
        <f>IF(aoc_02_input[[#This Row],[Pos2]]=aoc_02_input[[#This Row],[Char]],1,0)</f>
        <v>1</v>
      </c>
      <c r="N228" s="1">
        <f>IF(aoc_02_input[[#This Row],[Pos1Valid]]&lt;&gt;aoc_02_input[[#This Row],[Pos2Valid]],1,0)</f>
        <v>1</v>
      </c>
    </row>
    <row r="229" spans="1:14" x14ac:dyDescent="0.45">
      <c r="A229" s="1" t="s">
        <v>352</v>
      </c>
      <c r="B229" s="1" t="s">
        <v>278</v>
      </c>
      <c r="C229" s="1" t="s">
        <v>549</v>
      </c>
      <c r="D229" s="1">
        <f>FIND("-",aoc_02_input[[#This Row],[InputNumbers]])</f>
        <v>3</v>
      </c>
      <c r="E229" s="1">
        <f>_xlfn.NUMBERVALUE(LEFT(aoc_02_input[[#This Row],[InputNumbers]],aoc_02_input[[#This Row],[PosDash]]-1))</f>
        <v>15</v>
      </c>
      <c r="F229" s="1">
        <f>_xlfn.NUMBERVALUE(MID(aoc_02_input[[#This Row],[InputNumbers]],aoc_02_input[[#This Row],[PosDash]]+1,5))</f>
        <v>16</v>
      </c>
      <c r="G229" s="1" t="str">
        <f>LEFT(aoc_02_input[[#This Row],[InputChar]],1)</f>
        <v>x</v>
      </c>
      <c r="H229" s="1" cm="1">
        <f t="array" ref="H229">CountChar(aoc_02_input[[#This Row],[Password]],aoc_02_input[[#This Row],[Char]])</f>
        <v>16</v>
      </c>
      <c r="I229" s="1">
        <f>IF(AND(aoc_02_input[[#This Row],[Int1]]&lt;=aoc_02_input[[#This Row],[CountOfChar]],aoc_02_input[[#This Row],[CountOfChar]]&lt;=aoc_02_input[[#This Row],[Int2]]),1,0)</f>
        <v>1</v>
      </c>
      <c r="J229" s="1" t="str">
        <f>MID(aoc_02_input[[#This Row],[Password]],aoc_02_input[[#This Row],[Int1]],1)</f>
        <v>x</v>
      </c>
      <c r="K229" s="1">
        <f>IF(aoc_02_input[[#This Row],[Pos1]]=aoc_02_input[[#This Row],[Char]],1,0)</f>
        <v>1</v>
      </c>
      <c r="L229" s="1" t="str">
        <f>MID(aoc_02_input[[#This Row],[Password]],aoc_02_input[[#This Row],[Int2]],1)</f>
        <v>l</v>
      </c>
      <c r="M229" s="1">
        <f>IF(aoc_02_input[[#This Row],[Pos2]]=aoc_02_input[[#This Row],[Char]],1,0)</f>
        <v>0</v>
      </c>
      <c r="N229" s="1">
        <f>IF(aoc_02_input[[#This Row],[Pos1Valid]]&lt;&gt;aoc_02_input[[#This Row],[Pos2Valid]],1,0)</f>
        <v>1</v>
      </c>
    </row>
    <row r="230" spans="1:14" x14ac:dyDescent="0.45">
      <c r="A230" s="1" t="s">
        <v>458</v>
      </c>
      <c r="B230" s="1" t="s">
        <v>314</v>
      </c>
      <c r="C230" s="1" t="s">
        <v>550</v>
      </c>
      <c r="D230" s="1">
        <f>FIND("-",aoc_02_input[[#This Row],[InputNumbers]])</f>
        <v>2</v>
      </c>
      <c r="E230" s="1">
        <f>_xlfn.NUMBERVALUE(LEFT(aoc_02_input[[#This Row],[InputNumbers]],aoc_02_input[[#This Row],[PosDash]]-1))</f>
        <v>9</v>
      </c>
      <c r="F230" s="1">
        <f>_xlfn.NUMBERVALUE(MID(aoc_02_input[[#This Row],[InputNumbers]],aoc_02_input[[#This Row],[PosDash]]+1,5))</f>
        <v>12</v>
      </c>
      <c r="G230" s="1" t="str">
        <f>LEFT(aoc_02_input[[#This Row],[InputChar]],1)</f>
        <v>h</v>
      </c>
      <c r="H230" s="1" cm="1">
        <f t="array" ref="H230">CountChar(aoc_02_input[[#This Row],[Password]],aoc_02_input[[#This Row],[Char]])</f>
        <v>6</v>
      </c>
      <c r="I230" s="1">
        <f>IF(AND(aoc_02_input[[#This Row],[Int1]]&lt;=aoc_02_input[[#This Row],[CountOfChar]],aoc_02_input[[#This Row],[CountOfChar]]&lt;=aoc_02_input[[#This Row],[Int2]]),1,0)</f>
        <v>0</v>
      </c>
      <c r="J230" s="1" t="str">
        <f>MID(aoc_02_input[[#This Row],[Password]],aoc_02_input[[#This Row],[Int1]],1)</f>
        <v>w</v>
      </c>
      <c r="K230" s="1">
        <f>IF(aoc_02_input[[#This Row],[Pos1]]=aoc_02_input[[#This Row],[Char]],1,0)</f>
        <v>0</v>
      </c>
      <c r="L230" s="1" t="str">
        <f>MID(aoc_02_input[[#This Row],[Password]],aoc_02_input[[#This Row],[Int2]],1)</f>
        <v>h</v>
      </c>
      <c r="M230" s="1">
        <f>IF(aoc_02_input[[#This Row],[Pos2]]=aoc_02_input[[#This Row],[Char]],1,0)</f>
        <v>1</v>
      </c>
      <c r="N230" s="1">
        <f>IF(aoc_02_input[[#This Row],[Pos1Valid]]&lt;&gt;aoc_02_input[[#This Row],[Pos2Valid]],1,0)</f>
        <v>1</v>
      </c>
    </row>
    <row r="231" spans="1:14" x14ac:dyDescent="0.45">
      <c r="A231" s="1" t="s">
        <v>443</v>
      </c>
      <c r="B231" s="1" t="s">
        <v>228</v>
      </c>
      <c r="C231" s="1" t="s">
        <v>551</v>
      </c>
      <c r="D231" s="1">
        <f>FIND("-",aoc_02_input[[#This Row],[InputNumbers]])</f>
        <v>3</v>
      </c>
      <c r="E231" s="1">
        <f>_xlfn.NUMBERVALUE(LEFT(aoc_02_input[[#This Row],[InputNumbers]],aoc_02_input[[#This Row],[PosDash]]-1))</f>
        <v>10</v>
      </c>
      <c r="F231" s="1">
        <f>_xlfn.NUMBERVALUE(MID(aoc_02_input[[#This Row],[InputNumbers]],aoc_02_input[[#This Row],[PosDash]]+1,5))</f>
        <v>16</v>
      </c>
      <c r="G231" s="1" t="str">
        <f>LEFT(aoc_02_input[[#This Row],[InputChar]],1)</f>
        <v>t</v>
      </c>
      <c r="H231" s="1" cm="1">
        <f t="array" ref="H231">CountChar(aoc_02_input[[#This Row],[Password]],aoc_02_input[[#This Row],[Char]])</f>
        <v>12</v>
      </c>
      <c r="I231" s="1">
        <f>IF(AND(aoc_02_input[[#This Row],[Int1]]&lt;=aoc_02_input[[#This Row],[CountOfChar]],aoc_02_input[[#This Row],[CountOfChar]]&lt;=aoc_02_input[[#This Row],[Int2]]),1,0)</f>
        <v>1</v>
      </c>
      <c r="J231" s="1" t="str">
        <f>MID(aoc_02_input[[#This Row],[Password]],aoc_02_input[[#This Row],[Int1]],1)</f>
        <v>t</v>
      </c>
      <c r="K231" s="1">
        <f>IF(aoc_02_input[[#This Row],[Pos1]]=aoc_02_input[[#This Row],[Char]],1,0)</f>
        <v>1</v>
      </c>
      <c r="L231" s="1" t="str">
        <f>MID(aoc_02_input[[#This Row],[Password]],aoc_02_input[[#This Row],[Int2]],1)</f>
        <v>w</v>
      </c>
      <c r="M231" s="1">
        <f>IF(aoc_02_input[[#This Row],[Pos2]]=aoc_02_input[[#This Row],[Char]],1,0)</f>
        <v>0</v>
      </c>
      <c r="N231" s="1">
        <f>IF(aoc_02_input[[#This Row],[Pos1Valid]]&lt;&gt;aoc_02_input[[#This Row],[Pos2Valid]],1,0)</f>
        <v>1</v>
      </c>
    </row>
    <row r="232" spans="1:14" x14ac:dyDescent="0.45">
      <c r="A232" s="1" t="s">
        <v>330</v>
      </c>
      <c r="B232" s="1" t="s">
        <v>225</v>
      </c>
      <c r="C232" s="1" t="s">
        <v>552</v>
      </c>
      <c r="D232" s="1">
        <f>FIND("-",aoc_02_input[[#This Row],[InputNumbers]])</f>
        <v>3</v>
      </c>
      <c r="E232" s="1">
        <f>_xlfn.NUMBERVALUE(LEFT(aoc_02_input[[#This Row],[InputNumbers]],aoc_02_input[[#This Row],[PosDash]]-1))</f>
        <v>13</v>
      </c>
      <c r="F232" s="1">
        <f>_xlfn.NUMBERVALUE(MID(aoc_02_input[[#This Row],[InputNumbers]],aoc_02_input[[#This Row],[PosDash]]+1,5))</f>
        <v>14</v>
      </c>
      <c r="G232" s="1" t="str">
        <f>LEFT(aoc_02_input[[#This Row],[InputChar]],1)</f>
        <v>j</v>
      </c>
      <c r="H232" s="1" cm="1">
        <f t="array" ref="H232">CountChar(aoc_02_input[[#This Row],[Password]],aoc_02_input[[#This Row],[Char]])</f>
        <v>14</v>
      </c>
      <c r="I232" s="1">
        <f>IF(AND(aoc_02_input[[#This Row],[Int1]]&lt;=aoc_02_input[[#This Row],[CountOfChar]],aoc_02_input[[#This Row],[CountOfChar]]&lt;=aoc_02_input[[#This Row],[Int2]]),1,0)</f>
        <v>1</v>
      </c>
      <c r="J232" s="1" t="str">
        <f>MID(aoc_02_input[[#This Row],[Password]],aoc_02_input[[#This Row],[Int1]],1)</f>
        <v>j</v>
      </c>
      <c r="K232" s="1">
        <f>IF(aoc_02_input[[#This Row],[Pos1]]=aoc_02_input[[#This Row],[Char]],1,0)</f>
        <v>1</v>
      </c>
      <c r="L232" s="1" t="str">
        <f>MID(aoc_02_input[[#This Row],[Password]],aoc_02_input[[#This Row],[Int2]],1)</f>
        <v>j</v>
      </c>
      <c r="M232" s="1">
        <f>IF(aoc_02_input[[#This Row],[Pos2]]=aoc_02_input[[#This Row],[Char]],1,0)</f>
        <v>1</v>
      </c>
      <c r="N232" s="1">
        <f>IF(aoc_02_input[[#This Row],[Pos1Valid]]&lt;&gt;aoc_02_input[[#This Row],[Pos2Valid]],1,0)</f>
        <v>0</v>
      </c>
    </row>
    <row r="233" spans="1:14" x14ac:dyDescent="0.45">
      <c r="A233" s="1" t="s">
        <v>283</v>
      </c>
      <c r="B233" s="1" t="s">
        <v>243</v>
      </c>
      <c r="C233" s="1" t="s">
        <v>553</v>
      </c>
      <c r="D233" s="1">
        <f>FIND("-",aoc_02_input[[#This Row],[InputNumbers]])</f>
        <v>2</v>
      </c>
      <c r="E233" s="1">
        <f>_xlfn.NUMBERVALUE(LEFT(aoc_02_input[[#This Row],[InputNumbers]],aoc_02_input[[#This Row],[PosDash]]-1))</f>
        <v>3</v>
      </c>
      <c r="F233" s="1">
        <f>_xlfn.NUMBERVALUE(MID(aoc_02_input[[#This Row],[InputNumbers]],aoc_02_input[[#This Row],[PosDash]]+1,5))</f>
        <v>4</v>
      </c>
      <c r="G233" s="1" t="str">
        <f>LEFT(aoc_02_input[[#This Row],[InputChar]],1)</f>
        <v>f</v>
      </c>
      <c r="H233" s="1" cm="1">
        <f t="array" ref="H233">CountChar(aoc_02_input[[#This Row],[Password]],aoc_02_input[[#This Row],[Char]])</f>
        <v>4</v>
      </c>
      <c r="I233" s="1">
        <f>IF(AND(aoc_02_input[[#This Row],[Int1]]&lt;=aoc_02_input[[#This Row],[CountOfChar]],aoc_02_input[[#This Row],[CountOfChar]]&lt;=aoc_02_input[[#This Row],[Int2]]),1,0)</f>
        <v>1</v>
      </c>
      <c r="J233" s="1" t="str">
        <f>MID(aoc_02_input[[#This Row],[Password]],aoc_02_input[[#This Row],[Int1]],1)</f>
        <v>f</v>
      </c>
      <c r="K233" s="1">
        <f>IF(aoc_02_input[[#This Row],[Pos1]]=aoc_02_input[[#This Row],[Char]],1,0)</f>
        <v>1</v>
      </c>
      <c r="L233" s="1" t="str">
        <f>MID(aoc_02_input[[#This Row],[Password]],aoc_02_input[[#This Row],[Int2]],1)</f>
        <v>l</v>
      </c>
      <c r="M233" s="1">
        <f>IF(aoc_02_input[[#This Row],[Pos2]]=aoc_02_input[[#This Row],[Char]],1,0)</f>
        <v>0</v>
      </c>
      <c r="N233" s="1">
        <f>IF(aoc_02_input[[#This Row],[Pos1Valid]]&lt;&gt;aoc_02_input[[#This Row],[Pos2Valid]],1,0)</f>
        <v>1</v>
      </c>
    </row>
    <row r="234" spans="1:14" x14ac:dyDescent="0.45">
      <c r="A234" s="1" t="s">
        <v>365</v>
      </c>
      <c r="B234" s="1" t="s">
        <v>228</v>
      </c>
      <c r="C234" s="1" t="s">
        <v>554</v>
      </c>
      <c r="D234" s="1">
        <f>FIND("-",aoc_02_input[[#This Row],[InputNumbers]])</f>
        <v>2</v>
      </c>
      <c r="E234" s="1">
        <f>_xlfn.NUMBERVALUE(LEFT(aoc_02_input[[#This Row],[InputNumbers]],aoc_02_input[[#This Row],[PosDash]]-1))</f>
        <v>6</v>
      </c>
      <c r="F234" s="1">
        <f>_xlfn.NUMBERVALUE(MID(aoc_02_input[[#This Row],[InputNumbers]],aoc_02_input[[#This Row],[PosDash]]+1,5))</f>
        <v>9</v>
      </c>
      <c r="G234" s="1" t="str">
        <f>LEFT(aoc_02_input[[#This Row],[InputChar]],1)</f>
        <v>t</v>
      </c>
      <c r="H234" s="1" cm="1">
        <f t="array" ref="H234">CountChar(aoc_02_input[[#This Row],[Password]],aoc_02_input[[#This Row],[Char]])</f>
        <v>9</v>
      </c>
      <c r="I234" s="1">
        <f>IF(AND(aoc_02_input[[#This Row],[Int1]]&lt;=aoc_02_input[[#This Row],[CountOfChar]],aoc_02_input[[#This Row],[CountOfChar]]&lt;=aoc_02_input[[#This Row],[Int2]]),1,0)</f>
        <v>1</v>
      </c>
      <c r="J234" s="1" t="str">
        <f>MID(aoc_02_input[[#This Row],[Password]],aoc_02_input[[#This Row],[Int1]],1)</f>
        <v>w</v>
      </c>
      <c r="K234" s="1">
        <f>IF(aoc_02_input[[#This Row],[Pos1]]=aoc_02_input[[#This Row],[Char]],1,0)</f>
        <v>0</v>
      </c>
      <c r="L234" s="1" t="str">
        <f>MID(aoc_02_input[[#This Row],[Password]],aoc_02_input[[#This Row],[Int2]],1)</f>
        <v>t</v>
      </c>
      <c r="M234" s="1">
        <f>IF(aoc_02_input[[#This Row],[Pos2]]=aoc_02_input[[#This Row],[Char]],1,0)</f>
        <v>1</v>
      </c>
      <c r="N234" s="1">
        <f>IF(aoc_02_input[[#This Row],[Pos1Valid]]&lt;&gt;aoc_02_input[[#This Row],[Pos2Valid]],1,0)</f>
        <v>1</v>
      </c>
    </row>
    <row r="235" spans="1:14" x14ac:dyDescent="0.45">
      <c r="A235" s="1" t="s">
        <v>555</v>
      </c>
      <c r="B235" s="1" t="s">
        <v>278</v>
      </c>
      <c r="C235" s="1" t="s">
        <v>556</v>
      </c>
      <c r="D235" s="1">
        <f>FIND("-",aoc_02_input[[#This Row],[InputNumbers]])</f>
        <v>2</v>
      </c>
      <c r="E235" s="1">
        <f>_xlfn.NUMBERVALUE(LEFT(aoc_02_input[[#This Row],[InputNumbers]],aoc_02_input[[#This Row],[PosDash]]-1))</f>
        <v>1</v>
      </c>
      <c r="F235" s="1">
        <f>_xlfn.NUMBERVALUE(MID(aoc_02_input[[#This Row],[InputNumbers]],aoc_02_input[[#This Row],[PosDash]]+1,5))</f>
        <v>10</v>
      </c>
      <c r="G235" s="1" t="str">
        <f>LEFT(aoc_02_input[[#This Row],[InputChar]],1)</f>
        <v>x</v>
      </c>
      <c r="H235" s="1" cm="1">
        <f t="array" ref="H235">CountChar(aoc_02_input[[#This Row],[Password]],aoc_02_input[[#This Row],[Char]])</f>
        <v>6</v>
      </c>
      <c r="I235" s="1">
        <f>IF(AND(aoc_02_input[[#This Row],[Int1]]&lt;=aoc_02_input[[#This Row],[CountOfChar]],aoc_02_input[[#This Row],[CountOfChar]]&lt;=aoc_02_input[[#This Row],[Int2]]),1,0)</f>
        <v>1</v>
      </c>
      <c r="J235" s="1" t="str">
        <f>MID(aoc_02_input[[#This Row],[Password]],aoc_02_input[[#This Row],[Int1]],1)</f>
        <v>x</v>
      </c>
      <c r="K235" s="1">
        <f>IF(aoc_02_input[[#This Row],[Pos1]]=aoc_02_input[[#This Row],[Char]],1,0)</f>
        <v>1</v>
      </c>
      <c r="L235" s="1" t="str">
        <f>MID(aoc_02_input[[#This Row],[Password]],aoc_02_input[[#This Row],[Int2]],1)</f>
        <v>x</v>
      </c>
      <c r="M235" s="1">
        <f>IF(aoc_02_input[[#This Row],[Pos2]]=aoc_02_input[[#This Row],[Char]],1,0)</f>
        <v>1</v>
      </c>
      <c r="N235" s="1">
        <f>IF(aoc_02_input[[#This Row],[Pos1Valid]]&lt;&gt;aoc_02_input[[#This Row],[Pos2Valid]],1,0)</f>
        <v>0</v>
      </c>
    </row>
    <row r="236" spans="1:14" x14ac:dyDescent="0.45">
      <c r="A236" s="1" t="s">
        <v>227</v>
      </c>
      <c r="B236" s="1" t="s">
        <v>278</v>
      </c>
      <c r="C236" s="1" t="s">
        <v>557</v>
      </c>
      <c r="D236" s="1">
        <f>FIND("-",aoc_02_input[[#This Row],[InputNumbers]])</f>
        <v>2</v>
      </c>
      <c r="E236" s="1">
        <f>_xlfn.NUMBERVALUE(LEFT(aoc_02_input[[#This Row],[InputNumbers]],aoc_02_input[[#This Row],[PosDash]]-1))</f>
        <v>4</v>
      </c>
      <c r="F236" s="1">
        <f>_xlfn.NUMBERVALUE(MID(aoc_02_input[[#This Row],[InputNumbers]],aoc_02_input[[#This Row],[PosDash]]+1,5))</f>
        <v>5</v>
      </c>
      <c r="G236" s="1" t="str">
        <f>LEFT(aoc_02_input[[#This Row],[InputChar]],1)</f>
        <v>x</v>
      </c>
      <c r="H236" s="1" cm="1">
        <f t="array" ref="H236">CountChar(aoc_02_input[[#This Row],[Password]],aoc_02_input[[#This Row],[Char]])</f>
        <v>6</v>
      </c>
      <c r="I236" s="1">
        <f>IF(AND(aoc_02_input[[#This Row],[Int1]]&lt;=aoc_02_input[[#This Row],[CountOfChar]],aoc_02_input[[#This Row],[CountOfChar]]&lt;=aoc_02_input[[#This Row],[Int2]]),1,0)</f>
        <v>0</v>
      </c>
      <c r="J236" s="1" t="str">
        <f>MID(aoc_02_input[[#This Row],[Password]],aoc_02_input[[#This Row],[Int1]],1)</f>
        <v>x</v>
      </c>
      <c r="K236" s="1">
        <f>IF(aoc_02_input[[#This Row],[Pos1]]=aoc_02_input[[#This Row],[Char]],1,0)</f>
        <v>1</v>
      </c>
      <c r="L236" s="1" t="str">
        <f>MID(aoc_02_input[[#This Row],[Password]],aoc_02_input[[#This Row],[Int2]],1)</f>
        <v>x</v>
      </c>
      <c r="M236" s="1">
        <f>IF(aoc_02_input[[#This Row],[Pos2]]=aoc_02_input[[#This Row],[Char]],1,0)</f>
        <v>1</v>
      </c>
      <c r="N236" s="1">
        <f>IF(aoc_02_input[[#This Row],[Pos1Valid]]&lt;&gt;aoc_02_input[[#This Row],[Pos2Valid]],1,0)</f>
        <v>0</v>
      </c>
    </row>
    <row r="237" spans="1:14" x14ac:dyDescent="0.45">
      <c r="A237" s="1" t="s">
        <v>522</v>
      </c>
      <c r="B237" s="1" t="s">
        <v>228</v>
      </c>
      <c r="C237" s="1" t="s">
        <v>558</v>
      </c>
      <c r="D237" s="1">
        <f>FIND("-",aoc_02_input[[#This Row],[InputNumbers]])</f>
        <v>2</v>
      </c>
      <c r="E237" s="1">
        <f>_xlfn.NUMBERVALUE(LEFT(aoc_02_input[[#This Row],[InputNumbers]],aoc_02_input[[#This Row],[PosDash]]-1))</f>
        <v>9</v>
      </c>
      <c r="F237" s="1">
        <f>_xlfn.NUMBERVALUE(MID(aoc_02_input[[#This Row],[InputNumbers]],aoc_02_input[[#This Row],[PosDash]]+1,5))</f>
        <v>17</v>
      </c>
      <c r="G237" s="1" t="str">
        <f>LEFT(aoc_02_input[[#This Row],[InputChar]],1)</f>
        <v>t</v>
      </c>
      <c r="H237" s="1" cm="1">
        <f t="array" ref="H237">CountChar(aoc_02_input[[#This Row],[Password]],aoc_02_input[[#This Row],[Char]])</f>
        <v>16</v>
      </c>
      <c r="I237" s="1">
        <f>IF(AND(aoc_02_input[[#This Row],[Int1]]&lt;=aoc_02_input[[#This Row],[CountOfChar]],aoc_02_input[[#This Row],[CountOfChar]]&lt;=aoc_02_input[[#This Row],[Int2]]),1,0)</f>
        <v>1</v>
      </c>
      <c r="J237" s="1" t="str">
        <f>MID(aoc_02_input[[#This Row],[Password]],aoc_02_input[[#This Row],[Int1]],1)</f>
        <v>t</v>
      </c>
      <c r="K237" s="1">
        <f>IF(aoc_02_input[[#This Row],[Pos1]]=aoc_02_input[[#This Row],[Char]],1,0)</f>
        <v>1</v>
      </c>
      <c r="L237" s="1" t="str">
        <f>MID(aoc_02_input[[#This Row],[Password]],aoc_02_input[[#This Row],[Int2]],1)</f>
        <v>h</v>
      </c>
      <c r="M237" s="1">
        <f>IF(aoc_02_input[[#This Row],[Pos2]]=aoc_02_input[[#This Row],[Char]],1,0)</f>
        <v>0</v>
      </c>
      <c r="N237" s="1">
        <f>IF(aoc_02_input[[#This Row],[Pos1Valid]]&lt;&gt;aoc_02_input[[#This Row],[Pos2Valid]],1,0)</f>
        <v>1</v>
      </c>
    </row>
    <row r="238" spans="1:14" x14ac:dyDescent="0.45">
      <c r="A238" s="1" t="s">
        <v>349</v>
      </c>
      <c r="B238" s="1" t="s">
        <v>238</v>
      </c>
      <c r="C238" s="1" t="s">
        <v>559</v>
      </c>
      <c r="D238" s="1">
        <f>FIND("-",aoc_02_input[[#This Row],[InputNumbers]])</f>
        <v>2</v>
      </c>
      <c r="E238" s="1">
        <f>_xlfn.NUMBERVALUE(LEFT(aoc_02_input[[#This Row],[InputNumbers]],aoc_02_input[[#This Row],[PosDash]]-1))</f>
        <v>7</v>
      </c>
      <c r="F238" s="1">
        <f>_xlfn.NUMBERVALUE(MID(aoc_02_input[[#This Row],[InputNumbers]],aoc_02_input[[#This Row],[PosDash]]+1,5))</f>
        <v>16</v>
      </c>
      <c r="G238" s="1" t="str">
        <f>LEFT(aoc_02_input[[#This Row],[InputChar]],1)</f>
        <v>w</v>
      </c>
      <c r="H238" s="1" cm="1">
        <f t="array" ref="H238">CountChar(aoc_02_input[[#This Row],[Password]],aoc_02_input[[#This Row],[Char]])</f>
        <v>14</v>
      </c>
      <c r="I238" s="1">
        <f>IF(AND(aoc_02_input[[#This Row],[Int1]]&lt;=aoc_02_input[[#This Row],[CountOfChar]],aoc_02_input[[#This Row],[CountOfChar]]&lt;=aoc_02_input[[#This Row],[Int2]]),1,0)</f>
        <v>1</v>
      </c>
      <c r="J238" s="1" t="str">
        <f>MID(aoc_02_input[[#This Row],[Password]],aoc_02_input[[#This Row],[Int1]],1)</f>
        <v>w</v>
      </c>
      <c r="K238" s="1">
        <f>IF(aoc_02_input[[#This Row],[Pos1]]=aoc_02_input[[#This Row],[Char]],1,0)</f>
        <v>1</v>
      </c>
      <c r="L238" s="1" t="str">
        <f>MID(aoc_02_input[[#This Row],[Password]],aoc_02_input[[#This Row],[Int2]],1)</f>
        <v>k</v>
      </c>
      <c r="M238" s="1">
        <f>IF(aoc_02_input[[#This Row],[Pos2]]=aoc_02_input[[#This Row],[Char]],1,0)</f>
        <v>0</v>
      </c>
      <c r="N238" s="1">
        <f>IF(aoc_02_input[[#This Row],[Pos1Valid]]&lt;&gt;aoc_02_input[[#This Row],[Pos2Valid]],1,0)</f>
        <v>1</v>
      </c>
    </row>
    <row r="239" spans="1:14" x14ac:dyDescent="0.45">
      <c r="A239" s="1" t="s">
        <v>264</v>
      </c>
      <c r="B239" s="1" t="s">
        <v>210</v>
      </c>
      <c r="C239" s="1" t="s">
        <v>560</v>
      </c>
      <c r="D239" s="1">
        <f>FIND("-",aoc_02_input[[#This Row],[InputNumbers]])</f>
        <v>2</v>
      </c>
      <c r="E239" s="1">
        <f>_xlfn.NUMBERVALUE(LEFT(aoc_02_input[[#This Row],[InputNumbers]],aoc_02_input[[#This Row],[PosDash]]-1))</f>
        <v>9</v>
      </c>
      <c r="F239" s="1">
        <f>_xlfn.NUMBERVALUE(MID(aoc_02_input[[#This Row],[InputNumbers]],aoc_02_input[[#This Row],[PosDash]]+1,5))</f>
        <v>11</v>
      </c>
      <c r="G239" s="1" t="str">
        <f>LEFT(aoc_02_input[[#This Row],[InputChar]],1)</f>
        <v>v</v>
      </c>
      <c r="H239" s="1" cm="1">
        <f t="array" ref="H239">CountChar(aoc_02_input[[#This Row],[Password]],aoc_02_input[[#This Row],[Char]])</f>
        <v>8</v>
      </c>
      <c r="I239" s="1">
        <f>IF(AND(aoc_02_input[[#This Row],[Int1]]&lt;=aoc_02_input[[#This Row],[CountOfChar]],aoc_02_input[[#This Row],[CountOfChar]]&lt;=aoc_02_input[[#This Row],[Int2]]),1,0)</f>
        <v>0</v>
      </c>
      <c r="J239" s="1" t="str">
        <f>MID(aoc_02_input[[#This Row],[Password]],aoc_02_input[[#This Row],[Int1]],1)</f>
        <v>b</v>
      </c>
      <c r="K239" s="1">
        <f>IF(aoc_02_input[[#This Row],[Pos1]]=aoc_02_input[[#This Row],[Char]],1,0)</f>
        <v>0</v>
      </c>
      <c r="L239" s="1" t="str">
        <f>MID(aoc_02_input[[#This Row],[Password]],aoc_02_input[[#This Row],[Int2]],1)</f>
        <v>t</v>
      </c>
      <c r="M239" s="1">
        <f>IF(aoc_02_input[[#This Row],[Pos2]]=aoc_02_input[[#This Row],[Char]],1,0)</f>
        <v>0</v>
      </c>
      <c r="N239" s="1">
        <f>IF(aoc_02_input[[#This Row],[Pos1Valid]]&lt;&gt;aoc_02_input[[#This Row],[Pos2Valid]],1,0)</f>
        <v>0</v>
      </c>
    </row>
    <row r="240" spans="1:14" x14ac:dyDescent="0.45">
      <c r="A240" s="1" t="s">
        <v>561</v>
      </c>
      <c r="B240" s="1" t="s">
        <v>243</v>
      </c>
      <c r="C240" s="1" t="s">
        <v>562</v>
      </c>
      <c r="D240" s="1">
        <f>FIND("-",aoc_02_input[[#This Row],[InputNumbers]])</f>
        <v>2</v>
      </c>
      <c r="E240" s="1">
        <f>_xlfn.NUMBERVALUE(LEFT(aoc_02_input[[#This Row],[InputNumbers]],aoc_02_input[[#This Row],[PosDash]]-1))</f>
        <v>4</v>
      </c>
      <c r="F240" s="1">
        <f>_xlfn.NUMBERVALUE(MID(aoc_02_input[[#This Row],[InputNumbers]],aoc_02_input[[#This Row],[PosDash]]+1,5))</f>
        <v>14</v>
      </c>
      <c r="G240" s="1" t="str">
        <f>LEFT(aoc_02_input[[#This Row],[InputChar]],1)</f>
        <v>f</v>
      </c>
      <c r="H240" s="1" cm="1">
        <f t="array" ref="H240">CountChar(aoc_02_input[[#This Row],[Password]],aoc_02_input[[#This Row],[Char]])</f>
        <v>13</v>
      </c>
      <c r="I240" s="1">
        <f>IF(AND(aoc_02_input[[#This Row],[Int1]]&lt;=aoc_02_input[[#This Row],[CountOfChar]],aoc_02_input[[#This Row],[CountOfChar]]&lt;=aoc_02_input[[#This Row],[Int2]]),1,0)</f>
        <v>1</v>
      </c>
      <c r="J240" s="1" t="str">
        <f>MID(aoc_02_input[[#This Row],[Password]],aoc_02_input[[#This Row],[Int1]],1)</f>
        <v>f</v>
      </c>
      <c r="K240" s="1">
        <f>IF(aoc_02_input[[#This Row],[Pos1]]=aoc_02_input[[#This Row],[Char]],1,0)</f>
        <v>1</v>
      </c>
      <c r="L240" s="1" t="str">
        <f>MID(aoc_02_input[[#This Row],[Password]],aoc_02_input[[#This Row],[Int2]],1)</f>
        <v>f</v>
      </c>
      <c r="M240" s="1">
        <f>IF(aoc_02_input[[#This Row],[Pos2]]=aoc_02_input[[#This Row],[Char]],1,0)</f>
        <v>1</v>
      </c>
      <c r="N240" s="1">
        <f>IF(aoc_02_input[[#This Row],[Pos1Valid]]&lt;&gt;aoc_02_input[[#This Row],[Pos2Valid]],1,0)</f>
        <v>0</v>
      </c>
    </row>
    <row r="241" spans="1:14" x14ac:dyDescent="0.45">
      <c r="A241" s="1" t="s">
        <v>230</v>
      </c>
      <c r="B241" s="1" t="s">
        <v>207</v>
      </c>
      <c r="C241" s="1" t="s">
        <v>563</v>
      </c>
      <c r="D241" s="1">
        <f>FIND("-",aoc_02_input[[#This Row],[InputNumbers]])</f>
        <v>2</v>
      </c>
      <c r="E241" s="1">
        <f>_xlfn.NUMBERVALUE(LEFT(aoc_02_input[[#This Row],[InputNumbers]],aoc_02_input[[#This Row],[PosDash]]-1))</f>
        <v>2</v>
      </c>
      <c r="F241" s="1">
        <f>_xlfn.NUMBERVALUE(MID(aoc_02_input[[#This Row],[InputNumbers]],aoc_02_input[[#This Row],[PosDash]]+1,5))</f>
        <v>4</v>
      </c>
      <c r="G241" s="1" t="str">
        <f>LEFT(aoc_02_input[[#This Row],[InputChar]],1)</f>
        <v>b</v>
      </c>
      <c r="H241" s="1" cm="1">
        <f t="array" ref="H241">CountChar(aoc_02_input[[#This Row],[Password]],aoc_02_input[[#This Row],[Char]])</f>
        <v>1</v>
      </c>
      <c r="I241" s="1">
        <f>IF(AND(aoc_02_input[[#This Row],[Int1]]&lt;=aoc_02_input[[#This Row],[CountOfChar]],aoc_02_input[[#This Row],[CountOfChar]]&lt;=aoc_02_input[[#This Row],[Int2]]),1,0)</f>
        <v>0</v>
      </c>
      <c r="J241" s="1" t="str">
        <f>MID(aoc_02_input[[#This Row],[Password]],aoc_02_input[[#This Row],[Int1]],1)</f>
        <v>c</v>
      </c>
      <c r="K241" s="1">
        <f>IF(aoc_02_input[[#This Row],[Pos1]]=aoc_02_input[[#This Row],[Char]],1,0)</f>
        <v>0</v>
      </c>
      <c r="L241" s="1" t="str">
        <f>MID(aoc_02_input[[#This Row],[Password]],aoc_02_input[[#This Row],[Int2]],1)</f>
        <v>b</v>
      </c>
      <c r="M241" s="1">
        <f>IF(aoc_02_input[[#This Row],[Pos2]]=aoc_02_input[[#This Row],[Char]],1,0)</f>
        <v>1</v>
      </c>
      <c r="N241" s="1">
        <f>IF(aoc_02_input[[#This Row],[Pos1Valid]]&lt;&gt;aoc_02_input[[#This Row],[Pos2Valid]],1,0)</f>
        <v>1</v>
      </c>
    </row>
    <row r="242" spans="1:14" x14ac:dyDescent="0.45">
      <c r="A242" s="1" t="s">
        <v>212</v>
      </c>
      <c r="B242" s="1" t="s">
        <v>225</v>
      </c>
      <c r="C242" s="1" t="s">
        <v>564</v>
      </c>
      <c r="D242" s="1">
        <f>FIND("-",aoc_02_input[[#This Row],[InputNumbers]])</f>
        <v>2</v>
      </c>
      <c r="E242" s="1">
        <f>_xlfn.NUMBERVALUE(LEFT(aoc_02_input[[#This Row],[InputNumbers]],aoc_02_input[[#This Row],[PosDash]]-1))</f>
        <v>2</v>
      </c>
      <c r="F242" s="1">
        <f>_xlfn.NUMBERVALUE(MID(aoc_02_input[[#This Row],[InputNumbers]],aoc_02_input[[#This Row],[PosDash]]+1,5))</f>
        <v>5</v>
      </c>
      <c r="G242" s="1" t="str">
        <f>LEFT(aoc_02_input[[#This Row],[InputChar]],1)</f>
        <v>j</v>
      </c>
      <c r="H242" s="1" cm="1">
        <f t="array" ref="H242">CountChar(aoc_02_input[[#This Row],[Password]],aoc_02_input[[#This Row],[Char]])</f>
        <v>5</v>
      </c>
      <c r="I242" s="1">
        <f>IF(AND(aoc_02_input[[#This Row],[Int1]]&lt;=aoc_02_input[[#This Row],[CountOfChar]],aoc_02_input[[#This Row],[CountOfChar]]&lt;=aoc_02_input[[#This Row],[Int2]]),1,0)</f>
        <v>1</v>
      </c>
      <c r="J242" s="1" t="str">
        <f>MID(aoc_02_input[[#This Row],[Password]],aoc_02_input[[#This Row],[Int1]],1)</f>
        <v>j</v>
      </c>
      <c r="K242" s="1">
        <f>IF(aoc_02_input[[#This Row],[Pos1]]=aoc_02_input[[#This Row],[Char]],1,0)</f>
        <v>1</v>
      </c>
      <c r="L242" s="1" t="str">
        <f>MID(aoc_02_input[[#This Row],[Password]],aoc_02_input[[#This Row],[Int2]],1)</f>
        <v>j</v>
      </c>
      <c r="M242" s="1">
        <f>IF(aoc_02_input[[#This Row],[Pos2]]=aoc_02_input[[#This Row],[Char]],1,0)</f>
        <v>1</v>
      </c>
      <c r="N242" s="1">
        <f>IF(aoc_02_input[[#This Row],[Pos1Valid]]&lt;&gt;aoc_02_input[[#This Row],[Pos2Valid]],1,0)</f>
        <v>0</v>
      </c>
    </row>
    <row r="243" spans="1:14" x14ac:dyDescent="0.45">
      <c r="A243" s="1" t="s">
        <v>412</v>
      </c>
      <c r="B243" s="1" t="s">
        <v>243</v>
      </c>
      <c r="C243" s="1" t="s">
        <v>565</v>
      </c>
      <c r="D243" s="1">
        <f>FIND("-",aoc_02_input[[#This Row],[InputNumbers]])</f>
        <v>3</v>
      </c>
      <c r="E243" s="1">
        <f>_xlfn.NUMBERVALUE(LEFT(aoc_02_input[[#This Row],[InputNumbers]],aoc_02_input[[#This Row],[PosDash]]-1))</f>
        <v>16</v>
      </c>
      <c r="F243" s="1">
        <f>_xlfn.NUMBERVALUE(MID(aoc_02_input[[#This Row],[InputNumbers]],aoc_02_input[[#This Row],[PosDash]]+1,5))</f>
        <v>17</v>
      </c>
      <c r="G243" s="1" t="str">
        <f>LEFT(aoc_02_input[[#This Row],[InputChar]],1)</f>
        <v>f</v>
      </c>
      <c r="H243" s="1" cm="1">
        <f t="array" ref="H243">CountChar(aoc_02_input[[#This Row],[Password]],aoc_02_input[[#This Row],[Char]])</f>
        <v>17</v>
      </c>
      <c r="I243" s="1">
        <f>IF(AND(aoc_02_input[[#This Row],[Int1]]&lt;=aoc_02_input[[#This Row],[CountOfChar]],aoc_02_input[[#This Row],[CountOfChar]]&lt;=aoc_02_input[[#This Row],[Int2]]),1,0)</f>
        <v>1</v>
      </c>
      <c r="J243" s="1" t="str">
        <f>MID(aoc_02_input[[#This Row],[Password]],aoc_02_input[[#This Row],[Int1]],1)</f>
        <v>f</v>
      </c>
      <c r="K243" s="1">
        <f>IF(aoc_02_input[[#This Row],[Pos1]]=aoc_02_input[[#This Row],[Char]],1,0)</f>
        <v>1</v>
      </c>
      <c r="L243" s="1" t="str">
        <f>MID(aoc_02_input[[#This Row],[Password]],aoc_02_input[[#This Row],[Int2]],1)</f>
        <v>f</v>
      </c>
      <c r="M243" s="1">
        <f>IF(aoc_02_input[[#This Row],[Pos2]]=aoc_02_input[[#This Row],[Char]],1,0)</f>
        <v>1</v>
      </c>
      <c r="N243" s="1">
        <f>IF(aoc_02_input[[#This Row],[Pos1Valid]]&lt;&gt;aoc_02_input[[#This Row],[Pos2Valid]],1,0)</f>
        <v>0</v>
      </c>
    </row>
    <row r="244" spans="1:14" x14ac:dyDescent="0.45">
      <c r="A244" s="1" t="s">
        <v>410</v>
      </c>
      <c r="B244" s="1" t="s">
        <v>246</v>
      </c>
      <c r="C244" s="1" t="s">
        <v>566</v>
      </c>
      <c r="D244" s="1">
        <f>FIND("-",aoc_02_input[[#This Row],[InputNumbers]])</f>
        <v>2</v>
      </c>
      <c r="E244" s="1">
        <f>_xlfn.NUMBERVALUE(LEFT(aoc_02_input[[#This Row],[InputNumbers]],aoc_02_input[[#This Row],[PosDash]]-1))</f>
        <v>5</v>
      </c>
      <c r="F244" s="1">
        <f>_xlfn.NUMBERVALUE(MID(aoc_02_input[[#This Row],[InputNumbers]],aoc_02_input[[#This Row],[PosDash]]+1,5))</f>
        <v>9</v>
      </c>
      <c r="G244" s="1" t="str">
        <f>LEFT(aoc_02_input[[#This Row],[InputChar]],1)</f>
        <v>n</v>
      </c>
      <c r="H244" s="1" cm="1">
        <f t="array" ref="H244">CountChar(aoc_02_input[[#This Row],[Password]],aoc_02_input[[#This Row],[Char]])</f>
        <v>1</v>
      </c>
      <c r="I244" s="1">
        <f>IF(AND(aoc_02_input[[#This Row],[Int1]]&lt;=aoc_02_input[[#This Row],[CountOfChar]],aoc_02_input[[#This Row],[CountOfChar]]&lt;=aoc_02_input[[#This Row],[Int2]]),1,0)</f>
        <v>0</v>
      </c>
      <c r="J244" s="1" t="str">
        <f>MID(aoc_02_input[[#This Row],[Password]],aoc_02_input[[#This Row],[Int1]],1)</f>
        <v>p</v>
      </c>
      <c r="K244" s="1">
        <f>IF(aoc_02_input[[#This Row],[Pos1]]=aoc_02_input[[#This Row],[Char]],1,0)</f>
        <v>0</v>
      </c>
      <c r="L244" s="1" t="str">
        <f>MID(aoc_02_input[[#This Row],[Password]],aoc_02_input[[#This Row],[Int2]],1)</f>
        <v>p</v>
      </c>
      <c r="M244" s="1">
        <f>IF(aoc_02_input[[#This Row],[Pos2]]=aoc_02_input[[#This Row],[Char]],1,0)</f>
        <v>0</v>
      </c>
      <c r="N244" s="1">
        <f>IF(aoc_02_input[[#This Row],[Pos1Valid]]&lt;&gt;aoc_02_input[[#This Row],[Pos2Valid]],1,0)</f>
        <v>0</v>
      </c>
    </row>
    <row r="245" spans="1:14" x14ac:dyDescent="0.45">
      <c r="A245" s="1" t="s">
        <v>430</v>
      </c>
      <c r="B245" s="1" t="s">
        <v>216</v>
      </c>
      <c r="C245" s="1" t="s">
        <v>567</v>
      </c>
      <c r="D245" s="1">
        <f>FIND("-",aoc_02_input[[#This Row],[InputNumbers]])</f>
        <v>2</v>
      </c>
      <c r="E245" s="1">
        <f>_xlfn.NUMBERVALUE(LEFT(aoc_02_input[[#This Row],[InputNumbers]],aoc_02_input[[#This Row],[PosDash]]-1))</f>
        <v>4</v>
      </c>
      <c r="F245" s="1">
        <f>_xlfn.NUMBERVALUE(MID(aoc_02_input[[#This Row],[InputNumbers]],aoc_02_input[[#This Row],[PosDash]]+1,5))</f>
        <v>11</v>
      </c>
      <c r="G245" s="1" t="str">
        <f>LEFT(aoc_02_input[[#This Row],[InputChar]],1)</f>
        <v>z</v>
      </c>
      <c r="H245" s="1" cm="1">
        <f t="array" ref="H245">CountChar(aoc_02_input[[#This Row],[Password]],aoc_02_input[[#This Row],[Char]])</f>
        <v>6</v>
      </c>
      <c r="I245" s="1">
        <f>IF(AND(aoc_02_input[[#This Row],[Int1]]&lt;=aoc_02_input[[#This Row],[CountOfChar]],aoc_02_input[[#This Row],[CountOfChar]]&lt;=aoc_02_input[[#This Row],[Int2]]),1,0)</f>
        <v>1</v>
      </c>
      <c r="J245" s="1" t="str">
        <f>MID(aoc_02_input[[#This Row],[Password]],aoc_02_input[[#This Row],[Int1]],1)</f>
        <v>z</v>
      </c>
      <c r="K245" s="1">
        <f>IF(aoc_02_input[[#This Row],[Pos1]]=aoc_02_input[[#This Row],[Char]],1,0)</f>
        <v>1</v>
      </c>
      <c r="L245" s="1" t="str">
        <f>MID(aoc_02_input[[#This Row],[Password]],aoc_02_input[[#This Row],[Int2]],1)</f>
        <v>z</v>
      </c>
      <c r="M245" s="1">
        <f>IF(aoc_02_input[[#This Row],[Pos2]]=aoc_02_input[[#This Row],[Char]],1,0)</f>
        <v>1</v>
      </c>
      <c r="N245" s="1">
        <f>IF(aoc_02_input[[#This Row],[Pos1Valid]]&lt;&gt;aoc_02_input[[#This Row],[Pos2Valid]],1,0)</f>
        <v>0</v>
      </c>
    </row>
    <row r="246" spans="1:14" x14ac:dyDescent="0.45">
      <c r="A246" s="1" t="s">
        <v>275</v>
      </c>
      <c r="B246" s="1" t="s">
        <v>216</v>
      </c>
      <c r="C246" s="1" t="s">
        <v>568</v>
      </c>
      <c r="D246" s="1">
        <f>FIND("-",aoc_02_input[[#This Row],[InputNumbers]])</f>
        <v>3</v>
      </c>
      <c r="E246" s="1">
        <f>_xlfn.NUMBERVALUE(LEFT(aoc_02_input[[#This Row],[InputNumbers]],aoc_02_input[[#This Row],[PosDash]]-1))</f>
        <v>10</v>
      </c>
      <c r="F246" s="1">
        <f>_xlfn.NUMBERVALUE(MID(aoc_02_input[[#This Row],[InputNumbers]],aoc_02_input[[#This Row],[PosDash]]+1,5))</f>
        <v>19</v>
      </c>
      <c r="G246" s="1" t="str">
        <f>LEFT(aoc_02_input[[#This Row],[InputChar]],1)</f>
        <v>z</v>
      </c>
      <c r="H246" s="1" cm="1">
        <f t="array" ref="H246">CountChar(aoc_02_input[[#This Row],[Password]],aoc_02_input[[#This Row],[Char]])</f>
        <v>18</v>
      </c>
      <c r="I246" s="1">
        <f>IF(AND(aoc_02_input[[#This Row],[Int1]]&lt;=aoc_02_input[[#This Row],[CountOfChar]],aoc_02_input[[#This Row],[CountOfChar]]&lt;=aoc_02_input[[#This Row],[Int2]]),1,0)</f>
        <v>1</v>
      </c>
      <c r="J246" s="1" t="str">
        <f>MID(aoc_02_input[[#This Row],[Password]],aoc_02_input[[#This Row],[Int1]],1)</f>
        <v>t</v>
      </c>
      <c r="K246" s="1">
        <f>IF(aoc_02_input[[#This Row],[Pos1]]=aoc_02_input[[#This Row],[Char]],1,0)</f>
        <v>0</v>
      </c>
      <c r="L246" s="1" t="str">
        <f>MID(aoc_02_input[[#This Row],[Password]],aoc_02_input[[#This Row],[Int2]],1)</f>
        <v>t</v>
      </c>
      <c r="M246" s="1">
        <f>IF(aoc_02_input[[#This Row],[Pos2]]=aoc_02_input[[#This Row],[Char]],1,0)</f>
        <v>0</v>
      </c>
      <c r="N246" s="1">
        <f>IF(aoc_02_input[[#This Row],[Pos1Valid]]&lt;&gt;aoc_02_input[[#This Row],[Pos2Valid]],1,0)</f>
        <v>0</v>
      </c>
    </row>
    <row r="247" spans="1:14" x14ac:dyDescent="0.45">
      <c r="A247" s="1" t="s">
        <v>427</v>
      </c>
      <c r="B247" s="1" t="s">
        <v>246</v>
      </c>
      <c r="C247" s="1" t="s">
        <v>569</v>
      </c>
      <c r="D247" s="1">
        <f>FIND("-",aoc_02_input[[#This Row],[InputNumbers]])</f>
        <v>2</v>
      </c>
      <c r="E247" s="1">
        <f>_xlfn.NUMBERVALUE(LEFT(aoc_02_input[[#This Row],[InputNumbers]],aoc_02_input[[#This Row],[PosDash]]-1))</f>
        <v>3</v>
      </c>
      <c r="F247" s="1">
        <f>_xlfn.NUMBERVALUE(MID(aoc_02_input[[#This Row],[InputNumbers]],aoc_02_input[[#This Row],[PosDash]]+1,5))</f>
        <v>8</v>
      </c>
      <c r="G247" s="1" t="str">
        <f>LEFT(aoc_02_input[[#This Row],[InputChar]],1)</f>
        <v>n</v>
      </c>
      <c r="H247" s="1" cm="1">
        <f t="array" ref="H247">CountChar(aoc_02_input[[#This Row],[Password]],aoc_02_input[[#This Row],[Char]])</f>
        <v>10</v>
      </c>
      <c r="I247" s="1">
        <f>IF(AND(aoc_02_input[[#This Row],[Int1]]&lt;=aoc_02_input[[#This Row],[CountOfChar]],aoc_02_input[[#This Row],[CountOfChar]]&lt;=aoc_02_input[[#This Row],[Int2]]),1,0)</f>
        <v>0</v>
      </c>
      <c r="J247" s="1" t="str">
        <f>MID(aoc_02_input[[#This Row],[Password]],aoc_02_input[[#This Row],[Int1]],1)</f>
        <v>g</v>
      </c>
      <c r="K247" s="1">
        <f>IF(aoc_02_input[[#This Row],[Pos1]]=aoc_02_input[[#This Row],[Char]],1,0)</f>
        <v>0</v>
      </c>
      <c r="L247" s="1" t="str">
        <f>MID(aoc_02_input[[#This Row],[Password]],aoc_02_input[[#This Row],[Int2]],1)</f>
        <v>n</v>
      </c>
      <c r="M247" s="1">
        <f>IF(aoc_02_input[[#This Row],[Pos2]]=aoc_02_input[[#This Row],[Char]],1,0)</f>
        <v>1</v>
      </c>
      <c r="N247" s="1">
        <f>IF(aoc_02_input[[#This Row],[Pos1Valid]]&lt;&gt;aoc_02_input[[#This Row],[Pos2Valid]],1,0)</f>
        <v>1</v>
      </c>
    </row>
    <row r="248" spans="1:14" x14ac:dyDescent="0.45">
      <c r="A248" s="1" t="s">
        <v>570</v>
      </c>
      <c r="B248" s="1" t="s">
        <v>207</v>
      </c>
      <c r="C248" s="1" t="s">
        <v>571</v>
      </c>
      <c r="D248" s="1">
        <f>FIND("-",aoc_02_input[[#This Row],[InputNumbers]])</f>
        <v>2</v>
      </c>
      <c r="E248" s="1">
        <f>_xlfn.NUMBERVALUE(LEFT(aoc_02_input[[#This Row],[InputNumbers]],aoc_02_input[[#This Row],[PosDash]]-1))</f>
        <v>1</v>
      </c>
      <c r="F248" s="1">
        <f>_xlfn.NUMBERVALUE(MID(aoc_02_input[[#This Row],[InputNumbers]],aoc_02_input[[#This Row],[PosDash]]+1,5))</f>
        <v>15</v>
      </c>
      <c r="G248" s="1" t="str">
        <f>LEFT(aoc_02_input[[#This Row],[InputChar]],1)</f>
        <v>b</v>
      </c>
      <c r="H248" s="1" cm="1">
        <f t="array" ref="H248">CountChar(aoc_02_input[[#This Row],[Password]],aoc_02_input[[#This Row],[Char]])</f>
        <v>5</v>
      </c>
      <c r="I248" s="1">
        <f>IF(AND(aoc_02_input[[#This Row],[Int1]]&lt;=aoc_02_input[[#This Row],[CountOfChar]],aoc_02_input[[#This Row],[CountOfChar]]&lt;=aoc_02_input[[#This Row],[Int2]]),1,0)</f>
        <v>1</v>
      </c>
      <c r="J248" s="1" t="str">
        <f>MID(aoc_02_input[[#This Row],[Password]],aoc_02_input[[#This Row],[Int1]],1)</f>
        <v>b</v>
      </c>
      <c r="K248" s="1">
        <f>IF(aoc_02_input[[#This Row],[Pos1]]=aoc_02_input[[#This Row],[Char]],1,0)</f>
        <v>1</v>
      </c>
      <c r="L248" s="1" t="str">
        <f>MID(aoc_02_input[[#This Row],[Password]],aoc_02_input[[#This Row],[Int2]],1)</f>
        <v>j</v>
      </c>
      <c r="M248" s="1">
        <f>IF(aoc_02_input[[#This Row],[Pos2]]=aoc_02_input[[#This Row],[Char]],1,0)</f>
        <v>0</v>
      </c>
      <c r="N248" s="1">
        <f>IF(aoc_02_input[[#This Row],[Pos1Valid]]&lt;&gt;aoc_02_input[[#This Row],[Pos2Valid]],1,0)</f>
        <v>1</v>
      </c>
    </row>
    <row r="249" spans="1:14" x14ac:dyDescent="0.45">
      <c r="A249" s="1" t="s">
        <v>283</v>
      </c>
      <c r="B249" s="1" t="s">
        <v>235</v>
      </c>
      <c r="C249" s="1" t="s">
        <v>572</v>
      </c>
      <c r="D249" s="1">
        <f>FIND("-",aoc_02_input[[#This Row],[InputNumbers]])</f>
        <v>2</v>
      </c>
      <c r="E249" s="1">
        <f>_xlfn.NUMBERVALUE(LEFT(aoc_02_input[[#This Row],[InputNumbers]],aoc_02_input[[#This Row],[PosDash]]-1))</f>
        <v>3</v>
      </c>
      <c r="F249" s="1">
        <f>_xlfn.NUMBERVALUE(MID(aoc_02_input[[#This Row],[InputNumbers]],aoc_02_input[[#This Row],[PosDash]]+1,5))</f>
        <v>4</v>
      </c>
      <c r="G249" s="1" t="str">
        <f>LEFT(aoc_02_input[[#This Row],[InputChar]],1)</f>
        <v>d</v>
      </c>
      <c r="H249" s="1" cm="1">
        <f t="array" ref="H249">CountChar(aoc_02_input[[#This Row],[Password]],aoc_02_input[[#This Row],[Char]])</f>
        <v>3</v>
      </c>
      <c r="I249" s="1">
        <f>IF(AND(aoc_02_input[[#This Row],[Int1]]&lt;=aoc_02_input[[#This Row],[CountOfChar]],aoc_02_input[[#This Row],[CountOfChar]]&lt;=aoc_02_input[[#This Row],[Int2]]),1,0)</f>
        <v>1</v>
      </c>
      <c r="J249" s="1" t="str">
        <f>MID(aoc_02_input[[#This Row],[Password]],aoc_02_input[[#This Row],[Int1]],1)</f>
        <v>d</v>
      </c>
      <c r="K249" s="1">
        <f>IF(aoc_02_input[[#This Row],[Pos1]]=aoc_02_input[[#This Row],[Char]],1,0)</f>
        <v>1</v>
      </c>
      <c r="L249" s="1" t="str">
        <f>MID(aoc_02_input[[#This Row],[Password]],aoc_02_input[[#This Row],[Int2]],1)</f>
        <v>d</v>
      </c>
      <c r="M249" s="1">
        <f>IF(aoc_02_input[[#This Row],[Pos2]]=aoc_02_input[[#This Row],[Char]],1,0)</f>
        <v>1</v>
      </c>
      <c r="N249" s="1">
        <f>IF(aoc_02_input[[#This Row],[Pos1Valid]]&lt;&gt;aoc_02_input[[#This Row],[Pos2Valid]],1,0)</f>
        <v>0</v>
      </c>
    </row>
    <row r="250" spans="1:14" x14ac:dyDescent="0.45">
      <c r="A250" s="1" t="s">
        <v>320</v>
      </c>
      <c r="B250" s="1" t="s">
        <v>225</v>
      </c>
      <c r="C250" s="1" t="s">
        <v>573</v>
      </c>
      <c r="D250" s="1">
        <f>FIND("-",aoc_02_input[[#This Row],[InputNumbers]])</f>
        <v>2</v>
      </c>
      <c r="E250" s="1">
        <f>_xlfn.NUMBERVALUE(LEFT(aoc_02_input[[#This Row],[InputNumbers]],aoc_02_input[[#This Row],[PosDash]]-1))</f>
        <v>6</v>
      </c>
      <c r="F250" s="1">
        <f>_xlfn.NUMBERVALUE(MID(aoc_02_input[[#This Row],[InputNumbers]],aoc_02_input[[#This Row],[PosDash]]+1,5))</f>
        <v>7</v>
      </c>
      <c r="G250" s="1" t="str">
        <f>LEFT(aoc_02_input[[#This Row],[InputChar]],1)</f>
        <v>j</v>
      </c>
      <c r="H250" s="1" cm="1">
        <f t="array" ref="H250">CountChar(aoc_02_input[[#This Row],[Password]],aoc_02_input[[#This Row],[Char]])</f>
        <v>8</v>
      </c>
      <c r="I250" s="1">
        <f>IF(AND(aoc_02_input[[#This Row],[Int1]]&lt;=aoc_02_input[[#This Row],[CountOfChar]],aoc_02_input[[#This Row],[CountOfChar]]&lt;=aoc_02_input[[#This Row],[Int2]]),1,0)</f>
        <v>0</v>
      </c>
      <c r="J250" s="1" t="str">
        <f>MID(aoc_02_input[[#This Row],[Password]],aoc_02_input[[#This Row],[Int1]],1)</f>
        <v>j</v>
      </c>
      <c r="K250" s="1">
        <f>IF(aoc_02_input[[#This Row],[Pos1]]=aoc_02_input[[#This Row],[Char]],1,0)</f>
        <v>1</v>
      </c>
      <c r="L250" s="1" t="str">
        <f>MID(aoc_02_input[[#This Row],[Password]],aoc_02_input[[#This Row],[Int2]],1)</f>
        <v>n</v>
      </c>
      <c r="M250" s="1">
        <f>IF(aoc_02_input[[#This Row],[Pos2]]=aoc_02_input[[#This Row],[Char]],1,0)</f>
        <v>0</v>
      </c>
      <c r="N250" s="1">
        <f>IF(aoc_02_input[[#This Row],[Pos1Valid]]&lt;&gt;aoc_02_input[[#This Row],[Pos2Valid]],1,0)</f>
        <v>1</v>
      </c>
    </row>
    <row r="251" spans="1:14" x14ac:dyDescent="0.45">
      <c r="A251" s="1" t="s">
        <v>412</v>
      </c>
      <c r="B251" s="1" t="s">
        <v>249</v>
      </c>
      <c r="C251" s="1" t="s">
        <v>574</v>
      </c>
      <c r="D251" s="1">
        <f>FIND("-",aoc_02_input[[#This Row],[InputNumbers]])</f>
        <v>3</v>
      </c>
      <c r="E251" s="1">
        <f>_xlfn.NUMBERVALUE(LEFT(aoc_02_input[[#This Row],[InputNumbers]],aoc_02_input[[#This Row],[PosDash]]-1))</f>
        <v>16</v>
      </c>
      <c r="F251" s="1">
        <f>_xlfn.NUMBERVALUE(MID(aoc_02_input[[#This Row],[InputNumbers]],aoc_02_input[[#This Row],[PosDash]]+1,5))</f>
        <v>17</v>
      </c>
      <c r="G251" s="1" t="str">
        <f>LEFT(aoc_02_input[[#This Row],[InputChar]],1)</f>
        <v>q</v>
      </c>
      <c r="H251" s="1" cm="1">
        <f t="array" ref="H251">CountChar(aoc_02_input[[#This Row],[Password]],aoc_02_input[[#This Row],[Char]])</f>
        <v>16</v>
      </c>
      <c r="I251" s="1">
        <f>IF(AND(aoc_02_input[[#This Row],[Int1]]&lt;=aoc_02_input[[#This Row],[CountOfChar]],aoc_02_input[[#This Row],[CountOfChar]]&lt;=aoc_02_input[[#This Row],[Int2]]),1,0)</f>
        <v>1</v>
      </c>
      <c r="J251" s="1" t="str">
        <f>MID(aoc_02_input[[#This Row],[Password]],aoc_02_input[[#This Row],[Int1]],1)</f>
        <v>q</v>
      </c>
      <c r="K251" s="1">
        <f>IF(aoc_02_input[[#This Row],[Pos1]]=aoc_02_input[[#This Row],[Char]],1,0)</f>
        <v>1</v>
      </c>
      <c r="L251" s="1" t="str">
        <f>MID(aoc_02_input[[#This Row],[Password]],aoc_02_input[[#This Row],[Int2]],1)</f>
        <v>q</v>
      </c>
      <c r="M251" s="1">
        <f>IF(aoc_02_input[[#This Row],[Pos2]]=aoc_02_input[[#This Row],[Char]],1,0)</f>
        <v>1</v>
      </c>
      <c r="N251" s="1">
        <f>IF(aoc_02_input[[#This Row],[Pos1Valid]]&lt;&gt;aoc_02_input[[#This Row],[Pos2Valid]],1,0)</f>
        <v>0</v>
      </c>
    </row>
    <row r="252" spans="1:14" x14ac:dyDescent="0.45">
      <c r="A252" s="1" t="s">
        <v>212</v>
      </c>
      <c r="B252" s="1" t="s">
        <v>228</v>
      </c>
      <c r="C252" s="1" t="s">
        <v>575</v>
      </c>
      <c r="D252" s="1">
        <f>FIND("-",aoc_02_input[[#This Row],[InputNumbers]])</f>
        <v>2</v>
      </c>
      <c r="E252" s="1">
        <f>_xlfn.NUMBERVALUE(LEFT(aoc_02_input[[#This Row],[InputNumbers]],aoc_02_input[[#This Row],[PosDash]]-1))</f>
        <v>2</v>
      </c>
      <c r="F252" s="1">
        <f>_xlfn.NUMBERVALUE(MID(aoc_02_input[[#This Row],[InputNumbers]],aoc_02_input[[#This Row],[PosDash]]+1,5))</f>
        <v>5</v>
      </c>
      <c r="G252" s="1" t="str">
        <f>LEFT(aoc_02_input[[#This Row],[InputChar]],1)</f>
        <v>t</v>
      </c>
      <c r="H252" s="1" cm="1">
        <f t="array" ref="H252">CountChar(aoc_02_input[[#This Row],[Password]],aoc_02_input[[#This Row],[Char]])</f>
        <v>2</v>
      </c>
      <c r="I252" s="1">
        <f>IF(AND(aoc_02_input[[#This Row],[Int1]]&lt;=aoc_02_input[[#This Row],[CountOfChar]],aoc_02_input[[#This Row],[CountOfChar]]&lt;=aoc_02_input[[#This Row],[Int2]]),1,0)</f>
        <v>1</v>
      </c>
      <c r="J252" s="1" t="str">
        <f>MID(aoc_02_input[[#This Row],[Password]],aoc_02_input[[#This Row],[Int1]],1)</f>
        <v>d</v>
      </c>
      <c r="K252" s="1">
        <f>IF(aoc_02_input[[#This Row],[Pos1]]=aoc_02_input[[#This Row],[Char]],1,0)</f>
        <v>0</v>
      </c>
      <c r="L252" s="1" t="str">
        <f>MID(aoc_02_input[[#This Row],[Password]],aoc_02_input[[#This Row],[Int2]],1)</f>
        <v>t</v>
      </c>
      <c r="M252" s="1">
        <f>IF(aoc_02_input[[#This Row],[Pos2]]=aoc_02_input[[#This Row],[Char]],1,0)</f>
        <v>1</v>
      </c>
      <c r="N252" s="1">
        <f>IF(aoc_02_input[[#This Row],[Pos1Valid]]&lt;&gt;aoc_02_input[[#This Row],[Pos2Valid]],1,0)</f>
        <v>1</v>
      </c>
    </row>
    <row r="253" spans="1:14" x14ac:dyDescent="0.45">
      <c r="A253" s="1" t="s">
        <v>286</v>
      </c>
      <c r="B253" s="1" t="s">
        <v>219</v>
      </c>
      <c r="C253" s="1" t="s">
        <v>576</v>
      </c>
      <c r="D253" s="1">
        <f>FIND("-",aoc_02_input[[#This Row],[InputNumbers]])</f>
        <v>2</v>
      </c>
      <c r="E253" s="1">
        <f>_xlfn.NUMBERVALUE(LEFT(aoc_02_input[[#This Row],[InputNumbers]],aoc_02_input[[#This Row],[PosDash]]-1))</f>
        <v>8</v>
      </c>
      <c r="F253" s="1">
        <f>_xlfn.NUMBERVALUE(MID(aoc_02_input[[#This Row],[InputNumbers]],aoc_02_input[[#This Row],[PosDash]]+1,5))</f>
        <v>13</v>
      </c>
      <c r="G253" s="1" t="str">
        <f>LEFT(aoc_02_input[[#This Row],[InputChar]],1)</f>
        <v>g</v>
      </c>
      <c r="H253" s="1" cm="1">
        <f t="array" ref="H253">CountChar(aoc_02_input[[#This Row],[Password]],aoc_02_input[[#This Row],[Char]])</f>
        <v>2</v>
      </c>
      <c r="I253" s="1">
        <f>IF(AND(aoc_02_input[[#This Row],[Int1]]&lt;=aoc_02_input[[#This Row],[CountOfChar]],aoc_02_input[[#This Row],[CountOfChar]]&lt;=aoc_02_input[[#This Row],[Int2]]),1,0)</f>
        <v>0</v>
      </c>
      <c r="J253" s="1" t="str">
        <f>MID(aoc_02_input[[#This Row],[Password]],aoc_02_input[[#This Row],[Int1]],1)</f>
        <v>g</v>
      </c>
      <c r="K253" s="1">
        <f>IF(aoc_02_input[[#This Row],[Pos1]]=aoc_02_input[[#This Row],[Char]],1,0)</f>
        <v>1</v>
      </c>
      <c r="L253" s="1" t="str">
        <f>MID(aoc_02_input[[#This Row],[Password]],aoc_02_input[[#This Row],[Int2]],1)</f>
        <v>g</v>
      </c>
      <c r="M253" s="1">
        <f>IF(aoc_02_input[[#This Row],[Pos2]]=aoc_02_input[[#This Row],[Char]],1,0)</f>
        <v>1</v>
      </c>
      <c r="N253" s="1">
        <f>IF(aoc_02_input[[#This Row],[Pos1Valid]]&lt;&gt;aoc_02_input[[#This Row],[Pos2Valid]],1,0)</f>
        <v>0</v>
      </c>
    </row>
    <row r="254" spans="1:14" x14ac:dyDescent="0.45">
      <c r="A254" s="1" t="s">
        <v>500</v>
      </c>
      <c r="B254" s="1" t="s">
        <v>222</v>
      </c>
      <c r="C254" s="1" t="s">
        <v>577</v>
      </c>
      <c r="D254" s="1">
        <f>FIND("-",aoc_02_input[[#This Row],[InputNumbers]])</f>
        <v>3</v>
      </c>
      <c r="E254" s="1">
        <f>_xlfn.NUMBERVALUE(LEFT(aoc_02_input[[#This Row],[InputNumbers]],aoc_02_input[[#This Row],[PosDash]]-1))</f>
        <v>14</v>
      </c>
      <c r="F254" s="1">
        <f>_xlfn.NUMBERVALUE(MID(aoc_02_input[[#This Row],[InputNumbers]],aoc_02_input[[#This Row],[PosDash]]+1,5))</f>
        <v>17</v>
      </c>
      <c r="G254" s="1" t="str">
        <f>LEFT(aoc_02_input[[#This Row],[InputChar]],1)</f>
        <v>l</v>
      </c>
      <c r="H254" s="1" cm="1">
        <f t="array" ref="H254">CountChar(aoc_02_input[[#This Row],[Password]],aoc_02_input[[#This Row],[Char]])</f>
        <v>17</v>
      </c>
      <c r="I254" s="1">
        <f>IF(AND(aoc_02_input[[#This Row],[Int1]]&lt;=aoc_02_input[[#This Row],[CountOfChar]],aoc_02_input[[#This Row],[CountOfChar]]&lt;=aoc_02_input[[#This Row],[Int2]]),1,0)</f>
        <v>1</v>
      </c>
      <c r="J254" s="1" t="str">
        <f>MID(aoc_02_input[[#This Row],[Password]],aoc_02_input[[#This Row],[Int1]],1)</f>
        <v>l</v>
      </c>
      <c r="K254" s="1">
        <f>IF(aoc_02_input[[#This Row],[Pos1]]=aoc_02_input[[#This Row],[Char]],1,0)</f>
        <v>1</v>
      </c>
      <c r="L254" s="1" t="str">
        <f>MID(aoc_02_input[[#This Row],[Password]],aoc_02_input[[#This Row],[Int2]],1)</f>
        <v>l</v>
      </c>
      <c r="M254" s="1">
        <f>IF(aoc_02_input[[#This Row],[Pos2]]=aoc_02_input[[#This Row],[Char]],1,0)</f>
        <v>1</v>
      </c>
      <c r="N254" s="1">
        <f>IF(aoc_02_input[[#This Row],[Pos1Valid]]&lt;&gt;aoc_02_input[[#This Row],[Pos2Valid]],1,0)</f>
        <v>0</v>
      </c>
    </row>
    <row r="255" spans="1:14" x14ac:dyDescent="0.45">
      <c r="A255" s="1" t="s">
        <v>578</v>
      </c>
      <c r="B255" s="1" t="s">
        <v>252</v>
      </c>
      <c r="C255" s="1" t="s">
        <v>579</v>
      </c>
      <c r="D255" s="1">
        <f>FIND("-",aoc_02_input[[#This Row],[InputNumbers]])</f>
        <v>2</v>
      </c>
      <c r="E255" s="1">
        <f>_xlfn.NUMBERVALUE(LEFT(aoc_02_input[[#This Row],[InputNumbers]],aoc_02_input[[#This Row],[PosDash]]-1))</f>
        <v>9</v>
      </c>
      <c r="F255" s="1">
        <f>_xlfn.NUMBERVALUE(MID(aoc_02_input[[#This Row],[InputNumbers]],aoc_02_input[[#This Row],[PosDash]]+1,5))</f>
        <v>14</v>
      </c>
      <c r="G255" s="1" t="str">
        <f>LEFT(aoc_02_input[[#This Row],[InputChar]],1)</f>
        <v>p</v>
      </c>
      <c r="H255" s="1" cm="1">
        <f t="array" ref="H255">CountChar(aoc_02_input[[#This Row],[Password]],aoc_02_input[[#This Row],[Char]])</f>
        <v>10</v>
      </c>
      <c r="I255" s="1">
        <f>IF(AND(aoc_02_input[[#This Row],[Int1]]&lt;=aoc_02_input[[#This Row],[CountOfChar]],aoc_02_input[[#This Row],[CountOfChar]]&lt;=aoc_02_input[[#This Row],[Int2]]),1,0)</f>
        <v>1</v>
      </c>
      <c r="J255" s="1" t="str">
        <f>MID(aoc_02_input[[#This Row],[Password]],aoc_02_input[[#This Row],[Int1]],1)</f>
        <v>m</v>
      </c>
      <c r="K255" s="1">
        <f>IF(aoc_02_input[[#This Row],[Pos1]]=aoc_02_input[[#This Row],[Char]],1,0)</f>
        <v>0</v>
      </c>
      <c r="L255" s="1" t="str">
        <f>MID(aoc_02_input[[#This Row],[Password]],aoc_02_input[[#This Row],[Int2]],1)</f>
        <v>p</v>
      </c>
      <c r="M255" s="1">
        <f>IF(aoc_02_input[[#This Row],[Pos2]]=aoc_02_input[[#This Row],[Char]],1,0)</f>
        <v>1</v>
      </c>
      <c r="N255" s="1">
        <f>IF(aoc_02_input[[#This Row],[Pos1Valid]]&lt;&gt;aoc_02_input[[#This Row],[Pos2Valid]],1,0)</f>
        <v>1</v>
      </c>
    </row>
    <row r="256" spans="1:14" x14ac:dyDescent="0.45">
      <c r="A256" s="1" t="s">
        <v>307</v>
      </c>
      <c r="B256" s="1" t="s">
        <v>305</v>
      </c>
      <c r="C256" s="1" t="s">
        <v>580</v>
      </c>
      <c r="D256" s="1">
        <f>FIND("-",aoc_02_input[[#This Row],[InputNumbers]])</f>
        <v>2</v>
      </c>
      <c r="E256" s="1">
        <f>_xlfn.NUMBERVALUE(LEFT(aoc_02_input[[#This Row],[InputNumbers]],aoc_02_input[[#This Row],[PosDash]]-1))</f>
        <v>3</v>
      </c>
      <c r="F256" s="1">
        <f>_xlfn.NUMBERVALUE(MID(aoc_02_input[[#This Row],[InputNumbers]],aoc_02_input[[#This Row],[PosDash]]+1,5))</f>
        <v>5</v>
      </c>
      <c r="G256" s="1" t="str">
        <f>LEFT(aoc_02_input[[#This Row],[InputChar]],1)</f>
        <v>s</v>
      </c>
      <c r="H256" s="1" cm="1">
        <f t="array" ref="H256">CountChar(aoc_02_input[[#This Row],[Password]],aoc_02_input[[#This Row],[Char]])</f>
        <v>5</v>
      </c>
      <c r="I256" s="1">
        <f>IF(AND(aoc_02_input[[#This Row],[Int1]]&lt;=aoc_02_input[[#This Row],[CountOfChar]],aoc_02_input[[#This Row],[CountOfChar]]&lt;=aoc_02_input[[#This Row],[Int2]]),1,0)</f>
        <v>1</v>
      </c>
      <c r="J256" s="1" t="str">
        <f>MID(aoc_02_input[[#This Row],[Password]],aoc_02_input[[#This Row],[Int1]],1)</f>
        <v>s</v>
      </c>
      <c r="K256" s="1">
        <f>IF(aoc_02_input[[#This Row],[Pos1]]=aoc_02_input[[#This Row],[Char]],1,0)</f>
        <v>1</v>
      </c>
      <c r="L256" s="1" t="str">
        <f>MID(aoc_02_input[[#This Row],[Password]],aoc_02_input[[#This Row],[Int2]],1)</f>
        <v>s</v>
      </c>
      <c r="M256" s="1">
        <f>IF(aoc_02_input[[#This Row],[Pos2]]=aoc_02_input[[#This Row],[Char]],1,0)</f>
        <v>1</v>
      </c>
      <c r="N256" s="1">
        <f>IF(aoc_02_input[[#This Row],[Pos1Valid]]&lt;&gt;aoc_02_input[[#This Row],[Pos2Valid]],1,0)</f>
        <v>0</v>
      </c>
    </row>
    <row r="257" spans="1:14" x14ac:dyDescent="0.45">
      <c r="A257" s="1" t="s">
        <v>581</v>
      </c>
      <c r="B257" s="1" t="s">
        <v>254</v>
      </c>
      <c r="C257" s="1" t="s">
        <v>582</v>
      </c>
      <c r="D257" s="1">
        <f>FIND("-",aoc_02_input[[#This Row],[InputNumbers]])</f>
        <v>2</v>
      </c>
      <c r="E257" s="1">
        <f>_xlfn.NUMBERVALUE(LEFT(aoc_02_input[[#This Row],[InputNumbers]],aoc_02_input[[#This Row],[PosDash]]-1))</f>
        <v>7</v>
      </c>
      <c r="F257" s="1">
        <f>_xlfn.NUMBERVALUE(MID(aoc_02_input[[#This Row],[InputNumbers]],aoc_02_input[[#This Row],[PosDash]]+1,5))</f>
        <v>17</v>
      </c>
      <c r="G257" s="1" t="str">
        <f>LEFT(aoc_02_input[[#This Row],[InputChar]],1)</f>
        <v>k</v>
      </c>
      <c r="H257" s="1" cm="1">
        <f t="array" ref="H257">CountChar(aoc_02_input[[#This Row],[Password]],aoc_02_input[[#This Row],[Char]])</f>
        <v>4</v>
      </c>
      <c r="I257" s="1">
        <f>IF(AND(aoc_02_input[[#This Row],[Int1]]&lt;=aoc_02_input[[#This Row],[CountOfChar]],aoc_02_input[[#This Row],[CountOfChar]]&lt;=aoc_02_input[[#This Row],[Int2]]),1,0)</f>
        <v>0</v>
      </c>
      <c r="J257" s="1" t="str">
        <f>MID(aoc_02_input[[#This Row],[Password]],aoc_02_input[[#This Row],[Int1]],1)</f>
        <v>w</v>
      </c>
      <c r="K257" s="1">
        <f>IF(aoc_02_input[[#This Row],[Pos1]]=aoc_02_input[[#This Row],[Char]],1,0)</f>
        <v>0</v>
      </c>
      <c r="L257" s="1" t="str">
        <f>MID(aoc_02_input[[#This Row],[Password]],aoc_02_input[[#This Row],[Int2]],1)</f>
        <v>k</v>
      </c>
      <c r="M257" s="1">
        <f>IF(aoc_02_input[[#This Row],[Pos2]]=aoc_02_input[[#This Row],[Char]],1,0)</f>
        <v>1</v>
      </c>
      <c r="N257" s="1">
        <f>IF(aoc_02_input[[#This Row],[Pos1Valid]]&lt;&gt;aoc_02_input[[#This Row],[Pos2Valid]],1,0)</f>
        <v>1</v>
      </c>
    </row>
    <row r="258" spans="1:14" x14ac:dyDescent="0.45">
      <c r="A258" s="1" t="s">
        <v>227</v>
      </c>
      <c r="B258" s="1" t="s">
        <v>210</v>
      </c>
      <c r="C258" s="1" t="s">
        <v>583</v>
      </c>
      <c r="D258" s="1">
        <f>FIND("-",aoc_02_input[[#This Row],[InputNumbers]])</f>
        <v>2</v>
      </c>
      <c r="E258" s="1">
        <f>_xlfn.NUMBERVALUE(LEFT(aoc_02_input[[#This Row],[InputNumbers]],aoc_02_input[[#This Row],[PosDash]]-1))</f>
        <v>4</v>
      </c>
      <c r="F258" s="1">
        <f>_xlfn.NUMBERVALUE(MID(aoc_02_input[[#This Row],[InputNumbers]],aoc_02_input[[#This Row],[PosDash]]+1,5))</f>
        <v>5</v>
      </c>
      <c r="G258" s="1" t="str">
        <f>LEFT(aoc_02_input[[#This Row],[InputChar]],1)</f>
        <v>v</v>
      </c>
      <c r="H258" s="1" cm="1">
        <f t="array" ref="H258">CountChar(aoc_02_input[[#This Row],[Password]],aoc_02_input[[#This Row],[Char]])</f>
        <v>6</v>
      </c>
      <c r="I258" s="1">
        <f>IF(AND(aoc_02_input[[#This Row],[Int1]]&lt;=aoc_02_input[[#This Row],[CountOfChar]],aoc_02_input[[#This Row],[CountOfChar]]&lt;=aoc_02_input[[#This Row],[Int2]]),1,0)</f>
        <v>0</v>
      </c>
      <c r="J258" s="1" t="str">
        <f>MID(aoc_02_input[[#This Row],[Password]],aoc_02_input[[#This Row],[Int1]],1)</f>
        <v>v</v>
      </c>
      <c r="K258" s="1">
        <f>IF(aoc_02_input[[#This Row],[Pos1]]=aoc_02_input[[#This Row],[Char]],1,0)</f>
        <v>1</v>
      </c>
      <c r="L258" s="1" t="str">
        <f>MID(aoc_02_input[[#This Row],[Password]],aoc_02_input[[#This Row],[Int2]],1)</f>
        <v>v</v>
      </c>
      <c r="M258" s="1">
        <f>IF(aoc_02_input[[#This Row],[Pos2]]=aoc_02_input[[#This Row],[Char]],1,0)</f>
        <v>1</v>
      </c>
      <c r="N258" s="1">
        <f>IF(aoc_02_input[[#This Row],[Pos1Valid]]&lt;&gt;aoc_02_input[[#This Row],[Pos2Valid]],1,0)</f>
        <v>0</v>
      </c>
    </row>
    <row r="259" spans="1:14" x14ac:dyDescent="0.45">
      <c r="A259" s="1" t="s">
        <v>234</v>
      </c>
      <c r="B259" s="1" t="s">
        <v>207</v>
      </c>
      <c r="C259" s="1" t="s">
        <v>584</v>
      </c>
      <c r="D259" s="1">
        <f>FIND("-",aoc_02_input[[#This Row],[InputNumbers]])</f>
        <v>2</v>
      </c>
      <c r="E259" s="1">
        <f>_xlfn.NUMBERVALUE(LEFT(aoc_02_input[[#This Row],[InputNumbers]],aoc_02_input[[#This Row],[PosDash]]-1))</f>
        <v>7</v>
      </c>
      <c r="F259" s="1">
        <f>_xlfn.NUMBERVALUE(MID(aoc_02_input[[#This Row],[InputNumbers]],aoc_02_input[[#This Row],[PosDash]]+1,5))</f>
        <v>8</v>
      </c>
      <c r="G259" s="1" t="str">
        <f>LEFT(aoc_02_input[[#This Row],[InputChar]],1)</f>
        <v>b</v>
      </c>
      <c r="H259" s="1" cm="1">
        <f t="array" ref="H259">CountChar(aoc_02_input[[#This Row],[Password]],aoc_02_input[[#This Row],[Char]])</f>
        <v>12</v>
      </c>
      <c r="I259" s="1">
        <f>IF(AND(aoc_02_input[[#This Row],[Int1]]&lt;=aoc_02_input[[#This Row],[CountOfChar]],aoc_02_input[[#This Row],[CountOfChar]]&lt;=aoc_02_input[[#This Row],[Int2]]),1,0)</f>
        <v>0</v>
      </c>
      <c r="J259" s="1" t="str">
        <f>MID(aoc_02_input[[#This Row],[Password]],aoc_02_input[[#This Row],[Int1]],1)</f>
        <v>b</v>
      </c>
      <c r="K259" s="1">
        <f>IF(aoc_02_input[[#This Row],[Pos1]]=aoc_02_input[[#This Row],[Char]],1,0)</f>
        <v>1</v>
      </c>
      <c r="L259" s="1" t="str">
        <f>MID(aoc_02_input[[#This Row],[Password]],aoc_02_input[[#This Row],[Int2]],1)</f>
        <v>n</v>
      </c>
      <c r="M259" s="1">
        <f>IF(aoc_02_input[[#This Row],[Pos2]]=aoc_02_input[[#This Row],[Char]],1,0)</f>
        <v>0</v>
      </c>
      <c r="N259" s="1">
        <f>IF(aoc_02_input[[#This Row],[Pos1Valid]]&lt;&gt;aoc_02_input[[#This Row],[Pos2Valid]],1,0)</f>
        <v>1</v>
      </c>
    </row>
    <row r="260" spans="1:14" x14ac:dyDescent="0.45">
      <c r="A260" s="1" t="s">
        <v>283</v>
      </c>
      <c r="B260" s="1" t="s">
        <v>243</v>
      </c>
      <c r="C260" s="1" t="s">
        <v>585</v>
      </c>
      <c r="D260" s="1">
        <f>FIND("-",aoc_02_input[[#This Row],[InputNumbers]])</f>
        <v>2</v>
      </c>
      <c r="E260" s="1">
        <f>_xlfn.NUMBERVALUE(LEFT(aoc_02_input[[#This Row],[InputNumbers]],aoc_02_input[[#This Row],[PosDash]]-1))</f>
        <v>3</v>
      </c>
      <c r="F260" s="1">
        <f>_xlfn.NUMBERVALUE(MID(aoc_02_input[[#This Row],[InputNumbers]],aoc_02_input[[#This Row],[PosDash]]+1,5))</f>
        <v>4</v>
      </c>
      <c r="G260" s="1" t="str">
        <f>LEFT(aoc_02_input[[#This Row],[InputChar]],1)</f>
        <v>f</v>
      </c>
      <c r="H260" s="1" cm="1">
        <f t="array" ref="H260">CountChar(aoc_02_input[[#This Row],[Password]],aoc_02_input[[#This Row],[Char]])</f>
        <v>2</v>
      </c>
      <c r="I260" s="1">
        <f>IF(AND(aoc_02_input[[#This Row],[Int1]]&lt;=aoc_02_input[[#This Row],[CountOfChar]],aoc_02_input[[#This Row],[CountOfChar]]&lt;=aoc_02_input[[#This Row],[Int2]]),1,0)</f>
        <v>0</v>
      </c>
      <c r="J260" s="1" t="str">
        <f>MID(aoc_02_input[[#This Row],[Password]],aoc_02_input[[#This Row],[Int1]],1)</f>
        <v>f</v>
      </c>
      <c r="K260" s="1">
        <f>IF(aoc_02_input[[#This Row],[Pos1]]=aoc_02_input[[#This Row],[Char]],1,0)</f>
        <v>1</v>
      </c>
      <c r="L260" s="1" t="str">
        <f>MID(aoc_02_input[[#This Row],[Password]],aoc_02_input[[#This Row],[Int2]],1)</f>
        <v>n</v>
      </c>
      <c r="M260" s="1">
        <f>IF(aoc_02_input[[#This Row],[Pos2]]=aoc_02_input[[#This Row],[Char]],1,0)</f>
        <v>0</v>
      </c>
      <c r="N260" s="1">
        <f>IF(aoc_02_input[[#This Row],[Pos1Valid]]&lt;&gt;aoc_02_input[[#This Row],[Pos2Valid]],1,0)</f>
        <v>1</v>
      </c>
    </row>
    <row r="261" spans="1:14" x14ac:dyDescent="0.45">
      <c r="A261" s="1" t="s">
        <v>224</v>
      </c>
      <c r="B261" s="1" t="s">
        <v>252</v>
      </c>
      <c r="C261" s="1" t="s">
        <v>586</v>
      </c>
      <c r="D261" s="1">
        <f>FIND("-",aoc_02_input[[#This Row],[InputNumbers]])</f>
        <v>2</v>
      </c>
      <c r="E261" s="1">
        <f>_xlfn.NUMBERVALUE(LEFT(aoc_02_input[[#This Row],[InputNumbers]],aoc_02_input[[#This Row],[PosDash]]-1))</f>
        <v>1</v>
      </c>
      <c r="F261" s="1">
        <f>_xlfn.NUMBERVALUE(MID(aoc_02_input[[#This Row],[InputNumbers]],aoc_02_input[[#This Row],[PosDash]]+1,5))</f>
        <v>5</v>
      </c>
      <c r="G261" s="1" t="str">
        <f>LEFT(aoc_02_input[[#This Row],[InputChar]],1)</f>
        <v>p</v>
      </c>
      <c r="H261" s="1" cm="1">
        <f t="array" ref="H261">CountChar(aoc_02_input[[#This Row],[Password]],aoc_02_input[[#This Row],[Char]])</f>
        <v>3</v>
      </c>
      <c r="I261" s="1">
        <f>IF(AND(aoc_02_input[[#This Row],[Int1]]&lt;=aoc_02_input[[#This Row],[CountOfChar]],aoc_02_input[[#This Row],[CountOfChar]]&lt;=aoc_02_input[[#This Row],[Int2]]),1,0)</f>
        <v>1</v>
      </c>
      <c r="J261" s="1" t="str">
        <f>MID(aoc_02_input[[#This Row],[Password]],aoc_02_input[[#This Row],[Int1]],1)</f>
        <v>l</v>
      </c>
      <c r="K261" s="1">
        <f>IF(aoc_02_input[[#This Row],[Pos1]]=aoc_02_input[[#This Row],[Char]],1,0)</f>
        <v>0</v>
      </c>
      <c r="L261" s="1" t="str">
        <f>MID(aoc_02_input[[#This Row],[Password]],aoc_02_input[[#This Row],[Int2]],1)</f>
        <v>b</v>
      </c>
      <c r="M261" s="1">
        <f>IF(aoc_02_input[[#This Row],[Pos2]]=aoc_02_input[[#This Row],[Char]],1,0)</f>
        <v>0</v>
      </c>
      <c r="N261" s="1">
        <f>IF(aoc_02_input[[#This Row],[Pos1Valid]]&lt;&gt;aoc_02_input[[#This Row],[Pos2Valid]],1,0)</f>
        <v>0</v>
      </c>
    </row>
    <row r="262" spans="1:14" x14ac:dyDescent="0.45">
      <c r="A262" s="1" t="s">
        <v>283</v>
      </c>
      <c r="B262" s="1" t="s">
        <v>246</v>
      </c>
      <c r="C262" s="1" t="s">
        <v>587</v>
      </c>
      <c r="D262" s="1">
        <f>FIND("-",aoc_02_input[[#This Row],[InputNumbers]])</f>
        <v>2</v>
      </c>
      <c r="E262" s="1">
        <f>_xlfn.NUMBERVALUE(LEFT(aoc_02_input[[#This Row],[InputNumbers]],aoc_02_input[[#This Row],[PosDash]]-1))</f>
        <v>3</v>
      </c>
      <c r="F262" s="1">
        <f>_xlfn.NUMBERVALUE(MID(aoc_02_input[[#This Row],[InputNumbers]],aoc_02_input[[#This Row],[PosDash]]+1,5))</f>
        <v>4</v>
      </c>
      <c r="G262" s="1" t="str">
        <f>LEFT(aoc_02_input[[#This Row],[InputChar]],1)</f>
        <v>n</v>
      </c>
      <c r="H262" s="1" cm="1">
        <f t="array" ref="H262">CountChar(aoc_02_input[[#This Row],[Password]],aoc_02_input[[#This Row],[Char]])</f>
        <v>1</v>
      </c>
      <c r="I262" s="1">
        <f>IF(AND(aoc_02_input[[#This Row],[Int1]]&lt;=aoc_02_input[[#This Row],[CountOfChar]],aoc_02_input[[#This Row],[CountOfChar]]&lt;=aoc_02_input[[#This Row],[Int2]]),1,0)</f>
        <v>0</v>
      </c>
      <c r="J262" s="1" t="str">
        <f>MID(aoc_02_input[[#This Row],[Password]],aoc_02_input[[#This Row],[Int1]],1)</f>
        <v>n</v>
      </c>
      <c r="K262" s="1">
        <f>IF(aoc_02_input[[#This Row],[Pos1]]=aoc_02_input[[#This Row],[Char]],1,0)</f>
        <v>1</v>
      </c>
      <c r="L262" s="1" t="str">
        <f>MID(aoc_02_input[[#This Row],[Password]],aoc_02_input[[#This Row],[Int2]],1)</f>
        <v>z</v>
      </c>
      <c r="M262" s="1">
        <f>IF(aoc_02_input[[#This Row],[Pos2]]=aoc_02_input[[#This Row],[Char]],1,0)</f>
        <v>0</v>
      </c>
      <c r="N262" s="1">
        <f>IF(aoc_02_input[[#This Row],[Pos1Valid]]&lt;&gt;aoc_02_input[[#This Row],[Pos2Valid]],1,0)</f>
        <v>1</v>
      </c>
    </row>
    <row r="263" spans="1:14" x14ac:dyDescent="0.45">
      <c r="A263" s="1" t="s">
        <v>588</v>
      </c>
      <c r="B263" s="1" t="s">
        <v>235</v>
      </c>
      <c r="C263" s="1" t="s">
        <v>589</v>
      </c>
      <c r="D263" s="1">
        <f>FIND("-",aoc_02_input[[#This Row],[InputNumbers]])</f>
        <v>2</v>
      </c>
      <c r="E263" s="1">
        <f>_xlfn.NUMBERVALUE(LEFT(aoc_02_input[[#This Row],[InputNumbers]],aoc_02_input[[#This Row],[PosDash]]-1))</f>
        <v>7</v>
      </c>
      <c r="F263" s="1">
        <f>_xlfn.NUMBERVALUE(MID(aoc_02_input[[#This Row],[InputNumbers]],aoc_02_input[[#This Row],[PosDash]]+1,5))</f>
        <v>13</v>
      </c>
      <c r="G263" s="1" t="str">
        <f>LEFT(aoc_02_input[[#This Row],[InputChar]],1)</f>
        <v>d</v>
      </c>
      <c r="H263" s="1" cm="1">
        <f t="array" ref="H263">CountChar(aoc_02_input[[#This Row],[Password]],aoc_02_input[[#This Row],[Char]])</f>
        <v>6</v>
      </c>
      <c r="I263" s="1">
        <f>IF(AND(aoc_02_input[[#This Row],[Int1]]&lt;=aoc_02_input[[#This Row],[CountOfChar]],aoc_02_input[[#This Row],[CountOfChar]]&lt;=aoc_02_input[[#This Row],[Int2]]),1,0)</f>
        <v>0</v>
      </c>
      <c r="J263" s="1" t="str">
        <f>MID(aoc_02_input[[#This Row],[Password]],aoc_02_input[[#This Row],[Int1]],1)</f>
        <v>l</v>
      </c>
      <c r="K263" s="1">
        <f>IF(aoc_02_input[[#This Row],[Pos1]]=aoc_02_input[[#This Row],[Char]],1,0)</f>
        <v>0</v>
      </c>
      <c r="L263" s="1" t="str">
        <f>MID(aoc_02_input[[#This Row],[Password]],aoc_02_input[[#This Row],[Int2]],1)</f>
        <v>d</v>
      </c>
      <c r="M263" s="1">
        <f>IF(aoc_02_input[[#This Row],[Pos2]]=aoc_02_input[[#This Row],[Char]],1,0)</f>
        <v>1</v>
      </c>
      <c r="N263" s="1">
        <f>IF(aoc_02_input[[#This Row],[Pos1Valid]]&lt;&gt;aoc_02_input[[#This Row],[Pos2Valid]],1,0)</f>
        <v>1</v>
      </c>
    </row>
    <row r="264" spans="1:14" x14ac:dyDescent="0.45">
      <c r="A264" s="1" t="s">
        <v>590</v>
      </c>
      <c r="B264" s="1" t="s">
        <v>278</v>
      </c>
      <c r="C264" s="1" t="s">
        <v>591</v>
      </c>
      <c r="D264" s="1">
        <f>FIND("-",aoc_02_input[[#This Row],[InputNumbers]])</f>
        <v>3</v>
      </c>
      <c r="E264" s="1">
        <f>_xlfn.NUMBERVALUE(LEFT(aoc_02_input[[#This Row],[InputNumbers]],aoc_02_input[[#This Row],[PosDash]]-1))</f>
        <v>12</v>
      </c>
      <c r="F264" s="1">
        <f>_xlfn.NUMBERVALUE(MID(aoc_02_input[[#This Row],[InputNumbers]],aoc_02_input[[#This Row],[PosDash]]+1,5))</f>
        <v>17</v>
      </c>
      <c r="G264" s="1" t="str">
        <f>LEFT(aoc_02_input[[#This Row],[InputChar]],1)</f>
        <v>x</v>
      </c>
      <c r="H264" s="1" cm="1">
        <f t="array" ref="H264">CountChar(aoc_02_input[[#This Row],[Password]],aoc_02_input[[#This Row],[Char]])</f>
        <v>13</v>
      </c>
      <c r="I264" s="1">
        <f>IF(AND(aoc_02_input[[#This Row],[Int1]]&lt;=aoc_02_input[[#This Row],[CountOfChar]],aoc_02_input[[#This Row],[CountOfChar]]&lt;=aoc_02_input[[#This Row],[Int2]]),1,0)</f>
        <v>1</v>
      </c>
      <c r="J264" s="1" t="str">
        <f>MID(aoc_02_input[[#This Row],[Password]],aoc_02_input[[#This Row],[Int1]],1)</f>
        <v>q</v>
      </c>
      <c r="K264" s="1">
        <f>IF(aoc_02_input[[#This Row],[Pos1]]=aoc_02_input[[#This Row],[Char]],1,0)</f>
        <v>0</v>
      </c>
      <c r="L264" s="1" t="str">
        <f>MID(aoc_02_input[[#This Row],[Password]],aoc_02_input[[#This Row],[Int2]],1)</f>
        <v>x</v>
      </c>
      <c r="M264" s="1">
        <f>IF(aoc_02_input[[#This Row],[Pos2]]=aoc_02_input[[#This Row],[Char]],1,0)</f>
        <v>1</v>
      </c>
      <c r="N264" s="1">
        <f>IF(aoc_02_input[[#This Row],[Pos1Valid]]&lt;&gt;aoc_02_input[[#This Row],[Pos2Valid]],1,0)</f>
        <v>1</v>
      </c>
    </row>
    <row r="265" spans="1:14" x14ac:dyDescent="0.45">
      <c r="A265" s="1" t="s">
        <v>299</v>
      </c>
      <c r="B265" s="1" t="s">
        <v>238</v>
      </c>
      <c r="C265" s="1" t="s">
        <v>592</v>
      </c>
      <c r="D265" s="1">
        <f>FIND("-",aoc_02_input[[#This Row],[InputNumbers]])</f>
        <v>2</v>
      </c>
      <c r="E265" s="1">
        <f>_xlfn.NUMBERVALUE(LEFT(aoc_02_input[[#This Row],[InputNumbers]],aoc_02_input[[#This Row],[PosDash]]-1))</f>
        <v>1</v>
      </c>
      <c r="F265" s="1">
        <f>_xlfn.NUMBERVALUE(MID(aoc_02_input[[#This Row],[InputNumbers]],aoc_02_input[[#This Row],[PosDash]]+1,5))</f>
        <v>2</v>
      </c>
      <c r="G265" s="1" t="str">
        <f>LEFT(aoc_02_input[[#This Row],[InputChar]],1)</f>
        <v>w</v>
      </c>
      <c r="H265" s="1" cm="1">
        <f t="array" ref="H265">CountChar(aoc_02_input[[#This Row],[Password]],aoc_02_input[[#This Row],[Char]])</f>
        <v>2</v>
      </c>
      <c r="I265" s="1">
        <f>IF(AND(aoc_02_input[[#This Row],[Int1]]&lt;=aoc_02_input[[#This Row],[CountOfChar]],aoc_02_input[[#This Row],[CountOfChar]]&lt;=aoc_02_input[[#This Row],[Int2]]),1,0)</f>
        <v>1</v>
      </c>
      <c r="J265" s="1" t="str">
        <f>MID(aoc_02_input[[#This Row],[Password]],aoc_02_input[[#This Row],[Int1]],1)</f>
        <v>m</v>
      </c>
      <c r="K265" s="1">
        <f>IF(aoc_02_input[[#This Row],[Pos1]]=aoc_02_input[[#This Row],[Char]],1,0)</f>
        <v>0</v>
      </c>
      <c r="L265" s="1" t="str">
        <f>MID(aoc_02_input[[#This Row],[Password]],aoc_02_input[[#This Row],[Int2]],1)</f>
        <v>j</v>
      </c>
      <c r="M265" s="1">
        <f>IF(aoc_02_input[[#This Row],[Pos2]]=aoc_02_input[[#This Row],[Char]],1,0)</f>
        <v>0</v>
      </c>
      <c r="N265" s="1">
        <f>IF(aoc_02_input[[#This Row],[Pos1Valid]]&lt;&gt;aoc_02_input[[#This Row],[Pos2Valid]],1,0)</f>
        <v>0</v>
      </c>
    </row>
    <row r="266" spans="1:14" x14ac:dyDescent="0.45">
      <c r="A266" s="1" t="s">
        <v>435</v>
      </c>
      <c r="B266" s="1" t="s">
        <v>238</v>
      </c>
      <c r="C266" s="1" t="s">
        <v>593</v>
      </c>
      <c r="D266" s="1">
        <f>FIND("-",aoc_02_input[[#This Row],[InputNumbers]])</f>
        <v>2</v>
      </c>
      <c r="E266" s="1">
        <f>_xlfn.NUMBERVALUE(LEFT(aoc_02_input[[#This Row],[InputNumbers]],aoc_02_input[[#This Row],[PosDash]]-1))</f>
        <v>2</v>
      </c>
      <c r="F266" s="1">
        <f>_xlfn.NUMBERVALUE(MID(aoc_02_input[[#This Row],[InputNumbers]],aoc_02_input[[#This Row],[PosDash]]+1,5))</f>
        <v>10</v>
      </c>
      <c r="G266" s="1" t="str">
        <f>LEFT(aoc_02_input[[#This Row],[InputChar]],1)</f>
        <v>w</v>
      </c>
      <c r="H266" s="1" cm="1">
        <f t="array" ref="H266">CountChar(aoc_02_input[[#This Row],[Password]],aoc_02_input[[#This Row],[Char]])</f>
        <v>6</v>
      </c>
      <c r="I266" s="1">
        <f>IF(AND(aoc_02_input[[#This Row],[Int1]]&lt;=aoc_02_input[[#This Row],[CountOfChar]],aoc_02_input[[#This Row],[CountOfChar]]&lt;=aoc_02_input[[#This Row],[Int2]]),1,0)</f>
        <v>1</v>
      </c>
      <c r="J266" s="1" t="str">
        <f>MID(aoc_02_input[[#This Row],[Password]],aoc_02_input[[#This Row],[Int1]],1)</f>
        <v>w</v>
      </c>
      <c r="K266" s="1">
        <f>IF(aoc_02_input[[#This Row],[Pos1]]=aoc_02_input[[#This Row],[Char]],1,0)</f>
        <v>1</v>
      </c>
      <c r="L266" s="1" t="str">
        <f>MID(aoc_02_input[[#This Row],[Password]],aoc_02_input[[#This Row],[Int2]],1)</f>
        <v>j</v>
      </c>
      <c r="M266" s="1">
        <f>IF(aoc_02_input[[#This Row],[Pos2]]=aoc_02_input[[#This Row],[Char]],1,0)</f>
        <v>0</v>
      </c>
      <c r="N266" s="1">
        <f>IF(aoc_02_input[[#This Row],[Pos1Valid]]&lt;&gt;aoc_02_input[[#This Row],[Pos2Valid]],1,0)</f>
        <v>1</v>
      </c>
    </row>
    <row r="267" spans="1:14" x14ac:dyDescent="0.45">
      <c r="A267" s="1" t="s">
        <v>212</v>
      </c>
      <c r="B267" s="1" t="s">
        <v>207</v>
      </c>
      <c r="C267" s="1" t="s">
        <v>594</v>
      </c>
      <c r="D267" s="1">
        <f>FIND("-",aoc_02_input[[#This Row],[InputNumbers]])</f>
        <v>2</v>
      </c>
      <c r="E267" s="1">
        <f>_xlfn.NUMBERVALUE(LEFT(aoc_02_input[[#This Row],[InputNumbers]],aoc_02_input[[#This Row],[PosDash]]-1))</f>
        <v>2</v>
      </c>
      <c r="F267" s="1">
        <f>_xlfn.NUMBERVALUE(MID(aoc_02_input[[#This Row],[InputNumbers]],aoc_02_input[[#This Row],[PosDash]]+1,5))</f>
        <v>5</v>
      </c>
      <c r="G267" s="1" t="str">
        <f>LEFT(aoc_02_input[[#This Row],[InputChar]],1)</f>
        <v>b</v>
      </c>
      <c r="H267" s="1" cm="1">
        <f t="array" ref="H267">CountChar(aoc_02_input[[#This Row],[Password]],aoc_02_input[[#This Row],[Char]])</f>
        <v>2</v>
      </c>
      <c r="I267" s="1">
        <f>IF(AND(aoc_02_input[[#This Row],[Int1]]&lt;=aoc_02_input[[#This Row],[CountOfChar]],aoc_02_input[[#This Row],[CountOfChar]]&lt;=aoc_02_input[[#This Row],[Int2]]),1,0)</f>
        <v>1</v>
      </c>
      <c r="J267" s="1" t="str">
        <f>MID(aoc_02_input[[#This Row],[Password]],aoc_02_input[[#This Row],[Int1]],1)</f>
        <v>b</v>
      </c>
      <c r="K267" s="1">
        <f>IF(aoc_02_input[[#This Row],[Pos1]]=aoc_02_input[[#This Row],[Char]],1,0)</f>
        <v>1</v>
      </c>
      <c r="L267" s="1" t="str">
        <f>MID(aoc_02_input[[#This Row],[Password]],aoc_02_input[[#This Row],[Int2]],1)</f>
        <v>x</v>
      </c>
      <c r="M267" s="1">
        <f>IF(aoc_02_input[[#This Row],[Pos2]]=aoc_02_input[[#This Row],[Char]],1,0)</f>
        <v>0</v>
      </c>
      <c r="N267" s="1">
        <f>IF(aoc_02_input[[#This Row],[Pos1Valid]]&lt;&gt;aoc_02_input[[#This Row],[Pos2Valid]],1,0)</f>
        <v>1</v>
      </c>
    </row>
    <row r="268" spans="1:14" x14ac:dyDescent="0.45">
      <c r="A268" s="1" t="s">
        <v>445</v>
      </c>
      <c r="B268" s="1" t="s">
        <v>207</v>
      </c>
      <c r="C268" s="1" t="s">
        <v>595</v>
      </c>
      <c r="D268" s="1">
        <f>FIND("-",aoc_02_input[[#This Row],[InputNumbers]])</f>
        <v>3</v>
      </c>
      <c r="E268" s="1">
        <f>_xlfn.NUMBERVALUE(LEFT(aoc_02_input[[#This Row],[InputNumbers]],aoc_02_input[[#This Row],[PosDash]]-1))</f>
        <v>17</v>
      </c>
      <c r="F268" s="1">
        <f>_xlfn.NUMBERVALUE(MID(aoc_02_input[[#This Row],[InputNumbers]],aoc_02_input[[#This Row],[PosDash]]+1,5))</f>
        <v>18</v>
      </c>
      <c r="G268" s="1" t="str">
        <f>LEFT(aoc_02_input[[#This Row],[InputChar]],1)</f>
        <v>b</v>
      </c>
      <c r="H268" s="1" cm="1">
        <f t="array" ref="H268">CountChar(aoc_02_input[[#This Row],[Password]],aoc_02_input[[#This Row],[Char]])</f>
        <v>15</v>
      </c>
      <c r="I268" s="1">
        <f>IF(AND(aoc_02_input[[#This Row],[Int1]]&lt;=aoc_02_input[[#This Row],[CountOfChar]],aoc_02_input[[#This Row],[CountOfChar]]&lt;=aoc_02_input[[#This Row],[Int2]]),1,0)</f>
        <v>0</v>
      </c>
      <c r="J268" s="1" t="str">
        <f>MID(aoc_02_input[[#This Row],[Password]],aoc_02_input[[#This Row],[Int1]],1)</f>
        <v>k</v>
      </c>
      <c r="K268" s="1">
        <f>IF(aoc_02_input[[#This Row],[Pos1]]=aoc_02_input[[#This Row],[Char]],1,0)</f>
        <v>0</v>
      </c>
      <c r="L268" s="1" t="str">
        <f>MID(aoc_02_input[[#This Row],[Password]],aoc_02_input[[#This Row],[Int2]],1)</f>
        <v>b</v>
      </c>
      <c r="M268" s="1">
        <f>IF(aoc_02_input[[#This Row],[Pos2]]=aoc_02_input[[#This Row],[Char]],1,0)</f>
        <v>1</v>
      </c>
      <c r="N268" s="1">
        <f>IF(aoc_02_input[[#This Row],[Pos1Valid]]&lt;&gt;aoc_02_input[[#This Row],[Pos2Valid]],1,0)</f>
        <v>1</v>
      </c>
    </row>
    <row r="269" spans="1:14" x14ac:dyDescent="0.45">
      <c r="A269" s="1" t="s">
        <v>283</v>
      </c>
      <c r="B269" s="1" t="s">
        <v>213</v>
      </c>
      <c r="C269" s="1" t="s">
        <v>596</v>
      </c>
      <c r="D269" s="1">
        <f>FIND("-",aoc_02_input[[#This Row],[InputNumbers]])</f>
        <v>2</v>
      </c>
      <c r="E269" s="1">
        <f>_xlfn.NUMBERVALUE(LEFT(aoc_02_input[[#This Row],[InputNumbers]],aoc_02_input[[#This Row],[PosDash]]-1))</f>
        <v>3</v>
      </c>
      <c r="F269" s="1">
        <f>_xlfn.NUMBERVALUE(MID(aoc_02_input[[#This Row],[InputNumbers]],aoc_02_input[[#This Row],[PosDash]]+1,5))</f>
        <v>4</v>
      </c>
      <c r="G269" s="1" t="str">
        <f>LEFT(aoc_02_input[[#This Row],[InputChar]],1)</f>
        <v>m</v>
      </c>
      <c r="H269" s="1" cm="1">
        <f t="array" ref="H269">CountChar(aoc_02_input[[#This Row],[Password]],aoc_02_input[[#This Row],[Char]])</f>
        <v>3</v>
      </c>
      <c r="I269" s="1">
        <f>IF(AND(aoc_02_input[[#This Row],[Int1]]&lt;=aoc_02_input[[#This Row],[CountOfChar]],aoc_02_input[[#This Row],[CountOfChar]]&lt;=aoc_02_input[[#This Row],[Int2]]),1,0)</f>
        <v>1</v>
      </c>
      <c r="J269" s="1" t="str">
        <f>MID(aoc_02_input[[#This Row],[Password]],aoc_02_input[[#This Row],[Int1]],1)</f>
        <v>m</v>
      </c>
      <c r="K269" s="1">
        <f>IF(aoc_02_input[[#This Row],[Pos1]]=aoc_02_input[[#This Row],[Char]],1,0)</f>
        <v>1</v>
      </c>
      <c r="L269" s="1" t="str">
        <f>MID(aoc_02_input[[#This Row],[Password]],aoc_02_input[[#This Row],[Int2]],1)</f>
        <v>r</v>
      </c>
      <c r="M269" s="1">
        <f>IF(aoc_02_input[[#This Row],[Pos2]]=aoc_02_input[[#This Row],[Char]],1,0)</f>
        <v>0</v>
      </c>
      <c r="N269" s="1">
        <f>IF(aoc_02_input[[#This Row],[Pos1Valid]]&lt;&gt;aoc_02_input[[#This Row],[Pos2Valid]],1,0)</f>
        <v>1</v>
      </c>
    </row>
    <row r="270" spans="1:14" x14ac:dyDescent="0.45">
      <c r="A270" s="1" t="s">
        <v>494</v>
      </c>
      <c r="B270" s="1" t="s">
        <v>243</v>
      </c>
      <c r="C270" s="1" t="s">
        <v>597</v>
      </c>
      <c r="D270" s="1">
        <f>FIND("-",aoc_02_input[[#This Row],[InputNumbers]])</f>
        <v>2</v>
      </c>
      <c r="E270" s="1">
        <f>_xlfn.NUMBERVALUE(LEFT(aoc_02_input[[#This Row],[InputNumbers]],aoc_02_input[[#This Row],[PosDash]]-1))</f>
        <v>7</v>
      </c>
      <c r="F270" s="1">
        <f>_xlfn.NUMBERVALUE(MID(aoc_02_input[[#This Row],[InputNumbers]],aoc_02_input[[#This Row],[PosDash]]+1,5))</f>
        <v>10</v>
      </c>
      <c r="G270" s="1" t="str">
        <f>LEFT(aoc_02_input[[#This Row],[InputChar]],1)</f>
        <v>f</v>
      </c>
      <c r="H270" s="1" cm="1">
        <f t="array" ref="H270">CountChar(aoc_02_input[[#This Row],[Password]],aoc_02_input[[#This Row],[Char]])</f>
        <v>5</v>
      </c>
      <c r="I270" s="1">
        <f>IF(AND(aoc_02_input[[#This Row],[Int1]]&lt;=aoc_02_input[[#This Row],[CountOfChar]],aoc_02_input[[#This Row],[CountOfChar]]&lt;=aoc_02_input[[#This Row],[Int2]]),1,0)</f>
        <v>0</v>
      </c>
      <c r="J270" s="1" t="str">
        <f>MID(aoc_02_input[[#This Row],[Password]],aoc_02_input[[#This Row],[Int1]],1)</f>
        <v>f</v>
      </c>
      <c r="K270" s="1">
        <f>IF(aoc_02_input[[#This Row],[Pos1]]=aoc_02_input[[#This Row],[Char]],1,0)</f>
        <v>1</v>
      </c>
      <c r="L270" s="1" t="str">
        <f>MID(aoc_02_input[[#This Row],[Password]],aoc_02_input[[#This Row],[Int2]],1)</f>
        <v>z</v>
      </c>
      <c r="M270" s="1">
        <f>IF(aoc_02_input[[#This Row],[Pos2]]=aoc_02_input[[#This Row],[Char]],1,0)</f>
        <v>0</v>
      </c>
      <c r="N270" s="1">
        <f>IF(aoc_02_input[[#This Row],[Pos1Valid]]&lt;&gt;aoc_02_input[[#This Row],[Pos2Valid]],1,0)</f>
        <v>1</v>
      </c>
    </row>
    <row r="271" spans="1:14" x14ac:dyDescent="0.45">
      <c r="A271" s="1" t="s">
        <v>230</v>
      </c>
      <c r="B271" s="1" t="s">
        <v>225</v>
      </c>
      <c r="C271" s="1" t="s">
        <v>598</v>
      </c>
      <c r="D271" s="1">
        <f>FIND("-",aoc_02_input[[#This Row],[InputNumbers]])</f>
        <v>2</v>
      </c>
      <c r="E271" s="1">
        <f>_xlfn.NUMBERVALUE(LEFT(aoc_02_input[[#This Row],[InputNumbers]],aoc_02_input[[#This Row],[PosDash]]-1))</f>
        <v>2</v>
      </c>
      <c r="F271" s="1">
        <f>_xlfn.NUMBERVALUE(MID(aoc_02_input[[#This Row],[InputNumbers]],aoc_02_input[[#This Row],[PosDash]]+1,5))</f>
        <v>4</v>
      </c>
      <c r="G271" s="1" t="str">
        <f>LEFT(aoc_02_input[[#This Row],[InputChar]],1)</f>
        <v>j</v>
      </c>
      <c r="H271" s="1" cm="1">
        <f t="array" ref="H271">CountChar(aoc_02_input[[#This Row],[Password]],aoc_02_input[[#This Row],[Char]])</f>
        <v>4</v>
      </c>
      <c r="I271" s="1">
        <f>IF(AND(aoc_02_input[[#This Row],[Int1]]&lt;=aoc_02_input[[#This Row],[CountOfChar]],aoc_02_input[[#This Row],[CountOfChar]]&lt;=aoc_02_input[[#This Row],[Int2]]),1,0)</f>
        <v>1</v>
      </c>
      <c r="J271" s="1" t="str">
        <f>MID(aoc_02_input[[#This Row],[Password]],aoc_02_input[[#This Row],[Int1]],1)</f>
        <v>v</v>
      </c>
      <c r="K271" s="1">
        <f>IF(aoc_02_input[[#This Row],[Pos1]]=aoc_02_input[[#This Row],[Char]],1,0)</f>
        <v>0</v>
      </c>
      <c r="L271" s="1" t="str">
        <f>MID(aoc_02_input[[#This Row],[Password]],aoc_02_input[[#This Row],[Int2]],1)</f>
        <v>j</v>
      </c>
      <c r="M271" s="1">
        <f>IF(aoc_02_input[[#This Row],[Pos2]]=aoc_02_input[[#This Row],[Char]],1,0)</f>
        <v>1</v>
      </c>
      <c r="N271" s="1">
        <f>IF(aoc_02_input[[#This Row],[Pos1Valid]]&lt;&gt;aoc_02_input[[#This Row],[Pos2Valid]],1,0)</f>
        <v>1</v>
      </c>
    </row>
    <row r="272" spans="1:14" x14ac:dyDescent="0.45">
      <c r="A272" s="1" t="s">
        <v>264</v>
      </c>
      <c r="B272" s="1" t="s">
        <v>246</v>
      </c>
      <c r="C272" s="1" t="s">
        <v>599</v>
      </c>
      <c r="D272" s="1">
        <f>FIND("-",aoc_02_input[[#This Row],[InputNumbers]])</f>
        <v>2</v>
      </c>
      <c r="E272" s="1">
        <f>_xlfn.NUMBERVALUE(LEFT(aoc_02_input[[#This Row],[InputNumbers]],aoc_02_input[[#This Row],[PosDash]]-1))</f>
        <v>9</v>
      </c>
      <c r="F272" s="1">
        <f>_xlfn.NUMBERVALUE(MID(aoc_02_input[[#This Row],[InputNumbers]],aoc_02_input[[#This Row],[PosDash]]+1,5))</f>
        <v>11</v>
      </c>
      <c r="G272" s="1" t="str">
        <f>LEFT(aoc_02_input[[#This Row],[InputChar]],1)</f>
        <v>n</v>
      </c>
      <c r="H272" s="1" cm="1">
        <f t="array" ref="H272">CountChar(aoc_02_input[[#This Row],[Password]],aoc_02_input[[#This Row],[Char]])</f>
        <v>10</v>
      </c>
      <c r="I272" s="1">
        <f>IF(AND(aoc_02_input[[#This Row],[Int1]]&lt;=aoc_02_input[[#This Row],[CountOfChar]],aoc_02_input[[#This Row],[CountOfChar]]&lt;=aoc_02_input[[#This Row],[Int2]]),1,0)</f>
        <v>1</v>
      </c>
      <c r="J272" s="1" t="str">
        <f>MID(aoc_02_input[[#This Row],[Password]],aoc_02_input[[#This Row],[Int1]],1)</f>
        <v>h</v>
      </c>
      <c r="K272" s="1">
        <f>IF(aoc_02_input[[#This Row],[Pos1]]=aoc_02_input[[#This Row],[Char]],1,0)</f>
        <v>0</v>
      </c>
      <c r="L272" s="1" t="str">
        <f>MID(aoc_02_input[[#This Row],[Password]],aoc_02_input[[#This Row],[Int2]],1)</f>
        <v>n</v>
      </c>
      <c r="M272" s="1">
        <f>IF(aoc_02_input[[#This Row],[Pos2]]=aoc_02_input[[#This Row],[Char]],1,0)</f>
        <v>1</v>
      </c>
      <c r="N272" s="1">
        <f>IF(aoc_02_input[[#This Row],[Pos1Valid]]&lt;&gt;aoc_02_input[[#This Row],[Pos2Valid]],1,0)</f>
        <v>1</v>
      </c>
    </row>
    <row r="273" spans="1:14" x14ac:dyDescent="0.45">
      <c r="A273" s="1" t="s">
        <v>600</v>
      </c>
      <c r="B273" s="1" t="s">
        <v>249</v>
      </c>
      <c r="C273" s="1" t="s">
        <v>601</v>
      </c>
      <c r="D273" s="1">
        <f>FIND("-",aoc_02_input[[#This Row],[InputNumbers]])</f>
        <v>2</v>
      </c>
      <c r="E273" s="1">
        <f>_xlfn.NUMBERVALUE(LEFT(aoc_02_input[[#This Row],[InputNumbers]],aoc_02_input[[#This Row],[PosDash]]-1))</f>
        <v>5</v>
      </c>
      <c r="F273" s="1">
        <f>_xlfn.NUMBERVALUE(MID(aoc_02_input[[#This Row],[InputNumbers]],aoc_02_input[[#This Row],[PosDash]]+1,5))</f>
        <v>14</v>
      </c>
      <c r="G273" s="1" t="str">
        <f>LEFT(aoc_02_input[[#This Row],[InputChar]],1)</f>
        <v>q</v>
      </c>
      <c r="H273" s="1" cm="1">
        <f t="array" ref="H273">CountChar(aoc_02_input[[#This Row],[Password]],aoc_02_input[[#This Row],[Char]])</f>
        <v>5</v>
      </c>
      <c r="I273" s="1">
        <f>IF(AND(aoc_02_input[[#This Row],[Int1]]&lt;=aoc_02_input[[#This Row],[CountOfChar]],aoc_02_input[[#This Row],[CountOfChar]]&lt;=aoc_02_input[[#This Row],[Int2]]),1,0)</f>
        <v>1</v>
      </c>
      <c r="J273" s="1" t="str">
        <f>MID(aoc_02_input[[#This Row],[Password]],aoc_02_input[[#This Row],[Int1]],1)</f>
        <v>v</v>
      </c>
      <c r="K273" s="1">
        <f>IF(aoc_02_input[[#This Row],[Pos1]]=aoc_02_input[[#This Row],[Char]],1,0)</f>
        <v>0</v>
      </c>
      <c r="L273" s="1" t="str">
        <f>MID(aoc_02_input[[#This Row],[Password]],aoc_02_input[[#This Row],[Int2]],1)</f>
        <v>m</v>
      </c>
      <c r="M273" s="1">
        <f>IF(aoc_02_input[[#This Row],[Pos2]]=aoc_02_input[[#This Row],[Char]],1,0)</f>
        <v>0</v>
      </c>
      <c r="N273" s="1">
        <f>IF(aoc_02_input[[#This Row],[Pos1Valid]]&lt;&gt;aoc_02_input[[#This Row],[Pos2Valid]],1,0)</f>
        <v>0</v>
      </c>
    </row>
    <row r="274" spans="1:14" x14ac:dyDescent="0.45">
      <c r="A274" s="1" t="s">
        <v>230</v>
      </c>
      <c r="B274" s="1" t="s">
        <v>252</v>
      </c>
      <c r="C274" s="1" t="s">
        <v>602</v>
      </c>
      <c r="D274" s="1">
        <f>FIND("-",aoc_02_input[[#This Row],[InputNumbers]])</f>
        <v>2</v>
      </c>
      <c r="E274" s="1">
        <f>_xlfn.NUMBERVALUE(LEFT(aoc_02_input[[#This Row],[InputNumbers]],aoc_02_input[[#This Row],[PosDash]]-1))</f>
        <v>2</v>
      </c>
      <c r="F274" s="1">
        <f>_xlfn.NUMBERVALUE(MID(aoc_02_input[[#This Row],[InputNumbers]],aoc_02_input[[#This Row],[PosDash]]+1,5))</f>
        <v>4</v>
      </c>
      <c r="G274" s="1" t="str">
        <f>LEFT(aoc_02_input[[#This Row],[InputChar]],1)</f>
        <v>p</v>
      </c>
      <c r="H274" s="1" cm="1">
        <f t="array" ref="H274">CountChar(aoc_02_input[[#This Row],[Password]],aoc_02_input[[#This Row],[Char]])</f>
        <v>2</v>
      </c>
      <c r="I274" s="1">
        <f>IF(AND(aoc_02_input[[#This Row],[Int1]]&lt;=aoc_02_input[[#This Row],[CountOfChar]],aoc_02_input[[#This Row],[CountOfChar]]&lt;=aoc_02_input[[#This Row],[Int2]]),1,0)</f>
        <v>1</v>
      </c>
      <c r="J274" s="1" t="str">
        <f>MID(aoc_02_input[[#This Row],[Password]],aoc_02_input[[#This Row],[Int1]],1)</f>
        <v>p</v>
      </c>
      <c r="K274" s="1">
        <f>IF(aoc_02_input[[#This Row],[Pos1]]=aoc_02_input[[#This Row],[Char]],1,0)</f>
        <v>1</v>
      </c>
      <c r="L274" s="1" t="str">
        <f>MID(aoc_02_input[[#This Row],[Password]],aoc_02_input[[#This Row],[Int2]],1)</f>
        <v>t</v>
      </c>
      <c r="M274" s="1">
        <f>IF(aoc_02_input[[#This Row],[Pos2]]=aoc_02_input[[#This Row],[Char]],1,0)</f>
        <v>0</v>
      </c>
      <c r="N274" s="1">
        <f>IF(aoc_02_input[[#This Row],[Pos1Valid]]&lt;&gt;aoc_02_input[[#This Row],[Pos2Valid]],1,0)</f>
        <v>1</v>
      </c>
    </row>
    <row r="275" spans="1:14" x14ac:dyDescent="0.45">
      <c r="A275" s="1" t="s">
        <v>230</v>
      </c>
      <c r="B275" s="1" t="s">
        <v>207</v>
      </c>
      <c r="C275" s="1" t="s">
        <v>603</v>
      </c>
      <c r="D275" s="1">
        <f>FIND("-",aoc_02_input[[#This Row],[InputNumbers]])</f>
        <v>2</v>
      </c>
      <c r="E275" s="1">
        <f>_xlfn.NUMBERVALUE(LEFT(aoc_02_input[[#This Row],[InputNumbers]],aoc_02_input[[#This Row],[PosDash]]-1))</f>
        <v>2</v>
      </c>
      <c r="F275" s="1">
        <f>_xlfn.NUMBERVALUE(MID(aoc_02_input[[#This Row],[InputNumbers]],aoc_02_input[[#This Row],[PosDash]]+1,5))</f>
        <v>4</v>
      </c>
      <c r="G275" s="1" t="str">
        <f>LEFT(aoc_02_input[[#This Row],[InputChar]],1)</f>
        <v>b</v>
      </c>
      <c r="H275" s="1" cm="1">
        <f t="array" ref="H275">CountChar(aoc_02_input[[#This Row],[Password]],aoc_02_input[[#This Row],[Char]])</f>
        <v>7</v>
      </c>
      <c r="I275" s="1">
        <f>IF(AND(aoc_02_input[[#This Row],[Int1]]&lt;=aoc_02_input[[#This Row],[CountOfChar]],aoc_02_input[[#This Row],[CountOfChar]]&lt;=aoc_02_input[[#This Row],[Int2]]),1,0)</f>
        <v>0</v>
      </c>
      <c r="J275" s="1" t="str">
        <f>MID(aoc_02_input[[#This Row],[Password]],aoc_02_input[[#This Row],[Int1]],1)</f>
        <v>b</v>
      </c>
      <c r="K275" s="1">
        <f>IF(aoc_02_input[[#This Row],[Pos1]]=aoc_02_input[[#This Row],[Char]],1,0)</f>
        <v>1</v>
      </c>
      <c r="L275" s="1" t="str">
        <f>MID(aoc_02_input[[#This Row],[Password]],aoc_02_input[[#This Row],[Int2]],1)</f>
        <v>b</v>
      </c>
      <c r="M275" s="1">
        <f>IF(aoc_02_input[[#This Row],[Pos2]]=aoc_02_input[[#This Row],[Char]],1,0)</f>
        <v>1</v>
      </c>
      <c r="N275" s="1">
        <f>IF(aoc_02_input[[#This Row],[Pos1Valid]]&lt;&gt;aoc_02_input[[#This Row],[Pos2Valid]],1,0)</f>
        <v>0</v>
      </c>
    </row>
    <row r="276" spans="1:14" x14ac:dyDescent="0.45">
      <c r="A276" s="1" t="s">
        <v>224</v>
      </c>
      <c r="B276" s="1" t="s">
        <v>295</v>
      </c>
      <c r="C276" s="1" t="s">
        <v>604</v>
      </c>
      <c r="D276" s="1">
        <f>FIND("-",aoc_02_input[[#This Row],[InputNumbers]])</f>
        <v>2</v>
      </c>
      <c r="E276" s="1">
        <f>_xlfn.NUMBERVALUE(LEFT(aoc_02_input[[#This Row],[InputNumbers]],aoc_02_input[[#This Row],[PosDash]]-1))</f>
        <v>1</v>
      </c>
      <c r="F276" s="1">
        <f>_xlfn.NUMBERVALUE(MID(aoc_02_input[[#This Row],[InputNumbers]],aoc_02_input[[#This Row],[PosDash]]+1,5))</f>
        <v>5</v>
      </c>
      <c r="G276" s="1" t="str">
        <f>LEFT(aoc_02_input[[#This Row],[InputChar]],1)</f>
        <v>c</v>
      </c>
      <c r="H276" s="1" cm="1">
        <f t="array" ref="H276">CountChar(aoc_02_input[[#This Row],[Password]],aoc_02_input[[#This Row],[Char]])</f>
        <v>6</v>
      </c>
      <c r="I276" s="1">
        <f>IF(AND(aoc_02_input[[#This Row],[Int1]]&lt;=aoc_02_input[[#This Row],[CountOfChar]],aoc_02_input[[#This Row],[CountOfChar]]&lt;=aoc_02_input[[#This Row],[Int2]]),1,0)</f>
        <v>0</v>
      </c>
      <c r="J276" s="1" t="str">
        <f>MID(aoc_02_input[[#This Row],[Password]],aoc_02_input[[#This Row],[Int1]],1)</f>
        <v>c</v>
      </c>
      <c r="K276" s="1">
        <f>IF(aoc_02_input[[#This Row],[Pos1]]=aoc_02_input[[#This Row],[Char]],1,0)</f>
        <v>1</v>
      </c>
      <c r="L276" s="1" t="str">
        <f>MID(aoc_02_input[[#This Row],[Password]],aoc_02_input[[#This Row],[Int2]],1)</f>
        <v>q</v>
      </c>
      <c r="M276" s="1">
        <f>IF(aoc_02_input[[#This Row],[Pos2]]=aoc_02_input[[#This Row],[Char]],1,0)</f>
        <v>0</v>
      </c>
      <c r="N276" s="1">
        <f>IF(aoc_02_input[[#This Row],[Pos1Valid]]&lt;&gt;aoc_02_input[[#This Row],[Pos2Valid]],1,0)</f>
        <v>1</v>
      </c>
    </row>
    <row r="277" spans="1:14" x14ac:dyDescent="0.45">
      <c r="A277" s="1" t="s">
        <v>605</v>
      </c>
      <c r="B277" s="1" t="s">
        <v>254</v>
      </c>
      <c r="C277" s="1" t="s">
        <v>606</v>
      </c>
      <c r="D277" s="1">
        <f>FIND("-",aoc_02_input[[#This Row],[InputNumbers]])</f>
        <v>3</v>
      </c>
      <c r="E277" s="1">
        <f>_xlfn.NUMBERVALUE(LEFT(aoc_02_input[[#This Row],[InputNumbers]],aoc_02_input[[#This Row],[PosDash]]-1))</f>
        <v>11</v>
      </c>
      <c r="F277" s="1">
        <f>_xlfn.NUMBERVALUE(MID(aoc_02_input[[#This Row],[InputNumbers]],aoc_02_input[[#This Row],[PosDash]]+1,5))</f>
        <v>15</v>
      </c>
      <c r="G277" s="1" t="str">
        <f>LEFT(aoc_02_input[[#This Row],[InputChar]],1)</f>
        <v>k</v>
      </c>
      <c r="H277" s="1" cm="1">
        <f t="array" ref="H277">CountChar(aoc_02_input[[#This Row],[Password]],aoc_02_input[[#This Row],[Char]])</f>
        <v>12</v>
      </c>
      <c r="I277" s="1">
        <f>IF(AND(aoc_02_input[[#This Row],[Int1]]&lt;=aoc_02_input[[#This Row],[CountOfChar]],aoc_02_input[[#This Row],[CountOfChar]]&lt;=aoc_02_input[[#This Row],[Int2]]),1,0)</f>
        <v>1</v>
      </c>
      <c r="J277" s="1" t="str">
        <f>MID(aoc_02_input[[#This Row],[Password]],aoc_02_input[[#This Row],[Int1]],1)</f>
        <v>k</v>
      </c>
      <c r="K277" s="1">
        <f>IF(aoc_02_input[[#This Row],[Pos1]]=aoc_02_input[[#This Row],[Char]],1,0)</f>
        <v>1</v>
      </c>
      <c r="L277" s="1" t="str">
        <f>MID(aoc_02_input[[#This Row],[Password]],aoc_02_input[[#This Row],[Int2]],1)</f>
        <v>k</v>
      </c>
      <c r="M277" s="1">
        <f>IF(aoc_02_input[[#This Row],[Pos2]]=aoc_02_input[[#This Row],[Char]],1,0)</f>
        <v>1</v>
      </c>
      <c r="N277" s="1">
        <f>IF(aoc_02_input[[#This Row],[Pos1Valid]]&lt;&gt;aoc_02_input[[#This Row],[Pos2Valid]],1,0)</f>
        <v>0</v>
      </c>
    </row>
    <row r="278" spans="1:14" x14ac:dyDescent="0.45">
      <c r="A278" s="1" t="s">
        <v>441</v>
      </c>
      <c r="B278" s="1" t="s">
        <v>225</v>
      </c>
      <c r="C278" s="1" t="s">
        <v>607</v>
      </c>
      <c r="D278" s="1">
        <f>FIND("-",aoc_02_input[[#This Row],[InputNumbers]])</f>
        <v>3</v>
      </c>
      <c r="E278" s="1">
        <f>_xlfn.NUMBERVALUE(LEFT(aoc_02_input[[#This Row],[InputNumbers]],aoc_02_input[[#This Row],[PosDash]]-1))</f>
        <v>11</v>
      </c>
      <c r="F278" s="1">
        <f>_xlfn.NUMBERVALUE(MID(aoc_02_input[[#This Row],[InputNumbers]],aoc_02_input[[#This Row],[PosDash]]+1,5))</f>
        <v>13</v>
      </c>
      <c r="G278" s="1" t="str">
        <f>LEFT(aoc_02_input[[#This Row],[InputChar]],1)</f>
        <v>j</v>
      </c>
      <c r="H278" s="1" cm="1">
        <f t="array" ref="H278">CountChar(aoc_02_input[[#This Row],[Password]],aoc_02_input[[#This Row],[Char]])</f>
        <v>12</v>
      </c>
      <c r="I278" s="1">
        <f>IF(AND(aoc_02_input[[#This Row],[Int1]]&lt;=aoc_02_input[[#This Row],[CountOfChar]],aoc_02_input[[#This Row],[CountOfChar]]&lt;=aoc_02_input[[#This Row],[Int2]]),1,0)</f>
        <v>1</v>
      </c>
      <c r="J278" s="1" t="str">
        <f>MID(aoc_02_input[[#This Row],[Password]],aoc_02_input[[#This Row],[Int1]],1)</f>
        <v>q</v>
      </c>
      <c r="K278" s="1">
        <f>IF(aoc_02_input[[#This Row],[Pos1]]=aoc_02_input[[#This Row],[Char]],1,0)</f>
        <v>0</v>
      </c>
      <c r="L278" s="1" t="str">
        <f>MID(aoc_02_input[[#This Row],[Password]],aoc_02_input[[#This Row],[Int2]],1)</f>
        <v>j</v>
      </c>
      <c r="M278" s="1">
        <f>IF(aoc_02_input[[#This Row],[Pos2]]=aoc_02_input[[#This Row],[Char]],1,0)</f>
        <v>1</v>
      </c>
      <c r="N278" s="1">
        <f>IF(aoc_02_input[[#This Row],[Pos1Valid]]&lt;&gt;aoc_02_input[[#This Row],[Pos2Valid]],1,0)</f>
        <v>1</v>
      </c>
    </row>
    <row r="279" spans="1:14" x14ac:dyDescent="0.45">
      <c r="A279" s="1" t="s">
        <v>473</v>
      </c>
      <c r="B279" s="1" t="s">
        <v>314</v>
      </c>
      <c r="C279" s="1" t="s">
        <v>608</v>
      </c>
      <c r="D279" s="1">
        <f>FIND("-",aoc_02_input[[#This Row],[InputNumbers]])</f>
        <v>2</v>
      </c>
      <c r="E279" s="1">
        <f>_xlfn.NUMBERVALUE(LEFT(aoc_02_input[[#This Row],[InputNumbers]],aoc_02_input[[#This Row],[PosDash]]-1))</f>
        <v>2</v>
      </c>
      <c r="F279" s="1">
        <f>_xlfn.NUMBERVALUE(MID(aoc_02_input[[#This Row],[InputNumbers]],aoc_02_input[[#This Row],[PosDash]]+1,5))</f>
        <v>6</v>
      </c>
      <c r="G279" s="1" t="str">
        <f>LEFT(aoc_02_input[[#This Row],[InputChar]],1)</f>
        <v>h</v>
      </c>
      <c r="H279" s="1" cm="1">
        <f t="array" ref="H279">CountChar(aoc_02_input[[#This Row],[Password]],aoc_02_input[[#This Row],[Char]])</f>
        <v>5</v>
      </c>
      <c r="I279" s="1">
        <f>IF(AND(aoc_02_input[[#This Row],[Int1]]&lt;=aoc_02_input[[#This Row],[CountOfChar]],aoc_02_input[[#This Row],[CountOfChar]]&lt;=aoc_02_input[[#This Row],[Int2]]),1,0)</f>
        <v>1</v>
      </c>
      <c r="J279" s="1" t="str">
        <f>MID(aoc_02_input[[#This Row],[Password]],aoc_02_input[[#This Row],[Int1]],1)</f>
        <v>h</v>
      </c>
      <c r="K279" s="1">
        <f>IF(aoc_02_input[[#This Row],[Pos1]]=aoc_02_input[[#This Row],[Char]],1,0)</f>
        <v>1</v>
      </c>
      <c r="L279" s="1" t="str">
        <f>MID(aoc_02_input[[#This Row],[Password]],aoc_02_input[[#This Row],[Int2]],1)</f>
        <v>h</v>
      </c>
      <c r="M279" s="1">
        <f>IF(aoc_02_input[[#This Row],[Pos2]]=aoc_02_input[[#This Row],[Char]],1,0)</f>
        <v>1</v>
      </c>
      <c r="N279" s="1">
        <f>IF(aoc_02_input[[#This Row],[Pos1Valid]]&lt;&gt;aoc_02_input[[#This Row],[Pos2Valid]],1,0)</f>
        <v>0</v>
      </c>
    </row>
    <row r="280" spans="1:14" x14ac:dyDescent="0.45">
      <c r="A280" s="1" t="s">
        <v>227</v>
      </c>
      <c r="B280" s="1" t="s">
        <v>252</v>
      </c>
      <c r="C280" s="1" t="s">
        <v>609</v>
      </c>
      <c r="D280" s="1">
        <f>FIND("-",aoc_02_input[[#This Row],[InputNumbers]])</f>
        <v>2</v>
      </c>
      <c r="E280" s="1">
        <f>_xlfn.NUMBERVALUE(LEFT(aoc_02_input[[#This Row],[InputNumbers]],aoc_02_input[[#This Row],[PosDash]]-1))</f>
        <v>4</v>
      </c>
      <c r="F280" s="1">
        <f>_xlfn.NUMBERVALUE(MID(aoc_02_input[[#This Row],[InputNumbers]],aoc_02_input[[#This Row],[PosDash]]+1,5))</f>
        <v>5</v>
      </c>
      <c r="G280" s="1" t="str">
        <f>LEFT(aoc_02_input[[#This Row],[InputChar]],1)</f>
        <v>p</v>
      </c>
      <c r="H280" s="1" cm="1">
        <f t="array" ref="H280">CountChar(aoc_02_input[[#This Row],[Password]],aoc_02_input[[#This Row],[Char]])</f>
        <v>6</v>
      </c>
      <c r="I280" s="1">
        <f>IF(AND(aoc_02_input[[#This Row],[Int1]]&lt;=aoc_02_input[[#This Row],[CountOfChar]],aoc_02_input[[#This Row],[CountOfChar]]&lt;=aoc_02_input[[#This Row],[Int2]]),1,0)</f>
        <v>0</v>
      </c>
      <c r="J280" s="1" t="str">
        <f>MID(aoc_02_input[[#This Row],[Password]],aoc_02_input[[#This Row],[Int1]],1)</f>
        <v>p</v>
      </c>
      <c r="K280" s="1">
        <f>IF(aoc_02_input[[#This Row],[Pos1]]=aoc_02_input[[#This Row],[Char]],1,0)</f>
        <v>1</v>
      </c>
      <c r="L280" s="1" t="str">
        <f>MID(aoc_02_input[[#This Row],[Password]],aoc_02_input[[#This Row],[Int2]],1)</f>
        <v>m</v>
      </c>
      <c r="M280" s="1">
        <f>IF(aoc_02_input[[#This Row],[Pos2]]=aoc_02_input[[#This Row],[Char]],1,0)</f>
        <v>0</v>
      </c>
      <c r="N280" s="1">
        <f>IF(aoc_02_input[[#This Row],[Pos1Valid]]&lt;&gt;aoc_02_input[[#This Row],[Pos2Valid]],1,0)</f>
        <v>1</v>
      </c>
    </row>
    <row r="281" spans="1:14" x14ac:dyDescent="0.45">
      <c r="A281" s="1" t="s">
        <v>330</v>
      </c>
      <c r="B281" s="1" t="s">
        <v>314</v>
      </c>
      <c r="C281" s="1" t="s">
        <v>610</v>
      </c>
      <c r="D281" s="1">
        <f>FIND("-",aoc_02_input[[#This Row],[InputNumbers]])</f>
        <v>3</v>
      </c>
      <c r="E281" s="1">
        <f>_xlfn.NUMBERVALUE(LEFT(aoc_02_input[[#This Row],[InputNumbers]],aoc_02_input[[#This Row],[PosDash]]-1))</f>
        <v>13</v>
      </c>
      <c r="F281" s="1">
        <f>_xlfn.NUMBERVALUE(MID(aoc_02_input[[#This Row],[InputNumbers]],aoc_02_input[[#This Row],[PosDash]]+1,5))</f>
        <v>14</v>
      </c>
      <c r="G281" s="1" t="str">
        <f>LEFT(aoc_02_input[[#This Row],[InputChar]],1)</f>
        <v>h</v>
      </c>
      <c r="H281" s="1" cm="1">
        <f t="array" ref="H281">CountChar(aoc_02_input[[#This Row],[Password]],aoc_02_input[[#This Row],[Char]])</f>
        <v>10</v>
      </c>
      <c r="I281" s="1">
        <f>IF(AND(aoc_02_input[[#This Row],[Int1]]&lt;=aoc_02_input[[#This Row],[CountOfChar]],aoc_02_input[[#This Row],[CountOfChar]]&lt;=aoc_02_input[[#This Row],[Int2]]),1,0)</f>
        <v>0</v>
      </c>
      <c r="J281" s="1" t="str">
        <f>MID(aoc_02_input[[#This Row],[Password]],aoc_02_input[[#This Row],[Int1]],1)</f>
        <v>h</v>
      </c>
      <c r="K281" s="1">
        <f>IF(aoc_02_input[[#This Row],[Pos1]]=aoc_02_input[[#This Row],[Char]],1,0)</f>
        <v>1</v>
      </c>
      <c r="L281" s="1" t="str">
        <f>MID(aoc_02_input[[#This Row],[Password]],aoc_02_input[[#This Row],[Int2]],1)</f>
        <v>h</v>
      </c>
      <c r="M281" s="1">
        <f>IF(aoc_02_input[[#This Row],[Pos2]]=aoc_02_input[[#This Row],[Char]],1,0)</f>
        <v>1</v>
      </c>
      <c r="N281" s="1">
        <f>IF(aoc_02_input[[#This Row],[Pos1Valid]]&lt;&gt;aoc_02_input[[#This Row],[Pos2Valid]],1,0)</f>
        <v>0</v>
      </c>
    </row>
    <row r="282" spans="1:14" x14ac:dyDescent="0.45">
      <c r="A282" s="1" t="s">
        <v>324</v>
      </c>
      <c r="B282" s="1" t="s">
        <v>246</v>
      </c>
      <c r="C282" s="1" t="s">
        <v>611</v>
      </c>
      <c r="D282" s="1">
        <f>FIND("-",aoc_02_input[[#This Row],[InputNumbers]])</f>
        <v>2</v>
      </c>
      <c r="E282" s="1">
        <f>_xlfn.NUMBERVALUE(LEFT(aoc_02_input[[#This Row],[InputNumbers]],aoc_02_input[[#This Row],[PosDash]]-1))</f>
        <v>1</v>
      </c>
      <c r="F282" s="1">
        <f>_xlfn.NUMBERVALUE(MID(aoc_02_input[[#This Row],[InputNumbers]],aoc_02_input[[#This Row],[PosDash]]+1,5))</f>
        <v>3</v>
      </c>
      <c r="G282" s="1" t="str">
        <f>LEFT(aoc_02_input[[#This Row],[InputChar]],1)</f>
        <v>n</v>
      </c>
      <c r="H282" s="1" cm="1">
        <f t="array" ref="H282">CountChar(aoc_02_input[[#This Row],[Password]],aoc_02_input[[#This Row],[Char]])</f>
        <v>4</v>
      </c>
      <c r="I282" s="1">
        <f>IF(AND(aoc_02_input[[#This Row],[Int1]]&lt;=aoc_02_input[[#This Row],[CountOfChar]],aoc_02_input[[#This Row],[CountOfChar]]&lt;=aoc_02_input[[#This Row],[Int2]]),1,0)</f>
        <v>0</v>
      </c>
      <c r="J282" s="1" t="str">
        <f>MID(aoc_02_input[[#This Row],[Password]],aoc_02_input[[#This Row],[Int1]],1)</f>
        <v>m</v>
      </c>
      <c r="K282" s="1">
        <f>IF(aoc_02_input[[#This Row],[Pos1]]=aoc_02_input[[#This Row],[Char]],1,0)</f>
        <v>0</v>
      </c>
      <c r="L282" s="1" t="str">
        <f>MID(aoc_02_input[[#This Row],[Password]],aoc_02_input[[#This Row],[Int2]],1)</f>
        <v>n</v>
      </c>
      <c r="M282" s="1">
        <f>IF(aoc_02_input[[#This Row],[Pos2]]=aoc_02_input[[#This Row],[Char]],1,0)</f>
        <v>1</v>
      </c>
      <c r="N282" s="1">
        <f>IF(aoc_02_input[[#This Row],[Pos1Valid]]&lt;&gt;aoc_02_input[[#This Row],[Pos2Valid]],1,0)</f>
        <v>1</v>
      </c>
    </row>
    <row r="283" spans="1:14" x14ac:dyDescent="0.45">
      <c r="A283" s="1" t="s">
        <v>612</v>
      </c>
      <c r="B283" s="1" t="s">
        <v>252</v>
      </c>
      <c r="C283" s="1" t="s">
        <v>613</v>
      </c>
      <c r="D283" s="1">
        <f>FIND("-",aoc_02_input[[#This Row],[InputNumbers]])</f>
        <v>2</v>
      </c>
      <c r="E283" s="1">
        <f>_xlfn.NUMBERVALUE(LEFT(aoc_02_input[[#This Row],[InputNumbers]],aoc_02_input[[#This Row],[PosDash]]-1))</f>
        <v>8</v>
      </c>
      <c r="F283" s="1">
        <f>_xlfn.NUMBERVALUE(MID(aoc_02_input[[#This Row],[InputNumbers]],aoc_02_input[[#This Row],[PosDash]]+1,5))</f>
        <v>14</v>
      </c>
      <c r="G283" s="1" t="str">
        <f>LEFT(aoc_02_input[[#This Row],[InputChar]],1)</f>
        <v>p</v>
      </c>
      <c r="H283" s="1" cm="1">
        <f t="array" ref="H283">CountChar(aoc_02_input[[#This Row],[Password]],aoc_02_input[[#This Row],[Char]])</f>
        <v>3</v>
      </c>
      <c r="I283" s="1">
        <f>IF(AND(aoc_02_input[[#This Row],[Int1]]&lt;=aoc_02_input[[#This Row],[CountOfChar]],aoc_02_input[[#This Row],[CountOfChar]]&lt;=aoc_02_input[[#This Row],[Int2]]),1,0)</f>
        <v>0</v>
      </c>
      <c r="J283" s="1" t="str">
        <f>MID(aoc_02_input[[#This Row],[Password]],aoc_02_input[[#This Row],[Int1]],1)</f>
        <v>x</v>
      </c>
      <c r="K283" s="1">
        <f>IF(aoc_02_input[[#This Row],[Pos1]]=aoc_02_input[[#This Row],[Char]],1,0)</f>
        <v>0</v>
      </c>
      <c r="L283" s="1" t="str">
        <f>MID(aoc_02_input[[#This Row],[Password]],aoc_02_input[[#This Row],[Int2]],1)</f>
        <v>s</v>
      </c>
      <c r="M283" s="1">
        <f>IF(aoc_02_input[[#This Row],[Pos2]]=aoc_02_input[[#This Row],[Char]],1,0)</f>
        <v>0</v>
      </c>
      <c r="N283" s="1">
        <f>IF(aoc_02_input[[#This Row],[Pos1Valid]]&lt;&gt;aoc_02_input[[#This Row],[Pos2Valid]],1,0)</f>
        <v>0</v>
      </c>
    </row>
    <row r="284" spans="1:14" x14ac:dyDescent="0.45">
      <c r="A284" s="1" t="s">
        <v>380</v>
      </c>
      <c r="B284" s="1" t="s">
        <v>207</v>
      </c>
      <c r="C284" s="1" t="s">
        <v>614</v>
      </c>
      <c r="D284" s="1">
        <f>FIND("-",aoc_02_input[[#This Row],[InputNumbers]])</f>
        <v>2</v>
      </c>
      <c r="E284" s="1">
        <f>_xlfn.NUMBERVALUE(LEFT(aoc_02_input[[#This Row],[InputNumbers]],aoc_02_input[[#This Row],[PosDash]]-1))</f>
        <v>3</v>
      </c>
      <c r="F284" s="1">
        <f>_xlfn.NUMBERVALUE(MID(aoc_02_input[[#This Row],[InputNumbers]],aoc_02_input[[#This Row],[PosDash]]+1,5))</f>
        <v>7</v>
      </c>
      <c r="G284" s="1" t="str">
        <f>LEFT(aoc_02_input[[#This Row],[InputChar]],1)</f>
        <v>b</v>
      </c>
      <c r="H284" s="1" cm="1">
        <f t="array" ref="H284">CountChar(aoc_02_input[[#This Row],[Password]],aoc_02_input[[#This Row],[Char]])</f>
        <v>6</v>
      </c>
      <c r="I284" s="1">
        <f>IF(AND(aoc_02_input[[#This Row],[Int1]]&lt;=aoc_02_input[[#This Row],[CountOfChar]],aoc_02_input[[#This Row],[CountOfChar]]&lt;=aoc_02_input[[#This Row],[Int2]]),1,0)</f>
        <v>1</v>
      </c>
      <c r="J284" s="1" t="str">
        <f>MID(aoc_02_input[[#This Row],[Password]],aoc_02_input[[#This Row],[Int1]],1)</f>
        <v>b</v>
      </c>
      <c r="K284" s="1">
        <f>IF(aoc_02_input[[#This Row],[Pos1]]=aoc_02_input[[#This Row],[Char]],1,0)</f>
        <v>1</v>
      </c>
      <c r="L284" s="1" t="str">
        <f>MID(aoc_02_input[[#This Row],[Password]],aoc_02_input[[#This Row],[Int2]],1)</f>
        <v>f</v>
      </c>
      <c r="M284" s="1">
        <f>IF(aoc_02_input[[#This Row],[Pos2]]=aoc_02_input[[#This Row],[Char]],1,0)</f>
        <v>0</v>
      </c>
      <c r="N284" s="1">
        <f>IF(aoc_02_input[[#This Row],[Pos1Valid]]&lt;&gt;aoc_02_input[[#This Row],[Pos2Valid]],1,0)</f>
        <v>1</v>
      </c>
    </row>
    <row r="285" spans="1:14" x14ac:dyDescent="0.45">
      <c r="A285" s="1" t="s">
        <v>357</v>
      </c>
      <c r="B285" s="1" t="s">
        <v>305</v>
      </c>
      <c r="C285" s="1" t="s">
        <v>615</v>
      </c>
      <c r="D285" s="1">
        <f>FIND("-",aoc_02_input[[#This Row],[InputNumbers]])</f>
        <v>3</v>
      </c>
      <c r="E285" s="1">
        <f>_xlfn.NUMBERVALUE(LEFT(aoc_02_input[[#This Row],[InputNumbers]],aoc_02_input[[#This Row],[PosDash]]-1))</f>
        <v>13</v>
      </c>
      <c r="F285" s="1">
        <f>_xlfn.NUMBERVALUE(MID(aoc_02_input[[#This Row],[InputNumbers]],aoc_02_input[[#This Row],[PosDash]]+1,5))</f>
        <v>15</v>
      </c>
      <c r="G285" s="1" t="str">
        <f>LEFT(aoc_02_input[[#This Row],[InputChar]],1)</f>
        <v>s</v>
      </c>
      <c r="H285" s="1" cm="1">
        <f t="array" ref="H285">CountChar(aoc_02_input[[#This Row],[Password]],aoc_02_input[[#This Row],[Char]])</f>
        <v>12</v>
      </c>
      <c r="I285" s="1">
        <f>IF(AND(aoc_02_input[[#This Row],[Int1]]&lt;=aoc_02_input[[#This Row],[CountOfChar]],aoc_02_input[[#This Row],[CountOfChar]]&lt;=aoc_02_input[[#This Row],[Int2]]),1,0)</f>
        <v>0</v>
      </c>
      <c r="J285" s="1" t="str">
        <f>MID(aoc_02_input[[#This Row],[Password]],aoc_02_input[[#This Row],[Int1]],1)</f>
        <v>b</v>
      </c>
      <c r="K285" s="1">
        <f>IF(aoc_02_input[[#This Row],[Pos1]]=aoc_02_input[[#This Row],[Char]],1,0)</f>
        <v>0</v>
      </c>
      <c r="L285" s="1" t="str">
        <f>MID(aoc_02_input[[#This Row],[Password]],aoc_02_input[[#This Row],[Int2]],1)</f>
        <v>s</v>
      </c>
      <c r="M285" s="1">
        <f>IF(aoc_02_input[[#This Row],[Pos2]]=aoc_02_input[[#This Row],[Char]],1,0)</f>
        <v>1</v>
      </c>
      <c r="N285" s="1">
        <f>IF(aoc_02_input[[#This Row],[Pos1Valid]]&lt;&gt;aoc_02_input[[#This Row],[Pos2Valid]],1,0)</f>
        <v>1</v>
      </c>
    </row>
    <row r="286" spans="1:14" x14ac:dyDescent="0.45">
      <c r="A286" s="1" t="s">
        <v>616</v>
      </c>
      <c r="B286" s="1" t="s">
        <v>219</v>
      </c>
      <c r="C286" s="1" t="s">
        <v>617</v>
      </c>
      <c r="D286" s="1">
        <f>FIND("-",aoc_02_input[[#This Row],[InputNumbers]])</f>
        <v>2</v>
      </c>
      <c r="E286" s="1">
        <f>_xlfn.NUMBERVALUE(LEFT(aoc_02_input[[#This Row],[InputNumbers]],aoc_02_input[[#This Row],[PosDash]]-1))</f>
        <v>8</v>
      </c>
      <c r="F286" s="1">
        <f>_xlfn.NUMBERVALUE(MID(aoc_02_input[[#This Row],[InputNumbers]],aoc_02_input[[#This Row],[PosDash]]+1,5))</f>
        <v>12</v>
      </c>
      <c r="G286" s="1" t="str">
        <f>LEFT(aoc_02_input[[#This Row],[InputChar]],1)</f>
        <v>g</v>
      </c>
      <c r="H286" s="1" cm="1">
        <f t="array" ref="H286">CountChar(aoc_02_input[[#This Row],[Password]],aoc_02_input[[#This Row],[Char]])</f>
        <v>9</v>
      </c>
      <c r="I286" s="1">
        <f>IF(AND(aoc_02_input[[#This Row],[Int1]]&lt;=aoc_02_input[[#This Row],[CountOfChar]],aoc_02_input[[#This Row],[CountOfChar]]&lt;=aoc_02_input[[#This Row],[Int2]]),1,0)</f>
        <v>1</v>
      </c>
      <c r="J286" s="1" t="str">
        <f>MID(aoc_02_input[[#This Row],[Password]],aoc_02_input[[#This Row],[Int1]],1)</f>
        <v>x</v>
      </c>
      <c r="K286" s="1">
        <f>IF(aoc_02_input[[#This Row],[Pos1]]=aoc_02_input[[#This Row],[Char]],1,0)</f>
        <v>0</v>
      </c>
      <c r="L286" s="1" t="str">
        <f>MID(aoc_02_input[[#This Row],[Password]],aoc_02_input[[#This Row],[Int2]],1)</f>
        <v>k</v>
      </c>
      <c r="M286" s="1">
        <f>IF(aoc_02_input[[#This Row],[Pos2]]=aoc_02_input[[#This Row],[Char]],1,0)</f>
        <v>0</v>
      </c>
      <c r="N286" s="1">
        <f>IF(aoc_02_input[[#This Row],[Pos1Valid]]&lt;&gt;aoc_02_input[[#This Row],[Pos2Valid]],1,0)</f>
        <v>0</v>
      </c>
    </row>
    <row r="287" spans="1:14" x14ac:dyDescent="0.45">
      <c r="A287" s="1" t="s">
        <v>288</v>
      </c>
      <c r="B287" s="1" t="s">
        <v>243</v>
      </c>
      <c r="C287" s="1" t="s">
        <v>618</v>
      </c>
      <c r="D287" s="1">
        <f>FIND("-",aoc_02_input[[#This Row],[InputNumbers]])</f>
        <v>2</v>
      </c>
      <c r="E287" s="1">
        <f>_xlfn.NUMBERVALUE(LEFT(aoc_02_input[[#This Row],[InputNumbers]],aoc_02_input[[#This Row],[PosDash]]-1))</f>
        <v>1</v>
      </c>
      <c r="F287" s="1">
        <f>_xlfn.NUMBERVALUE(MID(aoc_02_input[[#This Row],[InputNumbers]],aoc_02_input[[#This Row],[PosDash]]+1,5))</f>
        <v>4</v>
      </c>
      <c r="G287" s="1" t="str">
        <f>LEFT(aoc_02_input[[#This Row],[InputChar]],1)</f>
        <v>f</v>
      </c>
      <c r="H287" s="1" cm="1">
        <f t="array" ref="H287">CountChar(aoc_02_input[[#This Row],[Password]],aoc_02_input[[#This Row],[Char]])</f>
        <v>2</v>
      </c>
      <c r="I287" s="1">
        <f>IF(AND(aoc_02_input[[#This Row],[Int1]]&lt;=aoc_02_input[[#This Row],[CountOfChar]],aoc_02_input[[#This Row],[CountOfChar]]&lt;=aoc_02_input[[#This Row],[Int2]]),1,0)</f>
        <v>1</v>
      </c>
      <c r="J287" s="1" t="str">
        <f>MID(aoc_02_input[[#This Row],[Password]],aoc_02_input[[#This Row],[Int1]],1)</f>
        <v>f</v>
      </c>
      <c r="K287" s="1">
        <f>IF(aoc_02_input[[#This Row],[Pos1]]=aoc_02_input[[#This Row],[Char]],1,0)</f>
        <v>1</v>
      </c>
      <c r="L287" s="1" t="str">
        <f>MID(aoc_02_input[[#This Row],[Password]],aoc_02_input[[#This Row],[Int2]],1)</f>
        <v>x</v>
      </c>
      <c r="M287" s="1">
        <f>IF(aoc_02_input[[#This Row],[Pos2]]=aoc_02_input[[#This Row],[Char]],1,0)</f>
        <v>0</v>
      </c>
      <c r="N287" s="1">
        <f>IF(aoc_02_input[[#This Row],[Pos1Valid]]&lt;&gt;aoc_02_input[[#This Row],[Pos2Valid]],1,0)</f>
        <v>1</v>
      </c>
    </row>
    <row r="288" spans="1:14" x14ac:dyDescent="0.45">
      <c r="A288" s="1" t="s">
        <v>218</v>
      </c>
      <c r="B288" s="1" t="s">
        <v>222</v>
      </c>
      <c r="C288" s="1" t="s">
        <v>619</v>
      </c>
      <c r="D288" s="1">
        <f>FIND("-",aoc_02_input[[#This Row],[InputNumbers]])</f>
        <v>2</v>
      </c>
      <c r="E288" s="1">
        <f>_xlfn.NUMBERVALUE(LEFT(aoc_02_input[[#This Row],[InputNumbers]],aoc_02_input[[#This Row],[PosDash]]-1))</f>
        <v>6</v>
      </c>
      <c r="F288" s="1">
        <f>_xlfn.NUMBERVALUE(MID(aoc_02_input[[#This Row],[InputNumbers]],aoc_02_input[[#This Row],[PosDash]]+1,5))</f>
        <v>8</v>
      </c>
      <c r="G288" s="1" t="str">
        <f>LEFT(aoc_02_input[[#This Row],[InputChar]],1)</f>
        <v>l</v>
      </c>
      <c r="H288" s="1" cm="1">
        <f t="array" ref="H288">CountChar(aoc_02_input[[#This Row],[Password]],aoc_02_input[[#This Row],[Char]])</f>
        <v>6</v>
      </c>
      <c r="I288" s="1">
        <f>IF(AND(aoc_02_input[[#This Row],[Int1]]&lt;=aoc_02_input[[#This Row],[CountOfChar]],aoc_02_input[[#This Row],[CountOfChar]]&lt;=aoc_02_input[[#This Row],[Int2]]),1,0)</f>
        <v>1</v>
      </c>
      <c r="J288" s="1" t="str">
        <f>MID(aoc_02_input[[#This Row],[Password]],aoc_02_input[[#This Row],[Int1]],1)</f>
        <v>l</v>
      </c>
      <c r="K288" s="1">
        <f>IF(aoc_02_input[[#This Row],[Pos1]]=aoc_02_input[[#This Row],[Char]],1,0)</f>
        <v>1</v>
      </c>
      <c r="L288" s="1" t="str">
        <f>MID(aoc_02_input[[#This Row],[Password]],aoc_02_input[[#This Row],[Int2]],1)</f>
        <v>l</v>
      </c>
      <c r="M288" s="1">
        <f>IF(aoc_02_input[[#This Row],[Pos2]]=aoc_02_input[[#This Row],[Char]],1,0)</f>
        <v>1</v>
      </c>
      <c r="N288" s="1">
        <f>IF(aoc_02_input[[#This Row],[Pos1Valid]]&lt;&gt;aoc_02_input[[#This Row],[Pos2Valid]],1,0)</f>
        <v>0</v>
      </c>
    </row>
    <row r="289" spans="1:14" x14ac:dyDescent="0.45">
      <c r="A289" s="1" t="s">
        <v>561</v>
      </c>
      <c r="B289" s="1" t="s">
        <v>222</v>
      </c>
      <c r="C289" s="1" t="s">
        <v>620</v>
      </c>
      <c r="D289" s="1">
        <f>FIND("-",aoc_02_input[[#This Row],[InputNumbers]])</f>
        <v>2</v>
      </c>
      <c r="E289" s="1">
        <f>_xlfn.NUMBERVALUE(LEFT(aoc_02_input[[#This Row],[InputNumbers]],aoc_02_input[[#This Row],[PosDash]]-1))</f>
        <v>4</v>
      </c>
      <c r="F289" s="1">
        <f>_xlfn.NUMBERVALUE(MID(aoc_02_input[[#This Row],[InputNumbers]],aoc_02_input[[#This Row],[PosDash]]+1,5))</f>
        <v>14</v>
      </c>
      <c r="G289" s="1" t="str">
        <f>LEFT(aoc_02_input[[#This Row],[InputChar]],1)</f>
        <v>l</v>
      </c>
      <c r="H289" s="1" cm="1">
        <f t="array" ref="H289">CountChar(aoc_02_input[[#This Row],[Password]],aoc_02_input[[#This Row],[Char]])</f>
        <v>1</v>
      </c>
      <c r="I289" s="1">
        <f>IF(AND(aoc_02_input[[#This Row],[Int1]]&lt;=aoc_02_input[[#This Row],[CountOfChar]],aoc_02_input[[#This Row],[CountOfChar]]&lt;=aoc_02_input[[#This Row],[Int2]]),1,0)</f>
        <v>0</v>
      </c>
      <c r="J289" s="1" t="str">
        <f>MID(aoc_02_input[[#This Row],[Password]],aoc_02_input[[#This Row],[Int1]],1)</f>
        <v>p</v>
      </c>
      <c r="K289" s="1">
        <f>IF(aoc_02_input[[#This Row],[Pos1]]=aoc_02_input[[#This Row],[Char]],1,0)</f>
        <v>0</v>
      </c>
      <c r="L289" s="1" t="str">
        <f>MID(aoc_02_input[[#This Row],[Password]],aoc_02_input[[#This Row],[Int2]],1)</f>
        <v>m</v>
      </c>
      <c r="M289" s="1">
        <f>IF(aoc_02_input[[#This Row],[Pos2]]=aoc_02_input[[#This Row],[Char]],1,0)</f>
        <v>0</v>
      </c>
      <c r="N289" s="1">
        <f>IF(aoc_02_input[[#This Row],[Pos1Valid]]&lt;&gt;aoc_02_input[[#This Row],[Pos2Valid]],1,0)</f>
        <v>0</v>
      </c>
    </row>
    <row r="290" spans="1:14" x14ac:dyDescent="0.45">
      <c r="A290" s="1" t="s">
        <v>307</v>
      </c>
      <c r="B290" s="1" t="s">
        <v>207</v>
      </c>
      <c r="C290" s="1" t="s">
        <v>621</v>
      </c>
      <c r="D290" s="1">
        <f>FIND("-",aoc_02_input[[#This Row],[InputNumbers]])</f>
        <v>2</v>
      </c>
      <c r="E290" s="1">
        <f>_xlfn.NUMBERVALUE(LEFT(aoc_02_input[[#This Row],[InputNumbers]],aoc_02_input[[#This Row],[PosDash]]-1))</f>
        <v>3</v>
      </c>
      <c r="F290" s="1">
        <f>_xlfn.NUMBERVALUE(MID(aoc_02_input[[#This Row],[InputNumbers]],aoc_02_input[[#This Row],[PosDash]]+1,5))</f>
        <v>5</v>
      </c>
      <c r="G290" s="1" t="str">
        <f>LEFT(aoc_02_input[[#This Row],[InputChar]],1)</f>
        <v>b</v>
      </c>
      <c r="H290" s="1" cm="1">
        <f t="array" ref="H290">CountChar(aoc_02_input[[#This Row],[Password]],aoc_02_input[[#This Row],[Char]])</f>
        <v>3</v>
      </c>
      <c r="I290" s="1">
        <f>IF(AND(aoc_02_input[[#This Row],[Int1]]&lt;=aoc_02_input[[#This Row],[CountOfChar]],aoc_02_input[[#This Row],[CountOfChar]]&lt;=aoc_02_input[[#This Row],[Int2]]),1,0)</f>
        <v>1</v>
      </c>
      <c r="J290" s="1" t="str">
        <f>MID(aoc_02_input[[#This Row],[Password]],aoc_02_input[[#This Row],[Int1]],1)</f>
        <v>b</v>
      </c>
      <c r="K290" s="1">
        <f>IF(aoc_02_input[[#This Row],[Pos1]]=aoc_02_input[[#This Row],[Char]],1,0)</f>
        <v>1</v>
      </c>
      <c r="L290" s="1" t="str">
        <f>MID(aoc_02_input[[#This Row],[Password]],aoc_02_input[[#This Row],[Int2]],1)</f>
        <v>b</v>
      </c>
      <c r="M290" s="1">
        <f>IF(aoc_02_input[[#This Row],[Pos2]]=aoc_02_input[[#This Row],[Char]],1,0)</f>
        <v>1</v>
      </c>
      <c r="N290" s="1">
        <f>IF(aoc_02_input[[#This Row],[Pos1Valid]]&lt;&gt;aoc_02_input[[#This Row],[Pos2Valid]],1,0)</f>
        <v>0</v>
      </c>
    </row>
    <row r="291" spans="1:14" x14ac:dyDescent="0.45">
      <c r="A291" s="1" t="s">
        <v>269</v>
      </c>
      <c r="B291" s="1" t="s">
        <v>207</v>
      </c>
      <c r="C291" s="1" t="s">
        <v>622</v>
      </c>
      <c r="D291" s="1">
        <f>FIND("-",aoc_02_input[[#This Row],[InputNumbers]])</f>
        <v>2</v>
      </c>
      <c r="E291" s="1">
        <f>_xlfn.NUMBERVALUE(LEFT(aoc_02_input[[#This Row],[InputNumbers]],aoc_02_input[[#This Row],[PosDash]]-1))</f>
        <v>4</v>
      </c>
      <c r="F291" s="1">
        <f>_xlfn.NUMBERVALUE(MID(aoc_02_input[[#This Row],[InputNumbers]],aoc_02_input[[#This Row],[PosDash]]+1,5))</f>
        <v>9</v>
      </c>
      <c r="G291" s="1" t="str">
        <f>LEFT(aoc_02_input[[#This Row],[InputChar]],1)</f>
        <v>b</v>
      </c>
      <c r="H291" s="1" cm="1">
        <f t="array" ref="H291">CountChar(aoc_02_input[[#This Row],[Password]],aoc_02_input[[#This Row],[Char]])</f>
        <v>5</v>
      </c>
      <c r="I291" s="1">
        <f>IF(AND(aoc_02_input[[#This Row],[Int1]]&lt;=aoc_02_input[[#This Row],[CountOfChar]],aoc_02_input[[#This Row],[CountOfChar]]&lt;=aoc_02_input[[#This Row],[Int2]]),1,0)</f>
        <v>1</v>
      </c>
      <c r="J291" s="1" t="str">
        <f>MID(aoc_02_input[[#This Row],[Password]],aoc_02_input[[#This Row],[Int1]],1)</f>
        <v>p</v>
      </c>
      <c r="K291" s="1">
        <f>IF(aoc_02_input[[#This Row],[Pos1]]=aoc_02_input[[#This Row],[Char]],1,0)</f>
        <v>0</v>
      </c>
      <c r="L291" s="1" t="str">
        <f>MID(aoc_02_input[[#This Row],[Password]],aoc_02_input[[#This Row],[Int2]],1)</f>
        <v>k</v>
      </c>
      <c r="M291" s="1">
        <f>IF(aoc_02_input[[#This Row],[Pos2]]=aoc_02_input[[#This Row],[Char]],1,0)</f>
        <v>0</v>
      </c>
      <c r="N291" s="1">
        <f>IF(aoc_02_input[[#This Row],[Pos1Valid]]&lt;&gt;aoc_02_input[[#This Row],[Pos2Valid]],1,0)</f>
        <v>0</v>
      </c>
    </row>
    <row r="292" spans="1:14" x14ac:dyDescent="0.45">
      <c r="A292" s="1" t="s">
        <v>320</v>
      </c>
      <c r="B292" s="1" t="s">
        <v>278</v>
      </c>
      <c r="C292" s="1" t="s">
        <v>623</v>
      </c>
      <c r="D292" s="1">
        <f>FIND("-",aoc_02_input[[#This Row],[InputNumbers]])</f>
        <v>2</v>
      </c>
      <c r="E292" s="1">
        <f>_xlfn.NUMBERVALUE(LEFT(aoc_02_input[[#This Row],[InputNumbers]],aoc_02_input[[#This Row],[PosDash]]-1))</f>
        <v>6</v>
      </c>
      <c r="F292" s="1">
        <f>_xlfn.NUMBERVALUE(MID(aoc_02_input[[#This Row],[InputNumbers]],aoc_02_input[[#This Row],[PosDash]]+1,5))</f>
        <v>7</v>
      </c>
      <c r="G292" s="1" t="str">
        <f>LEFT(aoc_02_input[[#This Row],[InputChar]],1)</f>
        <v>x</v>
      </c>
      <c r="H292" s="1" cm="1">
        <f t="array" ref="H292">CountChar(aoc_02_input[[#This Row],[Password]],aoc_02_input[[#This Row],[Char]])</f>
        <v>9</v>
      </c>
      <c r="I292" s="1">
        <f>IF(AND(aoc_02_input[[#This Row],[Int1]]&lt;=aoc_02_input[[#This Row],[CountOfChar]],aoc_02_input[[#This Row],[CountOfChar]]&lt;=aoc_02_input[[#This Row],[Int2]]),1,0)</f>
        <v>0</v>
      </c>
      <c r="J292" s="1" t="str">
        <f>MID(aoc_02_input[[#This Row],[Password]],aoc_02_input[[#This Row],[Int1]],1)</f>
        <v>x</v>
      </c>
      <c r="K292" s="1">
        <f>IF(aoc_02_input[[#This Row],[Pos1]]=aoc_02_input[[#This Row],[Char]],1,0)</f>
        <v>1</v>
      </c>
      <c r="L292" s="1" t="str">
        <f>MID(aoc_02_input[[#This Row],[Password]],aoc_02_input[[#This Row],[Int2]],1)</f>
        <v>x</v>
      </c>
      <c r="M292" s="1">
        <f>IF(aoc_02_input[[#This Row],[Pos2]]=aoc_02_input[[#This Row],[Char]],1,0)</f>
        <v>1</v>
      </c>
      <c r="N292" s="1">
        <f>IF(aoc_02_input[[#This Row],[Pos1Valid]]&lt;&gt;aoc_02_input[[#This Row],[Pos2Valid]],1,0)</f>
        <v>0</v>
      </c>
    </row>
    <row r="293" spans="1:14" x14ac:dyDescent="0.45">
      <c r="A293" s="1" t="s">
        <v>212</v>
      </c>
      <c r="B293" s="1" t="s">
        <v>228</v>
      </c>
      <c r="C293" s="1" t="s">
        <v>624</v>
      </c>
      <c r="D293" s="1">
        <f>FIND("-",aoc_02_input[[#This Row],[InputNumbers]])</f>
        <v>2</v>
      </c>
      <c r="E293" s="1">
        <f>_xlfn.NUMBERVALUE(LEFT(aoc_02_input[[#This Row],[InputNumbers]],aoc_02_input[[#This Row],[PosDash]]-1))</f>
        <v>2</v>
      </c>
      <c r="F293" s="1">
        <f>_xlfn.NUMBERVALUE(MID(aoc_02_input[[#This Row],[InputNumbers]],aoc_02_input[[#This Row],[PosDash]]+1,5))</f>
        <v>5</v>
      </c>
      <c r="G293" s="1" t="str">
        <f>LEFT(aoc_02_input[[#This Row],[InputChar]],1)</f>
        <v>t</v>
      </c>
      <c r="H293" s="1" cm="1">
        <f t="array" ref="H293">CountChar(aoc_02_input[[#This Row],[Password]],aoc_02_input[[#This Row],[Char]])</f>
        <v>2</v>
      </c>
      <c r="I293" s="1">
        <f>IF(AND(aoc_02_input[[#This Row],[Int1]]&lt;=aoc_02_input[[#This Row],[CountOfChar]],aoc_02_input[[#This Row],[CountOfChar]]&lt;=aoc_02_input[[#This Row],[Int2]]),1,0)</f>
        <v>1</v>
      </c>
      <c r="J293" s="1" t="str">
        <f>MID(aoc_02_input[[#This Row],[Password]],aoc_02_input[[#This Row],[Int1]],1)</f>
        <v>t</v>
      </c>
      <c r="K293" s="1">
        <f>IF(aoc_02_input[[#This Row],[Pos1]]=aoc_02_input[[#This Row],[Char]],1,0)</f>
        <v>1</v>
      </c>
      <c r="L293" s="1" t="str">
        <f>MID(aoc_02_input[[#This Row],[Password]],aoc_02_input[[#This Row],[Int2]],1)</f>
        <v>t</v>
      </c>
      <c r="M293" s="1">
        <f>IF(aoc_02_input[[#This Row],[Pos2]]=aoc_02_input[[#This Row],[Char]],1,0)</f>
        <v>1</v>
      </c>
      <c r="N293" s="1">
        <f>IF(aoc_02_input[[#This Row],[Pos1Valid]]&lt;&gt;aoc_02_input[[#This Row],[Pos2Valid]],1,0)</f>
        <v>0</v>
      </c>
    </row>
    <row r="294" spans="1:14" x14ac:dyDescent="0.45">
      <c r="A294" s="1" t="s">
        <v>283</v>
      </c>
      <c r="B294" s="1" t="s">
        <v>210</v>
      </c>
      <c r="C294" s="1" t="s">
        <v>625</v>
      </c>
      <c r="D294" s="1">
        <f>FIND("-",aoc_02_input[[#This Row],[InputNumbers]])</f>
        <v>2</v>
      </c>
      <c r="E294" s="1">
        <f>_xlfn.NUMBERVALUE(LEFT(aoc_02_input[[#This Row],[InputNumbers]],aoc_02_input[[#This Row],[PosDash]]-1))</f>
        <v>3</v>
      </c>
      <c r="F294" s="1">
        <f>_xlfn.NUMBERVALUE(MID(aoc_02_input[[#This Row],[InputNumbers]],aoc_02_input[[#This Row],[PosDash]]+1,5))</f>
        <v>4</v>
      </c>
      <c r="G294" s="1" t="str">
        <f>LEFT(aoc_02_input[[#This Row],[InputChar]],1)</f>
        <v>v</v>
      </c>
      <c r="H294" s="1" cm="1">
        <f t="array" ref="H294">CountChar(aoc_02_input[[#This Row],[Password]],aoc_02_input[[#This Row],[Char]])</f>
        <v>4</v>
      </c>
      <c r="I294" s="1">
        <f>IF(AND(aoc_02_input[[#This Row],[Int1]]&lt;=aoc_02_input[[#This Row],[CountOfChar]],aoc_02_input[[#This Row],[CountOfChar]]&lt;=aoc_02_input[[#This Row],[Int2]]),1,0)</f>
        <v>1</v>
      </c>
      <c r="J294" s="1" t="str">
        <f>MID(aoc_02_input[[#This Row],[Password]],aoc_02_input[[#This Row],[Int1]],1)</f>
        <v>v</v>
      </c>
      <c r="K294" s="1">
        <f>IF(aoc_02_input[[#This Row],[Pos1]]=aoc_02_input[[#This Row],[Char]],1,0)</f>
        <v>1</v>
      </c>
      <c r="L294" s="1" t="str">
        <f>MID(aoc_02_input[[#This Row],[Password]],aoc_02_input[[#This Row],[Int2]],1)</f>
        <v>s</v>
      </c>
      <c r="M294" s="1">
        <f>IF(aoc_02_input[[#This Row],[Pos2]]=aoc_02_input[[#This Row],[Char]],1,0)</f>
        <v>0</v>
      </c>
      <c r="N294" s="1">
        <f>IF(aoc_02_input[[#This Row],[Pos1Valid]]&lt;&gt;aoc_02_input[[#This Row],[Pos2Valid]],1,0)</f>
        <v>1</v>
      </c>
    </row>
    <row r="295" spans="1:14" x14ac:dyDescent="0.45">
      <c r="A295" s="1" t="s">
        <v>264</v>
      </c>
      <c r="B295" s="1" t="s">
        <v>216</v>
      </c>
      <c r="C295" s="1" t="s">
        <v>626</v>
      </c>
      <c r="D295" s="1">
        <f>FIND("-",aoc_02_input[[#This Row],[InputNumbers]])</f>
        <v>2</v>
      </c>
      <c r="E295" s="1">
        <f>_xlfn.NUMBERVALUE(LEFT(aoc_02_input[[#This Row],[InputNumbers]],aoc_02_input[[#This Row],[PosDash]]-1))</f>
        <v>9</v>
      </c>
      <c r="F295" s="1">
        <f>_xlfn.NUMBERVALUE(MID(aoc_02_input[[#This Row],[InputNumbers]],aoc_02_input[[#This Row],[PosDash]]+1,5))</f>
        <v>11</v>
      </c>
      <c r="G295" s="1" t="str">
        <f>LEFT(aoc_02_input[[#This Row],[InputChar]],1)</f>
        <v>z</v>
      </c>
      <c r="H295" s="1" cm="1">
        <f t="array" ref="H295">CountChar(aoc_02_input[[#This Row],[Password]],aoc_02_input[[#This Row],[Char]])</f>
        <v>4</v>
      </c>
      <c r="I295" s="1">
        <f>IF(AND(aoc_02_input[[#This Row],[Int1]]&lt;=aoc_02_input[[#This Row],[CountOfChar]],aoc_02_input[[#This Row],[CountOfChar]]&lt;=aoc_02_input[[#This Row],[Int2]]),1,0)</f>
        <v>0</v>
      </c>
      <c r="J295" s="1" t="str">
        <f>MID(aoc_02_input[[#This Row],[Password]],aoc_02_input[[#This Row],[Int1]],1)</f>
        <v>z</v>
      </c>
      <c r="K295" s="1">
        <f>IF(aoc_02_input[[#This Row],[Pos1]]=aoc_02_input[[#This Row],[Char]],1,0)</f>
        <v>1</v>
      </c>
      <c r="L295" s="1" t="str">
        <f>MID(aoc_02_input[[#This Row],[Password]],aoc_02_input[[#This Row],[Int2]],1)</f>
        <v>k</v>
      </c>
      <c r="M295" s="1">
        <f>IF(aoc_02_input[[#This Row],[Pos2]]=aoc_02_input[[#This Row],[Char]],1,0)</f>
        <v>0</v>
      </c>
      <c r="N295" s="1">
        <f>IF(aoc_02_input[[#This Row],[Pos1Valid]]&lt;&gt;aoc_02_input[[#This Row],[Pos2Valid]],1,0)</f>
        <v>1</v>
      </c>
    </row>
    <row r="296" spans="1:14" x14ac:dyDescent="0.45">
      <c r="A296" s="1" t="s">
        <v>445</v>
      </c>
      <c r="B296" s="1" t="s">
        <v>216</v>
      </c>
      <c r="C296" s="1" t="s">
        <v>627</v>
      </c>
      <c r="D296" s="1">
        <f>FIND("-",aoc_02_input[[#This Row],[InputNumbers]])</f>
        <v>3</v>
      </c>
      <c r="E296" s="1">
        <f>_xlfn.NUMBERVALUE(LEFT(aoc_02_input[[#This Row],[InputNumbers]],aoc_02_input[[#This Row],[PosDash]]-1))</f>
        <v>17</v>
      </c>
      <c r="F296" s="1">
        <f>_xlfn.NUMBERVALUE(MID(aoc_02_input[[#This Row],[InputNumbers]],aoc_02_input[[#This Row],[PosDash]]+1,5))</f>
        <v>18</v>
      </c>
      <c r="G296" s="1" t="str">
        <f>LEFT(aoc_02_input[[#This Row],[InputChar]],1)</f>
        <v>z</v>
      </c>
      <c r="H296" s="1" cm="1">
        <f t="array" ref="H296">CountChar(aoc_02_input[[#This Row],[Password]],aoc_02_input[[#This Row],[Char]])</f>
        <v>1</v>
      </c>
      <c r="I296" s="1">
        <f>IF(AND(aoc_02_input[[#This Row],[Int1]]&lt;=aoc_02_input[[#This Row],[CountOfChar]],aoc_02_input[[#This Row],[CountOfChar]]&lt;=aoc_02_input[[#This Row],[Int2]]),1,0)</f>
        <v>0</v>
      </c>
      <c r="J296" s="1" t="str">
        <f>MID(aoc_02_input[[#This Row],[Password]],aoc_02_input[[#This Row],[Int1]],1)</f>
        <v>x</v>
      </c>
      <c r="K296" s="1">
        <f>IF(aoc_02_input[[#This Row],[Pos1]]=aoc_02_input[[#This Row],[Char]],1,0)</f>
        <v>0</v>
      </c>
      <c r="L296" s="1" t="str">
        <f>MID(aoc_02_input[[#This Row],[Password]],aoc_02_input[[#This Row],[Int2]],1)</f>
        <v>w</v>
      </c>
      <c r="M296" s="1">
        <f>IF(aoc_02_input[[#This Row],[Pos2]]=aoc_02_input[[#This Row],[Char]],1,0)</f>
        <v>0</v>
      </c>
      <c r="N296" s="1">
        <f>IF(aoc_02_input[[#This Row],[Pos1Valid]]&lt;&gt;aoc_02_input[[#This Row],[Pos2Valid]],1,0)</f>
        <v>0</v>
      </c>
    </row>
    <row r="297" spans="1:14" x14ac:dyDescent="0.45">
      <c r="A297" s="1" t="s">
        <v>509</v>
      </c>
      <c r="B297" s="1" t="s">
        <v>238</v>
      </c>
      <c r="C297" s="1" t="s">
        <v>628</v>
      </c>
      <c r="D297" s="1">
        <f>FIND("-",aoc_02_input[[#This Row],[InputNumbers]])</f>
        <v>3</v>
      </c>
      <c r="E297" s="1">
        <f>_xlfn.NUMBERVALUE(LEFT(aoc_02_input[[#This Row],[InputNumbers]],aoc_02_input[[#This Row],[PosDash]]-1))</f>
        <v>13</v>
      </c>
      <c r="F297" s="1">
        <f>_xlfn.NUMBERVALUE(MID(aoc_02_input[[#This Row],[InputNumbers]],aoc_02_input[[#This Row],[PosDash]]+1,5))</f>
        <v>17</v>
      </c>
      <c r="G297" s="1" t="str">
        <f>LEFT(aoc_02_input[[#This Row],[InputChar]],1)</f>
        <v>w</v>
      </c>
      <c r="H297" s="1" cm="1">
        <f t="array" ref="H297">CountChar(aoc_02_input[[#This Row],[Password]],aoc_02_input[[#This Row],[Char]])</f>
        <v>7</v>
      </c>
      <c r="I297" s="1">
        <f>IF(AND(aoc_02_input[[#This Row],[Int1]]&lt;=aoc_02_input[[#This Row],[CountOfChar]],aoc_02_input[[#This Row],[CountOfChar]]&lt;=aoc_02_input[[#This Row],[Int2]]),1,0)</f>
        <v>0</v>
      </c>
      <c r="J297" s="1" t="str">
        <f>MID(aoc_02_input[[#This Row],[Password]],aoc_02_input[[#This Row],[Int1]],1)</f>
        <v>g</v>
      </c>
      <c r="K297" s="1">
        <f>IF(aoc_02_input[[#This Row],[Pos1]]=aoc_02_input[[#This Row],[Char]],1,0)</f>
        <v>0</v>
      </c>
      <c r="L297" s="1" t="str">
        <f>MID(aoc_02_input[[#This Row],[Password]],aoc_02_input[[#This Row],[Int2]],1)</f>
        <v>b</v>
      </c>
      <c r="M297" s="1">
        <f>IF(aoc_02_input[[#This Row],[Pos2]]=aoc_02_input[[#This Row],[Char]],1,0)</f>
        <v>0</v>
      </c>
      <c r="N297" s="1">
        <f>IF(aoc_02_input[[#This Row],[Pos1Valid]]&lt;&gt;aoc_02_input[[#This Row],[Pos2Valid]],1,0)</f>
        <v>0</v>
      </c>
    </row>
    <row r="298" spans="1:14" x14ac:dyDescent="0.45">
      <c r="A298" s="1" t="s">
        <v>365</v>
      </c>
      <c r="B298" s="1" t="s">
        <v>207</v>
      </c>
      <c r="C298" s="1" t="s">
        <v>629</v>
      </c>
      <c r="D298" s="1">
        <f>FIND("-",aoc_02_input[[#This Row],[InputNumbers]])</f>
        <v>2</v>
      </c>
      <c r="E298" s="1">
        <f>_xlfn.NUMBERVALUE(LEFT(aoc_02_input[[#This Row],[InputNumbers]],aoc_02_input[[#This Row],[PosDash]]-1))</f>
        <v>6</v>
      </c>
      <c r="F298" s="1">
        <f>_xlfn.NUMBERVALUE(MID(aoc_02_input[[#This Row],[InputNumbers]],aoc_02_input[[#This Row],[PosDash]]+1,5))</f>
        <v>9</v>
      </c>
      <c r="G298" s="1" t="str">
        <f>LEFT(aoc_02_input[[#This Row],[InputChar]],1)</f>
        <v>b</v>
      </c>
      <c r="H298" s="1" cm="1">
        <f t="array" ref="H298">CountChar(aoc_02_input[[#This Row],[Password]],aoc_02_input[[#This Row],[Char]])</f>
        <v>12</v>
      </c>
      <c r="I298" s="1">
        <f>IF(AND(aoc_02_input[[#This Row],[Int1]]&lt;=aoc_02_input[[#This Row],[CountOfChar]],aoc_02_input[[#This Row],[CountOfChar]]&lt;=aoc_02_input[[#This Row],[Int2]]),1,0)</f>
        <v>0</v>
      </c>
      <c r="J298" s="1" t="str">
        <f>MID(aoc_02_input[[#This Row],[Password]],aoc_02_input[[#This Row],[Int1]],1)</f>
        <v>b</v>
      </c>
      <c r="K298" s="1">
        <f>IF(aoc_02_input[[#This Row],[Pos1]]=aoc_02_input[[#This Row],[Char]],1,0)</f>
        <v>1</v>
      </c>
      <c r="L298" s="1" t="str">
        <f>MID(aoc_02_input[[#This Row],[Password]],aoc_02_input[[#This Row],[Int2]],1)</f>
        <v>b</v>
      </c>
      <c r="M298" s="1">
        <f>IF(aoc_02_input[[#This Row],[Pos2]]=aoc_02_input[[#This Row],[Char]],1,0)</f>
        <v>1</v>
      </c>
      <c r="N298" s="1">
        <f>IF(aoc_02_input[[#This Row],[Pos1Valid]]&lt;&gt;aoc_02_input[[#This Row],[Pos2Valid]],1,0)</f>
        <v>0</v>
      </c>
    </row>
    <row r="299" spans="1:14" x14ac:dyDescent="0.45">
      <c r="A299" s="1" t="s">
        <v>616</v>
      </c>
      <c r="B299" s="1" t="s">
        <v>222</v>
      </c>
      <c r="C299" s="1" t="s">
        <v>630</v>
      </c>
      <c r="D299" s="1">
        <f>FIND("-",aoc_02_input[[#This Row],[InputNumbers]])</f>
        <v>2</v>
      </c>
      <c r="E299" s="1">
        <f>_xlfn.NUMBERVALUE(LEFT(aoc_02_input[[#This Row],[InputNumbers]],aoc_02_input[[#This Row],[PosDash]]-1))</f>
        <v>8</v>
      </c>
      <c r="F299" s="1">
        <f>_xlfn.NUMBERVALUE(MID(aoc_02_input[[#This Row],[InputNumbers]],aoc_02_input[[#This Row],[PosDash]]+1,5))</f>
        <v>12</v>
      </c>
      <c r="G299" s="1" t="str">
        <f>LEFT(aoc_02_input[[#This Row],[InputChar]],1)</f>
        <v>l</v>
      </c>
      <c r="H299" s="1" cm="1">
        <f t="array" ref="H299">CountChar(aoc_02_input[[#This Row],[Password]],aoc_02_input[[#This Row],[Char]])</f>
        <v>11</v>
      </c>
      <c r="I299" s="1">
        <f>IF(AND(aoc_02_input[[#This Row],[Int1]]&lt;=aoc_02_input[[#This Row],[CountOfChar]],aoc_02_input[[#This Row],[CountOfChar]]&lt;=aoc_02_input[[#This Row],[Int2]]),1,0)</f>
        <v>1</v>
      </c>
      <c r="J299" s="1" t="str">
        <f>MID(aoc_02_input[[#This Row],[Password]],aoc_02_input[[#This Row],[Int1]],1)</f>
        <v>g</v>
      </c>
      <c r="K299" s="1">
        <f>IF(aoc_02_input[[#This Row],[Pos1]]=aoc_02_input[[#This Row],[Char]],1,0)</f>
        <v>0</v>
      </c>
      <c r="L299" s="1" t="str">
        <f>MID(aoc_02_input[[#This Row],[Password]],aoc_02_input[[#This Row],[Int2]],1)</f>
        <v>l</v>
      </c>
      <c r="M299" s="1">
        <f>IF(aoc_02_input[[#This Row],[Pos2]]=aoc_02_input[[#This Row],[Char]],1,0)</f>
        <v>1</v>
      </c>
      <c r="N299" s="1">
        <f>IF(aoc_02_input[[#This Row],[Pos1Valid]]&lt;&gt;aoc_02_input[[#This Row],[Pos2Valid]],1,0)</f>
        <v>1</v>
      </c>
    </row>
    <row r="300" spans="1:14" x14ac:dyDescent="0.45">
      <c r="A300" s="1" t="s">
        <v>631</v>
      </c>
      <c r="B300" s="1" t="s">
        <v>225</v>
      </c>
      <c r="C300" s="1" t="s">
        <v>632</v>
      </c>
      <c r="D300" s="1">
        <f>FIND("-",aoc_02_input[[#This Row],[InputNumbers]])</f>
        <v>2</v>
      </c>
      <c r="E300" s="1">
        <f>_xlfn.NUMBERVALUE(LEFT(aoc_02_input[[#This Row],[InputNumbers]],aoc_02_input[[#This Row],[PosDash]]-1))</f>
        <v>6</v>
      </c>
      <c r="F300" s="1">
        <f>_xlfn.NUMBERVALUE(MID(aoc_02_input[[#This Row],[InputNumbers]],aoc_02_input[[#This Row],[PosDash]]+1,5))</f>
        <v>15</v>
      </c>
      <c r="G300" s="1" t="str">
        <f>LEFT(aoc_02_input[[#This Row],[InputChar]],1)</f>
        <v>j</v>
      </c>
      <c r="H300" s="1" cm="1">
        <f t="array" ref="H300">CountChar(aoc_02_input[[#This Row],[Password]],aoc_02_input[[#This Row],[Char]])</f>
        <v>8</v>
      </c>
      <c r="I300" s="1">
        <f>IF(AND(aoc_02_input[[#This Row],[Int1]]&lt;=aoc_02_input[[#This Row],[CountOfChar]],aoc_02_input[[#This Row],[CountOfChar]]&lt;=aoc_02_input[[#This Row],[Int2]]),1,0)</f>
        <v>1</v>
      </c>
      <c r="J300" s="1" t="str">
        <f>MID(aoc_02_input[[#This Row],[Password]],aoc_02_input[[#This Row],[Int1]],1)</f>
        <v>l</v>
      </c>
      <c r="K300" s="1">
        <f>IF(aoc_02_input[[#This Row],[Pos1]]=aoc_02_input[[#This Row],[Char]],1,0)</f>
        <v>0</v>
      </c>
      <c r="L300" s="1" t="str">
        <f>MID(aoc_02_input[[#This Row],[Password]],aoc_02_input[[#This Row],[Int2]],1)</f>
        <v>r</v>
      </c>
      <c r="M300" s="1">
        <f>IF(aoc_02_input[[#This Row],[Pos2]]=aoc_02_input[[#This Row],[Char]],1,0)</f>
        <v>0</v>
      </c>
      <c r="N300" s="1">
        <f>IF(aoc_02_input[[#This Row],[Pos1Valid]]&lt;&gt;aoc_02_input[[#This Row],[Pos2Valid]],1,0)</f>
        <v>0</v>
      </c>
    </row>
    <row r="301" spans="1:14" x14ac:dyDescent="0.45">
      <c r="A301" s="1" t="s">
        <v>378</v>
      </c>
      <c r="B301" s="1" t="s">
        <v>254</v>
      </c>
      <c r="C301" s="1" t="s">
        <v>633</v>
      </c>
      <c r="D301" s="1">
        <f>FIND("-",aoc_02_input[[#This Row],[InputNumbers]])</f>
        <v>3</v>
      </c>
      <c r="E301" s="1">
        <f>_xlfn.NUMBERVALUE(LEFT(aoc_02_input[[#This Row],[InputNumbers]],aoc_02_input[[#This Row],[PosDash]]-1))</f>
        <v>18</v>
      </c>
      <c r="F301" s="1">
        <f>_xlfn.NUMBERVALUE(MID(aoc_02_input[[#This Row],[InputNumbers]],aoc_02_input[[#This Row],[PosDash]]+1,5))</f>
        <v>19</v>
      </c>
      <c r="G301" s="1" t="str">
        <f>LEFT(aoc_02_input[[#This Row],[InputChar]],1)</f>
        <v>k</v>
      </c>
      <c r="H301" s="1" cm="1">
        <f t="array" ref="H301">CountChar(aoc_02_input[[#This Row],[Password]],aoc_02_input[[#This Row],[Char]])</f>
        <v>4</v>
      </c>
      <c r="I301" s="1">
        <f>IF(AND(aoc_02_input[[#This Row],[Int1]]&lt;=aoc_02_input[[#This Row],[CountOfChar]],aoc_02_input[[#This Row],[CountOfChar]]&lt;=aoc_02_input[[#This Row],[Int2]]),1,0)</f>
        <v>0</v>
      </c>
      <c r="J301" s="1" t="str">
        <f>MID(aoc_02_input[[#This Row],[Password]],aoc_02_input[[#This Row],[Int1]],1)</f>
        <v>k</v>
      </c>
      <c r="K301" s="1">
        <f>IF(aoc_02_input[[#This Row],[Pos1]]=aoc_02_input[[#This Row],[Char]],1,0)</f>
        <v>1</v>
      </c>
      <c r="L301" s="1" t="str">
        <f>MID(aoc_02_input[[#This Row],[Password]],aoc_02_input[[#This Row],[Int2]],1)</f>
        <v>b</v>
      </c>
      <c r="M301" s="1">
        <f>IF(aoc_02_input[[#This Row],[Pos2]]=aoc_02_input[[#This Row],[Char]],1,0)</f>
        <v>0</v>
      </c>
      <c r="N301" s="1">
        <f>IF(aoc_02_input[[#This Row],[Pos1Valid]]&lt;&gt;aoc_02_input[[#This Row],[Pos2Valid]],1,0)</f>
        <v>1</v>
      </c>
    </row>
    <row r="302" spans="1:14" x14ac:dyDescent="0.45">
      <c r="A302" s="1" t="s">
        <v>256</v>
      </c>
      <c r="B302" s="1" t="s">
        <v>210</v>
      </c>
      <c r="C302" s="1" t="s">
        <v>634</v>
      </c>
      <c r="D302" s="1">
        <f>FIND("-",aoc_02_input[[#This Row],[InputNumbers]])</f>
        <v>2</v>
      </c>
      <c r="E302" s="1">
        <f>_xlfn.NUMBERVALUE(LEFT(aoc_02_input[[#This Row],[InputNumbers]],aoc_02_input[[#This Row],[PosDash]]-1))</f>
        <v>5</v>
      </c>
      <c r="F302" s="1">
        <f>_xlfn.NUMBERVALUE(MID(aoc_02_input[[#This Row],[InputNumbers]],aoc_02_input[[#This Row],[PosDash]]+1,5))</f>
        <v>7</v>
      </c>
      <c r="G302" s="1" t="str">
        <f>LEFT(aoc_02_input[[#This Row],[InputChar]],1)</f>
        <v>v</v>
      </c>
      <c r="H302" s="1" cm="1">
        <f t="array" ref="H302">CountChar(aoc_02_input[[#This Row],[Password]],aoc_02_input[[#This Row],[Char]])</f>
        <v>6</v>
      </c>
      <c r="I302" s="1">
        <f>IF(AND(aoc_02_input[[#This Row],[Int1]]&lt;=aoc_02_input[[#This Row],[CountOfChar]],aoc_02_input[[#This Row],[CountOfChar]]&lt;=aoc_02_input[[#This Row],[Int2]]),1,0)</f>
        <v>1</v>
      </c>
      <c r="J302" s="1" t="str">
        <f>MID(aoc_02_input[[#This Row],[Password]],aoc_02_input[[#This Row],[Int1]],1)</f>
        <v>w</v>
      </c>
      <c r="K302" s="1">
        <f>IF(aoc_02_input[[#This Row],[Pos1]]=aoc_02_input[[#This Row],[Char]],1,0)</f>
        <v>0</v>
      </c>
      <c r="L302" s="1" t="str">
        <f>MID(aoc_02_input[[#This Row],[Password]],aoc_02_input[[#This Row],[Int2]],1)</f>
        <v>v</v>
      </c>
      <c r="M302" s="1">
        <f>IF(aoc_02_input[[#This Row],[Pos2]]=aoc_02_input[[#This Row],[Char]],1,0)</f>
        <v>1</v>
      </c>
      <c r="N302" s="1">
        <f>IF(aoc_02_input[[#This Row],[Pos1Valid]]&lt;&gt;aoc_02_input[[#This Row],[Pos2Valid]],1,0)</f>
        <v>1</v>
      </c>
    </row>
    <row r="303" spans="1:14" x14ac:dyDescent="0.45">
      <c r="A303" s="1" t="s">
        <v>635</v>
      </c>
      <c r="B303" s="1" t="s">
        <v>252</v>
      </c>
      <c r="C303" s="1" t="s">
        <v>636</v>
      </c>
      <c r="D303" s="1">
        <f>FIND("-",aoc_02_input[[#This Row],[InputNumbers]])</f>
        <v>2</v>
      </c>
      <c r="E303" s="1">
        <f>_xlfn.NUMBERVALUE(LEFT(aoc_02_input[[#This Row],[InputNumbers]],aoc_02_input[[#This Row],[PosDash]]-1))</f>
        <v>1</v>
      </c>
      <c r="F303" s="1">
        <f>_xlfn.NUMBERVALUE(MID(aoc_02_input[[#This Row],[InputNumbers]],aoc_02_input[[#This Row],[PosDash]]+1,5))</f>
        <v>7</v>
      </c>
      <c r="G303" s="1" t="str">
        <f>LEFT(aoc_02_input[[#This Row],[InputChar]],1)</f>
        <v>p</v>
      </c>
      <c r="H303" s="1" cm="1">
        <f t="array" ref="H303">CountChar(aoc_02_input[[#This Row],[Password]],aoc_02_input[[#This Row],[Char]])</f>
        <v>6</v>
      </c>
      <c r="I303" s="1">
        <f>IF(AND(aoc_02_input[[#This Row],[Int1]]&lt;=aoc_02_input[[#This Row],[CountOfChar]],aoc_02_input[[#This Row],[CountOfChar]]&lt;=aoc_02_input[[#This Row],[Int2]]),1,0)</f>
        <v>1</v>
      </c>
      <c r="J303" s="1" t="str">
        <f>MID(aoc_02_input[[#This Row],[Password]],aoc_02_input[[#This Row],[Int1]],1)</f>
        <v>d</v>
      </c>
      <c r="K303" s="1">
        <f>IF(aoc_02_input[[#This Row],[Pos1]]=aoc_02_input[[#This Row],[Char]],1,0)</f>
        <v>0</v>
      </c>
      <c r="L303" s="1" t="str">
        <f>MID(aoc_02_input[[#This Row],[Password]],aoc_02_input[[#This Row],[Int2]],1)</f>
        <v>w</v>
      </c>
      <c r="M303" s="1">
        <f>IF(aoc_02_input[[#This Row],[Pos2]]=aoc_02_input[[#This Row],[Char]],1,0)</f>
        <v>0</v>
      </c>
      <c r="N303" s="1">
        <f>IF(aoc_02_input[[#This Row],[Pos1Valid]]&lt;&gt;aoc_02_input[[#This Row],[Pos2Valid]],1,0)</f>
        <v>0</v>
      </c>
    </row>
    <row r="304" spans="1:14" x14ac:dyDescent="0.45">
      <c r="A304" s="1" t="s">
        <v>324</v>
      </c>
      <c r="B304" s="1" t="s">
        <v>254</v>
      </c>
      <c r="C304" s="1" t="s">
        <v>637</v>
      </c>
      <c r="D304" s="1">
        <f>FIND("-",aoc_02_input[[#This Row],[InputNumbers]])</f>
        <v>2</v>
      </c>
      <c r="E304" s="1">
        <f>_xlfn.NUMBERVALUE(LEFT(aoc_02_input[[#This Row],[InputNumbers]],aoc_02_input[[#This Row],[PosDash]]-1))</f>
        <v>1</v>
      </c>
      <c r="F304" s="1">
        <f>_xlfn.NUMBERVALUE(MID(aoc_02_input[[#This Row],[InputNumbers]],aoc_02_input[[#This Row],[PosDash]]+1,5))</f>
        <v>3</v>
      </c>
      <c r="G304" s="1" t="str">
        <f>LEFT(aoc_02_input[[#This Row],[InputChar]],1)</f>
        <v>k</v>
      </c>
      <c r="H304" s="1" cm="1">
        <f t="array" ref="H304">CountChar(aoc_02_input[[#This Row],[Password]],aoc_02_input[[#This Row],[Char]])</f>
        <v>2</v>
      </c>
      <c r="I304" s="1">
        <f>IF(AND(aoc_02_input[[#This Row],[Int1]]&lt;=aoc_02_input[[#This Row],[CountOfChar]],aoc_02_input[[#This Row],[CountOfChar]]&lt;=aoc_02_input[[#This Row],[Int2]]),1,0)</f>
        <v>1</v>
      </c>
      <c r="J304" s="1" t="str">
        <f>MID(aoc_02_input[[#This Row],[Password]],aoc_02_input[[#This Row],[Int1]],1)</f>
        <v>l</v>
      </c>
      <c r="K304" s="1">
        <f>IF(aoc_02_input[[#This Row],[Pos1]]=aoc_02_input[[#This Row],[Char]],1,0)</f>
        <v>0</v>
      </c>
      <c r="L304" s="1" t="str">
        <f>MID(aoc_02_input[[#This Row],[Password]],aoc_02_input[[#This Row],[Int2]],1)</f>
        <v>b</v>
      </c>
      <c r="M304" s="1">
        <f>IF(aoc_02_input[[#This Row],[Pos2]]=aoc_02_input[[#This Row],[Char]],1,0)</f>
        <v>0</v>
      </c>
      <c r="N304" s="1">
        <f>IF(aoc_02_input[[#This Row],[Pos1Valid]]&lt;&gt;aoc_02_input[[#This Row],[Pos2Valid]],1,0)</f>
        <v>0</v>
      </c>
    </row>
    <row r="305" spans="1:14" x14ac:dyDescent="0.45">
      <c r="A305" s="1" t="s">
        <v>311</v>
      </c>
      <c r="B305" s="1" t="s">
        <v>314</v>
      </c>
      <c r="C305" s="1" t="s">
        <v>638</v>
      </c>
      <c r="D305" s="1">
        <f>FIND("-",aoc_02_input[[#This Row],[InputNumbers]])</f>
        <v>2</v>
      </c>
      <c r="E305" s="1">
        <f>_xlfn.NUMBERVALUE(LEFT(aoc_02_input[[#This Row],[InputNumbers]],aoc_02_input[[#This Row],[PosDash]]-1))</f>
        <v>3</v>
      </c>
      <c r="F305" s="1">
        <f>_xlfn.NUMBERVALUE(MID(aoc_02_input[[#This Row],[InputNumbers]],aoc_02_input[[#This Row],[PosDash]]+1,5))</f>
        <v>6</v>
      </c>
      <c r="G305" s="1" t="str">
        <f>LEFT(aoc_02_input[[#This Row],[InputChar]],1)</f>
        <v>h</v>
      </c>
      <c r="H305" s="1" cm="1">
        <f t="array" ref="H305">CountChar(aoc_02_input[[#This Row],[Password]],aoc_02_input[[#This Row],[Char]])</f>
        <v>3</v>
      </c>
      <c r="I305" s="1">
        <f>IF(AND(aoc_02_input[[#This Row],[Int1]]&lt;=aoc_02_input[[#This Row],[CountOfChar]],aoc_02_input[[#This Row],[CountOfChar]]&lt;=aoc_02_input[[#This Row],[Int2]]),1,0)</f>
        <v>1</v>
      </c>
      <c r="J305" s="1" t="str">
        <f>MID(aoc_02_input[[#This Row],[Password]],aoc_02_input[[#This Row],[Int1]],1)</f>
        <v>h</v>
      </c>
      <c r="K305" s="1">
        <f>IF(aoc_02_input[[#This Row],[Pos1]]=aoc_02_input[[#This Row],[Char]],1,0)</f>
        <v>1</v>
      </c>
      <c r="L305" s="1" t="str">
        <f>MID(aoc_02_input[[#This Row],[Password]],aoc_02_input[[#This Row],[Int2]],1)</f>
        <v>j</v>
      </c>
      <c r="M305" s="1">
        <f>IF(aoc_02_input[[#This Row],[Pos2]]=aoc_02_input[[#This Row],[Char]],1,0)</f>
        <v>0</v>
      </c>
      <c r="N305" s="1">
        <f>IF(aoc_02_input[[#This Row],[Pos1Valid]]&lt;&gt;aoc_02_input[[#This Row],[Pos2Valid]],1,0)</f>
        <v>1</v>
      </c>
    </row>
    <row r="306" spans="1:14" x14ac:dyDescent="0.45">
      <c r="A306" s="1" t="s">
        <v>417</v>
      </c>
      <c r="B306" s="1" t="s">
        <v>254</v>
      </c>
      <c r="C306" s="1" t="s">
        <v>639</v>
      </c>
      <c r="D306" s="1">
        <f>FIND("-",aoc_02_input[[#This Row],[InputNumbers]])</f>
        <v>3</v>
      </c>
      <c r="E306" s="1">
        <f>_xlfn.NUMBERVALUE(LEFT(aoc_02_input[[#This Row],[InputNumbers]],aoc_02_input[[#This Row],[PosDash]]-1))</f>
        <v>12</v>
      </c>
      <c r="F306" s="1">
        <f>_xlfn.NUMBERVALUE(MID(aoc_02_input[[#This Row],[InputNumbers]],aoc_02_input[[#This Row],[PosDash]]+1,5))</f>
        <v>13</v>
      </c>
      <c r="G306" s="1" t="str">
        <f>LEFT(aoc_02_input[[#This Row],[InputChar]],1)</f>
        <v>k</v>
      </c>
      <c r="H306" s="1" cm="1">
        <f t="array" ref="H306">CountChar(aoc_02_input[[#This Row],[Password]],aoc_02_input[[#This Row],[Char]])</f>
        <v>12</v>
      </c>
      <c r="I306" s="1">
        <f>IF(AND(aoc_02_input[[#This Row],[Int1]]&lt;=aoc_02_input[[#This Row],[CountOfChar]],aoc_02_input[[#This Row],[CountOfChar]]&lt;=aoc_02_input[[#This Row],[Int2]]),1,0)</f>
        <v>1</v>
      </c>
      <c r="J306" s="1" t="str">
        <f>MID(aoc_02_input[[#This Row],[Password]],aoc_02_input[[#This Row],[Int1]],1)</f>
        <v>k</v>
      </c>
      <c r="K306" s="1">
        <f>IF(aoc_02_input[[#This Row],[Pos1]]=aoc_02_input[[#This Row],[Char]],1,0)</f>
        <v>1</v>
      </c>
      <c r="L306" s="1" t="str">
        <f>MID(aoc_02_input[[#This Row],[Password]],aoc_02_input[[#This Row],[Int2]],1)</f>
        <v>k</v>
      </c>
      <c r="M306" s="1">
        <f>IF(aoc_02_input[[#This Row],[Pos2]]=aoc_02_input[[#This Row],[Char]],1,0)</f>
        <v>1</v>
      </c>
      <c r="N306" s="1">
        <f>IF(aoc_02_input[[#This Row],[Pos1Valid]]&lt;&gt;aoc_02_input[[#This Row],[Pos2Valid]],1,0)</f>
        <v>0</v>
      </c>
    </row>
    <row r="307" spans="1:14" x14ac:dyDescent="0.45">
      <c r="A307" s="1" t="s">
        <v>640</v>
      </c>
      <c r="B307" s="1" t="s">
        <v>295</v>
      </c>
      <c r="C307" s="1" t="s">
        <v>641</v>
      </c>
      <c r="D307" s="1">
        <f>FIND("-",aoc_02_input[[#This Row],[InputNumbers]])</f>
        <v>3</v>
      </c>
      <c r="E307" s="1">
        <f>_xlfn.NUMBERVALUE(LEFT(aoc_02_input[[#This Row],[InputNumbers]],aoc_02_input[[#This Row],[PosDash]]-1))</f>
        <v>12</v>
      </c>
      <c r="F307" s="1">
        <f>_xlfn.NUMBERVALUE(MID(aoc_02_input[[#This Row],[InputNumbers]],aoc_02_input[[#This Row],[PosDash]]+1,5))</f>
        <v>15</v>
      </c>
      <c r="G307" s="1" t="str">
        <f>LEFT(aoc_02_input[[#This Row],[InputChar]],1)</f>
        <v>c</v>
      </c>
      <c r="H307" s="1" cm="1">
        <f t="array" ref="H307">CountChar(aoc_02_input[[#This Row],[Password]],aoc_02_input[[#This Row],[Char]])</f>
        <v>5</v>
      </c>
      <c r="I307" s="1">
        <f>IF(AND(aoc_02_input[[#This Row],[Int1]]&lt;=aoc_02_input[[#This Row],[CountOfChar]],aoc_02_input[[#This Row],[CountOfChar]]&lt;=aoc_02_input[[#This Row],[Int2]]),1,0)</f>
        <v>0</v>
      </c>
      <c r="J307" s="1" t="str">
        <f>MID(aoc_02_input[[#This Row],[Password]],aoc_02_input[[#This Row],[Int1]],1)</f>
        <v>b</v>
      </c>
      <c r="K307" s="1">
        <f>IF(aoc_02_input[[#This Row],[Pos1]]=aoc_02_input[[#This Row],[Char]],1,0)</f>
        <v>0</v>
      </c>
      <c r="L307" s="1" t="str">
        <f>MID(aoc_02_input[[#This Row],[Password]],aoc_02_input[[#This Row],[Int2]],1)</f>
        <v>b</v>
      </c>
      <c r="M307" s="1">
        <f>IF(aoc_02_input[[#This Row],[Pos2]]=aoc_02_input[[#This Row],[Char]],1,0)</f>
        <v>0</v>
      </c>
      <c r="N307" s="1">
        <f>IF(aoc_02_input[[#This Row],[Pos1Valid]]&lt;&gt;aoc_02_input[[#This Row],[Pos2Valid]],1,0)</f>
        <v>0</v>
      </c>
    </row>
    <row r="308" spans="1:14" x14ac:dyDescent="0.45">
      <c r="A308" s="1" t="s">
        <v>473</v>
      </c>
      <c r="B308" s="1" t="s">
        <v>225</v>
      </c>
      <c r="C308" s="1" t="s">
        <v>642</v>
      </c>
      <c r="D308" s="1">
        <f>FIND("-",aoc_02_input[[#This Row],[InputNumbers]])</f>
        <v>2</v>
      </c>
      <c r="E308" s="1">
        <f>_xlfn.NUMBERVALUE(LEFT(aoc_02_input[[#This Row],[InputNumbers]],aoc_02_input[[#This Row],[PosDash]]-1))</f>
        <v>2</v>
      </c>
      <c r="F308" s="1">
        <f>_xlfn.NUMBERVALUE(MID(aoc_02_input[[#This Row],[InputNumbers]],aoc_02_input[[#This Row],[PosDash]]+1,5))</f>
        <v>6</v>
      </c>
      <c r="G308" s="1" t="str">
        <f>LEFT(aoc_02_input[[#This Row],[InputChar]],1)</f>
        <v>j</v>
      </c>
      <c r="H308" s="1" cm="1">
        <f t="array" ref="H308">CountChar(aoc_02_input[[#This Row],[Password]],aoc_02_input[[#This Row],[Char]])</f>
        <v>4</v>
      </c>
      <c r="I308" s="1">
        <f>IF(AND(aoc_02_input[[#This Row],[Int1]]&lt;=aoc_02_input[[#This Row],[CountOfChar]],aoc_02_input[[#This Row],[CountOfChar]]&lt;=aoc_02_input[[#This Row],[Int2]]),1,0)</f>
        <v>1</v>
      </c>
      <c r="J308" s="1" t="str">
        <f>MID(aoc_02_input[[#This Row],[Password]],aoc_02_input[[#This Row],[Int1]],1)</f>
        <v>j</v>
      </c>
      <c r="K308" s="1">
        <f>IF(aoc_02_input[[#This Row],[Pos1]]=aoc_02_input[[#This Row],[Char]],1,0)</f>
        <v>1</v>
      </c>
      <c r="L308" s="1" t="str">
        <f>MID(aoc_02_input[[#This Row],[Password]],aoc_02_input[[#This Row],[Int2]],1)</f>
        <v>r</v>
      </c>
      <c r="M308" s="1">
        <f>IF(aoc_02_input[[#This Row],[Pos2]]=aoc_02_input[[#This Row],[Char]],1,0)</f>
        <v>0</v>
      </c>
      <c r="N308" s="1">
        <f>IF(aoc_02_input[[#This Row],[Pos1Valid]]&lt;&gt;aoc_02_input[[#This Row],[Pos2Valid]],1,0)</f>
        <v>1</v>
      </c>
    </row>
    <row r="309" spans="1:14" x14ac:dyDescent="0.45">
      <c r="A309" s="1" t="s">
        <v>320</v>
      </c>
      <c r="B309" s="1" t="s">
        <v>265</v>
      </c>
      <c r="C309" s="1" t="s">
        <v>643</v>
      </c>
      <c r="D309" s="1">
        <f>FIND("-",aoc_02_input[[#This Row],[InputNumbers]])</f>
        <v>2</v>
      </c>
      <c r="E309" s="1">
        <f>_xlfn.NUMBERVALUE(LEFT(aoc_02_input[[#This Row],[InputNumbers]],aoc_02_input[[#This Row],[PosDash]]-1))</f>
        <v>6</v>
      </c>
      <c r="F309" s="1">
        <f>_xlfn.NUMBERVALUE(MID(aoc_02_input[[#This Row],[InputNumbers]],aoc_02_input[[#This Row],[PosDash]]+1,5))</f>
        <v>7</v>
      </c>
      <c r="G309" s="1" t="str">
        <f>LEFT(aoc_02_input[[#This Row],[InputChar]],1)</f>
        <v>r</v>
      </c>
      <c r="H309" s="1" cm="1">
        <f t="array" ref="H309">CountChar(aoc_02_input[[#This Row],[Password]],aoc_02_input[[#This Row],[Char]])</f>
        <v>2</v>
      </c>
      <c r="I309" s="1">
        <f>IF(AND(aoc_02_input[[#This Row],[Int1]]&lt;=aoc_02_input[[#This Row],[CountOfChar]],aoc_02_input[[#This Row],[CountOfChar]]&lt;=aoc_02_input[[#This Row],[Int2]]),1,0)</f>
        <v>0</v>
      </c>
      <c r="J309" s="1" t="str">
        <f>MID(aoc_02_input[[#This Row],[Password]],aoc_02_input[[#This Row],[Int1]],1)</f>
        <v>s</v>
      </c>
      <c r="K309" s="1">
        <f>IF(aoc_02_input[[#This Row],[Pos1]]=aoc_02_input[[#This Row],[Char]],1,0)</f>
        <v>0</v>
      </c>
      <c r="L309" s="1" t="str">
        <f>MID(aoc_02_input[[#This Row],[Password]],aoc_02_input[[#This Row],[Int2]],1)</f>
        <v>s</v>
      </c>
      <c r="M309" s="1">
        <f>IF(aoc_02_input[[#This Row],[Pos2]]=aoc_02_input[[#This Row],[Char]],1,0)</f>
        <v>0</v>
      </c>
      <c r="N309" s="1">
        <f>IF(aoc_02_input[[#This Row],[Pos1Valid]]&lt;&gt;aoc_02_input[[#This Row],[Pos2Valid]],1,0)</f>
        <v>0</v>
      </c>
    </row>
    <row r="310" spans="1:14" x14ac:dyDescent="0.45">
      <c r="A310" s="1" t="s">
        <v>644</v>
      </c>
      <c r="B310" s="1" t="s">
        <v>235</v>
      </c>
      <c r="C310" s="1" t="s">
        <v>645</v>
      </c>
      <c r="D310" s="1">
        <f>FIND("-",aoc_02_input[[#This Row],[InputNumbers]])</f>
        <v>3</v>
      </c>
      <c r="E310" s="1">
        <f>_xlfn.NUMBERVALUE(LEFT(aoc_02_input[[#This Row],[InputNumbers]],aoc_02_input[[#This Row],[PosDash]]-1))</f>
        <v>18</v>
      </c>
      <c r="F310" s="1">
        <f>_xlfn.NUMBERVALUE(MID(aoc_02_input[[#This Row],[InputNumbers]],aoc_02_input[[#This Row],[PosDash]]+1,5))</f>
        <v>20</v>
      </c>
      <c r="G310" s="1" t="str">
        <f>LEFT(aoc_02_input[[#This Row],[InputChar]],1)</f>
        <v>d</v>
      </c>
      <c r="H310" s="1" cm="1">
        <f t="array" ref="H310">CountChar(aoc_02_input[[#This Row],[Password]],aoc_02_input[[#This Row],[Char]])</f>
        <v>1</v>
      </c>
      <c r="I310" s="1">
        <f>IF(AND(aoc_02_input[[#This Row],[Int1]]&lt;=aoc_02_input[[#This Row],[CountOfChar]],aoc_02_input[[#This Row],[CountOfChar]]&lt;=aoc_02_input[[#This Row],[Int2]]),1,0)</f>
        <v>0</v>
      </c>
      <c r="J310" s="1" t="str">
        <f>MID(aoc_02_input[[#This Row],[Password]],aoc_02_input[[#This Row],[Int1]],1)</f>
        <v>w</v>
      </c>
      <c r="K310" s="1">
        <f>IF(aoc_02_input[[#This Row],[Pos1]]=aoc_02_input[[#This Row],[Char]],1,0)</f>
        <v>0</v>
      </c>
      <c r="L310" s="1" t="str">
        <f>MID(aoc_02_input[[#This Row],[Password]],aoc_02_input[[#This Row],[Int2]],1)</f>
        <v>m</v>
      </c>
      <c r="M310" s="1">
        <f>IF(aoc_02_input[[#This Row],[Pos2]]=aoc_02_input[[#This Row],[Char]],1,0)</f>
        <v>0</v>
      </c>
      <c r="N310" s="1">
        <f>IF(aoc_02_input[[#This Row],[Pos1Valid]]&lt;&gt;aoc_02_input[[#This Row],[Pos2Valid]],1,0)</f>
        <v>0</v>
      </c>
    </row>
    <row r="311" spans="1:14" x14ac:dyDescent="0.45">
      <c r="A311" s="1" t="s">
        <v>646</v>
      </c>
      <c r="B311" s="1" t="s">
        <v>216</v>
      </c>
      <c r="C311" s="1" t="s">
        <v>647</v>
      </c>
      <c r="D311" s="1">
        <f>FIND("-",aoc_02_input[[#This Row],[InputNumbers]])</f>
        <v>3</v>
      </c>
      <c r="E311" s="1">
        <f>_xlfn.NUMBERVALUE(LEFT(aoc_02_input[[#This Row],[InputNumbers]],aoc_02_input[[#This Row],[PosDash]]-1))</f>
        <v>13</v>
      </c>
      <c r="F311" s="1">
        <f>_xlfn.NUMBERVALUE(MID(aoc_02_input[[#This Row],[InputNumbers]],aoc_02_input[[#This Row],[PosDash]]+1,5))</f>
        <v>16</v>
      </c>
      <c r="G311" s="1" t="str">
        <f>LEFT(aoc_02_input[[#This Row],[InputChar]],1)</f>
        <v>z</v>
      </c>
      <c r="H311" s="1" cm="1">
        <f t="array" ref="H311">CountChar(aoc_02_input[[#This Row],[Password]],aoc_02_input[[#This Row],[Char]])</f>
        <v>15</v>
      </c>
      <c r="I311" s="1">
        <f>IF(AND(aoc_02_input[[#This Row],[Int1]]&lt;=aoc_02_input[[#This Row],[CountOfChar]],aoc_02_input[[#This Row],[CountOfChar]]&lt;=aoc_02_input[[#This Row],[Int2]]),1,0)</f>
        <v>1</v>
      </c>
      <c r="J311" s="1" t="str">
        <f>MID(aoc_02_input[[#This Row],[Password]],aoc_02_input[[#This Row],[Int1]],1)</f>
        <v>w</v>
      </c>
      <c r="K311" s="1">
        <f>IF(aoc_02_input[[#This Row],[Pos1]]=aoc_02_input[[#This Row],[Char]],1,0)</f>
        <v>0</v>
      </c>
      <c r="L311" s="1" t="str">
        <f>MID(aoc_02_input[[#This Row],[Password]],aoc_02_input[[#This Row],[Int2]],1)</f>
        <v>z</v>
      </c>
      <c r="M311" s="1">
        <f>IF(aoc_02_input[[#This Row],[Pos2]]=aoc_02_input[[#This Row],[Char]],1,0)</f>
        <v>1</v>
      </c>
      <c r="N311" s="1">
        <f>IF(aoc_02_input[[#This Row],[Pos1Valid]]&lt;&gt;aoc_02_input[[#This Row],[Pos2Valid]],1,0)</f>
        <v>1</v>
      </c>
    </row>
    <row r="312" spans="1:14" x14ac:dyDescent="0.45">
      <c r="A312" s="1" t="s">
        <v>392</v>
      </c>
      <c r="B312" s="1" t="s">
        <v>252</v>
      </c>
      <c r="C312" s="1" t="s">
        <v>648</v>
      </c>
      <c r="D312" s="1">
        <f>FIND("-",aoc_02_input[[#This Row],[InputNumbers]])</f>
        <v>2</v>
      </c>
      <c r="E312" s="1">
        <f>_xlfn.NUMBERVALUE(LEFT(aoc_02_input[[#This Row],[InputNumbers]],aoc_02_input[[#This Row],[PosDash]]-1))</f>
        <v>8</v>
      </c>
      <c r="F312" s="1">
        <f>_xlfn.NUMBERVALUE(MID(aoc_02_input[[#This Row],[InputNumbers]],aoc_02_input[[#This Row],[PosDash]]+1,5))</f>
        <v>9</v>
      </c>
      <c r="G312" s="1" t="str">
        <f>LEFT(aoc_02_input[[#This Row],[InputChar]],1)</f>
        <v>p</v>
      </c>
      <c r="H312" s="1" cm="1">
        <f t="array" ref="H312">CountChar(aoc_02_input[[#This Row],[Password]],aoc_02_input[[#This Row],[Char]])</f>
        <v>2</v>
      </c>
      <c r="I312" s="1">
        <f>IF(AND(aoc_02_input[[#This Row],[Int1]]&lt;=aoc_02_input[[#This Row],[CountOfChar]],aoc_02_input[[#This Row],[CountOfChar]]&lt;=aoc_02_input[[#This Row],[Int2]]),1,0)</f>
        <v>0</v>
      </c>
      <c r="J312" s="1" t="str">
        <f>MID(aoc_02_input[[#This Row],[Password]],aoc_02_input[[#This Row],[Int1]],1)</f>
        <v>p</v>
      </c>
      <c r="K312" s="1">
        <f>IF(aoc_02_input[[#This Row],[Pos1]]=aoc_02_input[[#This Row],[Char]],1,0)</f>
        <v>1</v>
      </c>
      <c r="L312" s="1" t="str">
        <f>MID(aoc_02_input[[#This Row],[Password]],aoc_02_input[[#This Row],[Int2]],1)</f>
        <v>v</v>
      </c>
      <c r="M312" s="1">
        <f>IF(aoc_02_input[[#This Row],[Pos2]]=aoc_02_input[[#This Row],[Char]],1,0)</f>
        <v>0</v>
      </c>
      <c r="N312" s="1">
        <f>IF(aoc_02_input[[#This Row],[Pos1Valid]]&lt;&gt;aoc_02_input[[#This Row],[Pos2Valid]],1,0)</f>
        <v>1</v>
      </c>
    </row>
    <row r="313" spans="1:14" x14ac:dyDescent="0.45">
      <c r="A313" s="1" t="s">
        <v>430</v>
      </c>
      <c r="B313" s="1" t="s">
        <v>210</v>
      </c>
      <c r="C313" s="1" t="s">
        <v>649</v>
      </c>
      <c r="D313" s="1">
        <f>FIND("-",aoc_02_input[[#This Row],[InputNumbers]])</f>
        <v>2</v>
      </c>
      <c r="E313" s="1">
        <f>_xlfn.NUMBERVALUE(LEFT(aoc_02_input[[#This Row],[InputNumbers]],aoc_02_input[[#This Row],[PosDash]]-1))</f>
        <v>4</v>
      </c>
      <c r="F313" s="1">
        <f>_xlfn.NUMBERVALUE(MID(aoc_02_input[[#This Row],[InputNumbers]],aoc_02_input[[#This Row],[PosDash]]+1,5))</f>
        <v>11</v>
      </c>
      <c r="G313" s="1" t="str">
        <f>LEFT(aoc_02_input[[#This Row],[InputChar]],1)</f>
        <v>v</v>
      </c>
      <c r="H313" s="1" cm="1">
        <f t="array" ref="H313">CountChar(aoc_02_input[[#This Row],[Password]],aoc_02_input[[#This Row],[Char]])</f>
        <v>5</v>
      </c>
      <c r="I313" s="1">
        <f>IF(AND(aoc_02_input[[#This Row],[Int1]]&lt;=aoc_02_input[[#This Row],[CountOfChar]],aoc_02_input[[#This Row],[CountOfChar]]&lt;=aoc_02_input[[#This Row],[Int2]]),1,0)</f>
        <v>1</v>
      </c>
      <c r="J313" s="1" t="str">
        <f>MID(aoc_02_input[[#This Row],[Password]],aoc_02_input[[#This Row],[Int1]],1)</f>
        <v>x</v>
      </c>
      <c r="K313" s="1">
        <f>IF(aoc_02_input[[#This Row],[Pos1]]=aoc_02_input[[#This Row],[Char]],1,0)</f>
        <v>0</v>
      </c>
      <c r="L313" s="1" t="str">
        <f>MID(aoc_02_input[[#This Row],[Password]],aoc_02_input[[#This Row],[Int2]],1)</f>
        <v>z</v>
      </c>
      <c r="M313" s="1">
        <f>IF(aoc_02_input[[#This Row],[Pos2]]=aoc_02_input[[#This Row],[Char]],1,0)</f>
        <v>0</v>
      </c>
      <c r="N313" s="1">
        <f>IF(aoc_02_input[[#This Row],[Pos1Valid]]&lt;&gt;aoc_02_input[[#This Row],[Pos2Valid]],1,0)</f>
        <v>0</v>
      </c>
    </row>
    <row r="314" spans="1:14" x14ac:dyDescent="0.45">
      <c r="A314" s="1" t="s">
        <v>232</v>
      </c>
      <c r="B314" s="1" t="s">
        <v>225</v>
      </c>
      <c r="C314" s="1" t="s">
        <v>650</v>
      </c>
      <c r="D314" s="1">
        <f>FIND("-",aoc_02_input[[#This Row],[InputNumbers]])</f>
        <v>2</v>
      </c>
      <c r="E314" s="1">
        <f>_xlfn.NUMBERVALUE(LEFT(aoc_02_input[[#This Row],[InputNumbers]],aoc_02_input[[#This Row],[PosDash]]-1))</f>
        <v>4</v>
      </c>
      <c r="F314" s="1">
        <f>_xlfn.NUMBERVALUE(MID(aoc_02_input[[#This Row],[InputNumbers]],aoc_02_input[[#This Row],[PosDash]]+1,5))</f>
        <v>6</v>
      </c>
      <c r="G314" s="1" t="str">
        <f>LEFT(aoc_02_input[[#This Row],[InputChar]],1)</f>
        <v>j</v>
      </c>
      <c r="H314" s="1" cm="1">
        <f t="array" ref="H314">CountChar(aoc_02_input[[#This Row],[Password]],aoc_02_input[[#This Row],[Char]])</f>
        <v>6</v>
      </c>
      <c r="I314" s="1">
        <f>IF(AND(aoc_02_input[[#This Row],[Int1]]&lt;=aoc_02_input[[#This Row],[CountOfChar]],aoc_02_input[[#This Row],[CountOfChar]]&lt;=aoc_02_input[[#This Row],[Int2]]),1,0)</f>
        <v>1</v>
      </c>
      <c r="J314" s="1" t="str">
        <f>MID(aoc_02_input[[#This Row],[Password]],aoc_02_input[[#This Row],[Int1]],1)</f>
        <v>j</v>
      </c>
      <c r="K314" s="1">
        <f>IF(aoc_02_input[[#This Row],[Pos1]]=aoc_02_input[[#This Row],[Char]],1,0)</f>
        <v>1</v>
      </c>
      <c r="L314" s="1" t="str">
        <f>MID(aoc_02_input[[#This Row],[Password]],aoc_02_input[[#This Row],[Int2]],1)</f>
        <v>j</v>
      </c>
      <c r="M314" s="1">
        <f>IF(aoc_02_input[[#This Row],[Pos2]]=aoc_02_input[[#This Row],[Char]],1,0)</f>
        <v>1</v>
      </c>
      <c r="N314" s="1">
        <f>IF(aoc_02_input[[#This Row],[Pos1Valid]]&lt;&gt;aoc_02_input[[#This Row],[Pos2Valid]],1,0)</f>
        <v>0</v>
      </c>
    </row>
    <row r="315" spans="1:14" x14ac:dyDescent="0.45">
      <c r="A315" s="1" t="s">
        <v>473</v>
      </c>
      <c r="B315" s="1" t="s">
        <v>249</v>
      </c>
      <c r="C315" s="1" t="s">
        <v>651</v>
      </c>
      <c r="D315" s="1">
        <f>FIND("-",aoc_02_input[[#This Row],[InputNumbers]])</f>
        <v>2</v>
      </c>
      <c r="E315" s="1">
        <f>_xlfn.NUMBERVALUE(LEFT(aoc_02_input[[#This Row],[InputNumbers]],aoc_02_input[[#This Row],[PosDash]]-1))</f>
        <v>2</v>
      </c>
      <c r="F315" s="1">
        <f>_xlfn.NUMBERVALUE(MID(aoc_02_input[[#This Row],[InputNumbers]],aoc_02_input[[#This Row],[PosDash]]+1,5))</f>
        <v>6</v>
      </c>
      <c r="G315" s="1" t="str">
        <f>LEFT(aoc_02_input[[#This Row],[InputChar]],1)</f>
        <v>q</v>
      </c>
      <c r="H315" s="1" cm="1">
        <f t="array" ref="H315">CountChar(aoc_02_input[[#This Row],[Password]],aoc_02_input[[#This Row],[Char]])</f>
        <v>1</v>
      </c>
      <c r="I315" s="1">
        <f>IF(AND(aoc_02_input[[#This Row],[Int1]]&lt;=aoc_02_input[[#This Row],[CountOfChar]],aoc_02_input[[#This Row],[CountOfChar]]&lt;=aoc_02_input[[#This Row],[Int2]]),1,0)</f>
        <v>0</v>
      </c>
      <c r="J315" s="1" t="str">
        <f>MID(aoc_02_input[[#This Row],[Password]],aoc_02_input[[#This Row],[Int1]],1)</f>
        <v>h</v>
      </c>
      <c r="K315" s="1">
        <f>IF(aoc_02_input[[#This Row],[Pos1]]=aoc_02_input[[#This Row],[Char]],1,0)</f>
        <v>0</v>
      </c>
      <c r="L315" s="1" t="str">
        <f>MID(aoc_02_input[[#This Row],[Password]],aoc_02_input[[#This Row],[Int2]],1)</f>
        <v>w</v>
      </c>
      <c r="M315" s="1">
        <f>IF(aoc_02_input[[#This Row],[Pos2]]=aoc_02_input[[#This Row],[Char]],1,0)</f>
        <v>0</v>
      </c>
      <c r="N315" s="1">
        <f>IF(aoc_02_input[[#This Row],[Pos1Valid]]&lt;&gt;aoc_02_input[[#This Row],[Pos2Valid]],1,0)</f>
        <v>0</v>
      </c>
    </row>
    <row r="316" spans="1:14" x14ac:dyDescent="0.45">
      <c r="A316" s="1" t="s">
        <v>652</v>
      </c>
      <c r="B316" s="1" t="s">
        <v>235</v>
      </c>
      <c r="C316" s="1" t="s">
        <v>653</v>
      </c>
      <c r="D316" s="1">
        <f>FIND("-",aoc_02_input[[#This Row],[InputNumbers]])</f>
        <v>3</v>
      </c>
      <c r="E316" s="1">
        <f>_xlfn.NUMBERVALUE(LEFT(aoc_02_input[[#This Row],[InputNumbers]],aoc_02_input[[#This Row],[PosDash]]-1))</f>
        <v>11</v>
      </c>
      <c r="F316" s="1">
        <f>_xlfn.NUMBERVALUE(MID(aoc_02_input[[#This Row],[InputNumbers]],aoc_02_input[[#This Row],[PosDash]]+1,5))</f>
        <v>18</v>
      </c>
      <c r="G316" s="1" t="str">
        <f>LEFT(aoc_02_input[[#This Row],[InputChar]],1)</f>
        <v>d</v>
      </c>
      <c r="H316" s="1" cm="1">
        <f t="array" ref="H316">CountChar(aoc_02_input[[#This Row],[Password]],aoc_02_input[[#This Row],[Char]])</f>
        <v>3</v>
      </c>
      <c r="I316" s="1">
        <f>IF(AND(aoc_02_input[[#This Row],[Int1]]&lt;=aoc_02_input[[#This Row],[CountOfChar]],aoc_02_input[[#This Row],[CountOfChar]]&lt;=aoc_02_input[[#This Row],[Int2]]),1,0)</f>
        <v>0</v>
      </c>
      <c r="J316" s="1" t="str">
        <f>MID(aoc_02_input[[#This Row],[Password]],aoc_02_input[[#This Row],[Int1]],1)</f>
        <v>h</v>
      </c>
      <c r="K316" s="1">
        <f>IF(aoc_02_input[[#This Row],[Pos1]]=aoc_02_input[[#This Row],[Char]],1,0)</f>
        <v>0</v>
      </c>
      <c r="L316" s="1" t="str">
        <f>MID(aoc_02_input[[#This Row],[Password]],aoc_02_input[[#This Row],[Int2]],1)</f>
        <v>g</v>
      </c>
      <c r="M316" s="1">
        <f>IF(aoc_02_input[[#This Row],[Pos2]]=aoc_02_input[[#This Row],[Char]],1,0)</f>
        <v>0</v>
      </c>
      <c r="N316" s="1">
        <f>IF(aoc_02_input[[#This Row],[Pos1Valid]]&lt;&gt;aoc_02_input[[#This Row],[Pos2Valid]],1,0)</f>
        <v>0</v>
      </c>
    </row>
    <row r="317" spans="1:14" x14ac:dyDescent="0.45">
      <c r="A317" s="1" t="s">
        <v>654</v>
      </c>
      <c r="B317" s="1" t="s">
        <v>252</v>
      </c>
      <c r="C317" s="1" t="s">
        <v>655</v>
      </c>
      <c r="D317" s="1">
        <f>FIND("-",aoc_02_input[[#This Row],[InputNumbers]])</f>
        <v>2</v>
      </c>
      <c r="E317" s="1">
        <f>_xlfn.NUMBERVALUE(LEFT(aoc_02_input[[#This Row],[InputNumbers]],aoc_02_input[[#This Row],[PosDash]]-1))</f>
        <v>2</v>
      </c>
      <c r="F317" s="1">
        <f>_xlfn.NUMBERVALUE(MID(aoc_02_input[[#This Row],[InputNumbers]],aoc_02_input[[#This Row],[PosDash]]+1,5))</f>
        <v>9</v>
      </c>
      <c r="G317" s="1" t="str">
        <f>LEFT(aoc_02_input[[#This Row],[InputChar]],1)</f>
        <v>p</v>
      </c>
      <c r="H317" s="1" cm="1">
        <f t="array" ref="H317">CountChar(aoc_02_input[[#This Row],[Password]],aoc_02_input[[#This Row],[Char]])</f>
        <v>3</v>
      </c>
      <c r="I317" s="1">
        <f>IF(AND(aoc_02_input[[#This Row],[Int1]]&lt;=aoc_02_input[[#This Row],[CountOfChar]],aoc_02_input[[#This Row],[CountOfChar]]&lt;=aoc_02_input[[#This Row],[Int2]]),1,0)</f>
        <v>1</v>
      </c>
      <c r="J317" s="1" t="str">
        <f>MID(aoc_02_input[[#This Row],[Password]],aoc_02_input[[#This Row],[Int1]],1)</f>
        <v>q</v>
      </c>
      <c r="K317" s="1">
        <f>IF(aoc_02_input[[#This Row],[Pos1]]=aoc_02_input[[#This Row],[Char]],1,0)</f>
        <v>0</v>
      </c>
      <c r="L317" s="1" t="str">
        <f>MID(aoc_02_input[[#This Row],[Password]],aoc_02_input[[#This Row],[Int2]],1)</f>
        <v>m</v>
      </c>
      <c r="M317" s="1">
        <f>IF(aoc_02_input[[#This Row],[Pos2]]=aoc_02_input[[#This Row],[Char]],1,0)</f>
        <v>0</v>
      </c>
      <c r="N317" s="1">
        <f>IF(aoc_02_input[[#This Row],[Pos1Valid]]&lt;&gt;aoc_02_input[[#This Row],[Pos2Valid]],1,0)</f>
        <v>0</v>
      </c>
    </row>
    <row r="318" spans="1:14" x14ac:dyDescent="0.45">
      <c r="A318" s="1" t="s">
        <v>251</v>
      </c>
      <c r="B318" s="1" t="s">
        <v>314</v>
      </c>
      <c r="C318" s="1" t="s">
        <v>656</v>
      </c>
      <c r="D318" s="1">
        <f>FIND("-",aoc_02_input[[#This Row],[InputNumbers]])</f>
        <v>2</v>
      </c>
      <c r="E318" s="1">
        <f>_xlfn.NUMBERVALUE(LEFT(aoc_02_input[[#This Row],[InputNumbers]],aoc_02_input[[#This Row],[PosDash]]-1))</f>
        <v>5</v>
      </c>
      <c r="F318" s="1">
        <f>_xlfn.NUMBERVALUE(MID(aoc_02_input[[#This Row],[InputNumbers]],aoc_02_input[[#This Row],[PosDash]]+1,5))</f>
        <v>6</v>
      </c>
      <c r="G318" s="1" t="str">
        <f>LEFT(aoc_02_input[[#This Row],[InputChar]],1)</f>
        <v>h</v>
      </c>
      <c r="H318" s="1" cm="1">
        <f t="array" ref="H318">CountChar(aoc_02_input[[#This Row],[Password]],aoc_02_input[[#This Row],[Char]])</f>
        <v>2</v>
      </c>
      <c r="I318" s="1">
        <f>IF(AND(aoc_02_input[[#This Row],[Int1]]&lt;=aoc_02_input[[#This Row],[CountOfChar]],aoc_02_input[[#This Row],[CountOfChar]]&lt;=aoc_02_input[[#This Row],[Int2]]),1,0)</f>
        <v>0</v>
      </c>
      <c r="J318" s="1" t="str">
        <f>MID(aoc_02_input[[#This Row],[Password]],aoc_02_input[[#This Row],[Int1]],1)</f>
        <v>g</v>
      </c>
      <c r="K318" s="1">
        <f>IF(aoc_02_input[[#This Row],[Pos1]]=aoc_02_input[[#This Row],[Char]],1,0)</f>
        <v>0</v>
      </c>
      <c r="L318" s="1" t="str">
        <f>MID(aoc_02_input[[#This Row],[Password]],aoc_02_input[[#This Row],[Int2]],1)</f>
        <v>h</v>
      </c>
      <c r="M318" s="1">
        <f>IF(aoc_02_input[[#This Row],[Pos2]]=aoc_02_input[[#This Row],[Char]],1,0)</f>
        <v>1</v>
      </c>
      <c r="N318" s="1">
        <f>IF(aoc_02_input[[#This Row],[Pos1Valid]]&lt;&gt;aoc_02_input[[#This Row],[Pos2Valid]],1,0)</f>
        <v>1</v>
      </c>
    </row>
    <row r="319" spans="1:14" x14ac:dyDescent="0.45">
      <c r="A319" s="1" t="s">
        <v>657</v>
      </c>
      <c r="B319" s="1" t="s">
        <v>246</v>
      </c>
      <c r="C319" s="1" t="s">
        <v>658</v>
      </c>
      <c r="D319" s="1">
        <f>FIND("-",aoc_02_input[[#This Row],[InputNumbers]])</f>
        <v>2</v>
      </c>
      <c r="E319" s="1">
        <f>_xlfn.NUMBERVALUE(LEFT(aoc_02_input[[#This Row],[InputNumbers]],aoc_02_input[[#This Row],[PosDash]]-1))</f>
        <v>2</v>
      </c>
      <c r="F319" s="1">
        <f>_xlfn.NUMBERVALUE(MID(aoc_02_input[[#This Row],[InputNumbers]],aoc_02_input[[#This Row],[PosDash]]+1,5))</f>
        <v>14</v>
      </c>
      <c r="G319" s="1" t="str">
        <f>LEFT(aoc_02_input[[#This Row],[InputChar]],1)</f>
        <v>n</v>
      </c>
      <c r="H319" s="1" cm="1">
        <f t="array" ref="H319">CountChar(aoc_02_input[[#This Row],[Password]],aoc_02_input[[#This Row],[Char]])</f>
        <v>8</v>
      </c>
      <c r="I319" s="1">
        <f>IF(AND(aoc_02_input[[#This Row],[Int1]]&lt;=aoc_02_input[[#This Row],[CountOfChar]],aoc_02_input[[#This Row],[CountOfChar]]&lt;=aoc_02_input[[#This Row],[Int2]]),1,0)</f>
        <v>1</v>
      </c>
      <c r="J319" s="1" t="str">
        <f>MID(aoc_02_input[[#This Row],[Password]],aoc_02_input[[#This Row],[Int1]],1)</f>
        <v>n</v>
      </c>
      <c r="K319" s="1">
        <f>IF(aoc_02_input[[#This Row],[Pos1]]=aoc_02_input[[#This Row],[Char]],1,0)</f>
        <v>1</v>
      </c>
      <c r="L319" s="1" t="str">
        <f>MID(aoc_02_input[[#This Row],[Password]],aoc_02_input[[#This Row],[Int2]],1)</f>
        <v>d</v>
      </c>
      <c r="M319" s="1">
        <f>IF(aoc_02_input[[#This Row],[Pos2]]=aoc_02_input[[#This Row],[Char]],1,0)</f>
        <v>0</v>
      </c>
      <c r="N319" s="1">
        <f>IF(aoc_02_input[[#This Row],[Pos1Valid]]&lt;&gt;aoc_02_input[[#This Row],[Pos2Valid]],1,0)</f>
        <v>1</v>
      </c>
    </row>
    <row r="320" spans="1:14" x14ac:dyDescent="0.45">
      <c r="A320" s="1" t="s">
        <v>375</v>
      </c>
      <c r="B320" s="1" t="s">
        <v>305</v>
      </c>
      <c r="C320" s="1" t="s">
        <v>659</v>
      </c>
      <c r="D320" s="1">
        <f>FIND("-",aoc_02_input[[#This Row],[InputNumbers]])</f>
        <v>2</v>
      </c>
      <c r="E320" s="1">
        <f>_xlfn.NUMBERVALUE(LEFT(aoc_02_input[[#This Row],[InputNumbers]],aoc_02_input[[#This Row],[PosDash]]-1))</f>
        <v>3</v>
      </c>
      <c r="F320" s="1">
        <f>_xlfn.NUMBERVALUE(MID(aoc_02_input[[#This Row],[InputNumbers]],aoc_02_input[[#This Row],[PosDash]]+1,5))</f>
        <v>13</v>
      </c>
      <c r="G320" s="1" t="str">
        <f>LEFT(aoc_02_input[[#This Row],[InputChar]],1)</f>
        <v>s</v>
      </c>
      <c r="H320" s="1" cm="1">
        <f t="array" ref="H320">CountChar(aoc_02_input[[#This Row],[Password]],aoc_02_input[[#This Row],[Char]])</f>
        <v>8</v>
      </c>
      <c r="I320" s="1">
        <f>IF(AND(aoc_02_input[[#This Row],[Int1]]&lt;=aoc_02_input[[#This Row],[CountOfChar]],aoc_02_input[[#This Row],[CountOfChar]]&lt;=aoc_02_input[[#This Row],[Int2]]),1,0)</f>
        <v>1</v>
      </c>
      <c r="J320" s="1" t="str">
        <f>MID(aoc_02_input[[#This Row],[Password]],aoc_02_input[[#This Row],[Int1]],1)</f>
        <v>w</v>
      </c>
      <c r="K320" s="1">
        <f>IF(aoc_02_input[[#This Row],[Pos1]]=aoc_02_input[[#This Row],[Char]],1,0)</f>
        <v>0</v>
      </c>
      <c r="L320" s="1" t="str">
        <f>MID(aoc_02_input[[#This Row],[Password]],aoc_02_input[[#This Row],[Int2]],1)</f>
        <v>w</v>
      </c>
      <c r="M320" s="1">
        <f>IF(aoc_02_input[[#This Row],[Pos2]]=aoc_02_input[[#This Row],[Char]],1,0)</f>
        <v>0</v>
      </c>
      <c r="N320" s="1">
        <f>IF(aoc_02_input[[#This Row],[Pos1Valid]]&lt;&gt;aoc_02_input[[#This Row],[Pos2Valid]],1,0)</f>
        <v>0</v>
      </c>
    </row>
    <row r="321" spans="1:14" x14ac:dyDescent="0.45">
      <c r="A321" s="1" t="s">
        <v>660</v>
      </c>
      <c r="B321" s="1" t="s">
        <v>243</v>
      </c>
      <c r="C321" s="1" t="s">
        <v>661</v>
      </c>
      <c r="D321" s="1">
        <f>FIND("-",aoc_02_input[[#This Row],[InputNumbers]])</f>
        <v>2</v>
      </c>
      <c r="E321" s="1">
        <f>_xlfn.NUMBERVALUE(LEFT(aoc_02_input[[#This Row],[InputNumbers]],aoc_02_input[[#This Row],[PosDash]]-1))</f>
        <v>4</v>
      </c>
      <c r="F321" s="1">
        <f>_xlfn.NUMBERVALUE(MID(aoc_02_input[[#This Row],[InputNumbers]],aoc_02_input[[#This Row],[PosDash]]+1,5))</f>
        <v>12</v>
      </c>
      <c r="G321" s="1" t="str">
        <f>LEFT(aoc_02_input[[#This Row],[InputChar]],1)</f>
        <v>f</v>
      </c>
      <c r="H321" s="1" cm="1">
        <f t="array" ref="H321">CountChar(aoc_02_input[[#This Row],[Password]],aoc_02_input[[#This Row],[Char]])</f>
        <v>2</v>
      </c>
      <c r="I321" s="1">
        <f>IF(AND(aoc_02_input[[#This Row],[Int1]]&lt;=aoc_02_input[[#This Row],[CountOfChar]],aoc_02_input[[#This Row],[CountOfChar]]&lt;=aoc_02_input[[#This Row],[Int2]]),1,0)</f>
        <v>0</v>
      </c>
      <c r="J321" s="1" t="str">
        <f>MID(aoc_02_input[[#This Row],[Password]],aoc_02_input[[#This Row],[Int1]],1)</f>
        <v>f</v>
      </c>
      <c r="K321" s="1">
        <f>IF(aoc_02_input[[#This Row],[Pos1]]=aoc_02_input[[#This Row],[Char]],1,0)</f>
        <v>1</v>
      </c>
      <c r="L321" s="1" t="str">
        <f>MID(aoc_02_input[[#This Row],[Password]],aoc_02_input[[#This Row],[Int2]],1)</f>
        <v>w</v>
      </c>
      <c r="M321" s="1">
        <f>IF(aoc_02_input[[#This Row],[Pos2]]=aoc_02_input[[#This Row],[Char]],1,0)</f>
        <v>0</v>
      </c>
      <c r="N321" s="1">
        <f>IF(aoc_02_input[[#This Row],[Pos1Valid]]&lt;&gt;aoc_02_input[[#This Row],[Pos2Valid]],1,0)</f>
        <v>1</v>
      </c>
    </row>
    <row r="322" spans="1:14" x14ac:dyDescent="0.45">
      <c r="A322" s="1" t="s">
        <v>273</v>
      </c>
      <c r="B322" s="1" t="s">
        <v>314</v>
      </c>
      <c r="C322" s="1" t="s">
        <v>662</v>
      </c>
      <c r="D322" s="1">
        <f>FIND("-",aoc_02_input[[#This Row],[InputNumbers]])</f>
        <v>2</v>
      </c>
      <c r="E322" s="1">
        <f>_xlfn.NUMBERVALUE(LEFT(aoc_02_input[[#This Row],[InputNumbers]],aoc_02_input[[#This Row],[PosDash]]-1))</f>
        <v>6</v>
      </c>
      <c r="F322" s="1">
        <f>_xlfn.NUMBERVALUE(MID(aoc_02_input[[#This Row],[InputNumbers]],aoc_02_input[[#This Row],[PosDash]]+1,5))</f>
        <v>11</v>
      </c>
      <c r="G322" s="1" t="str">
        <f>LEFT(aoc_02_input[[#This Row],[InputChar]],1)</f>
        <v>h</v>
      </c>
      <c r="H322" s="1" cm="1">
        <f t="array" ref="H322">CountChar(aoc_02_input[[#This Row],[Password]],aoc_02_input[[#This Row],[Char]])</f>
        <v>5</v>
      </c>
      <c r="I322" s="1">
        <f>IF(AND(aoc_02_input[[#This Row],[Int1]]&lt;=aoc_02_input[[#This Row],[CountOfChar]],aoc_02_input[[#This Row],[CountOfChar]]&lt;=aoc_02_input[[#This Row],[Int2]]),1,0)</f>
        <v>0</v>
      </c>
      <c r="J322" s="1" t="str">
        <f>MID(aoc_02_input[[#This Row],[Password]],aoc_02_input[[#This Row],[Int1]],1)</f>
        <v>h</v>
      </c>
      <c r="K322" s="1">
        <f>IF(aoc_02_input[[#This Row],[Pos1]]=aoc_02_input[[#This Row],[Char]],1,0)</f>
        <v>1</v>
      </c>
      <c r="L322" s="1" t="str">
        <f>MID(aoc_02_input[[#This Row],[Password]],aoc_02_input[[#This Row],[Int2]],1)</f>
        <v>h</v>
      </c>
      <c r="M322" s="1">
        <f>IF(aoc_02_input[[#This Row],[Pos2]]=aoc_02_input[[#This Row],[Char]],1,0)</f>
        <v>1</v>
      </c>
      <c r="N322" s="1">
        <f>IF(aoc_02_input[[#This Row],[Pos1Valid]]&lt;&gt;aoc_02_input[[#This Row],[Pos2Valid]],1,0)</f>
        <v>0</v>
      </c>
    </row>
    <row r="323" spans="1:14" x14ac:dyDescent="0.45">
      <c r="A323" s="1" t="s">
        <v>234</v>
      </c>
      <c r="B323" s="1" t="s">
        <v>265</v>
      </c>
      <c r="C323" s="1" t="s">
        <v>663</v>
      </c>
      <c r="D323" s="1">
        <f>FIND("-",aoc_02_input[[#This Row],[InputNumbers]])</f>
        <v>2</v>
      </c>
      <c r="E323" s="1">
        <f>_xlfn.NUMBERVALUE(LEFT(aoc_02_input[[#This Row],[InputNumbers]],aoc_02_input[[#This Row],[PosDash]]-1))</f>
        <v>7</v>
      </c>
      <c r="F323" s="1">
        <f>_xlfn.NUMBERVALUE(MID(aoc_02_input[[#This Row],[InputNumbers]],aoc_02_input[[#This Row],[PosDash]]+1,5))</f>
        <v>8</v>
      </c>
      <c r="G323" s="1" t="str">
        <f>LEFT(aoc_02_input[[#This Row],[InputChar]],1)</f>
        <v>r</v>
      </c>
      <c r="H323" s="1" cm="1">
        <f t="array" ref="H323">CountChar(aoc_02_input[[#This Row],[Password]],aoc_02_input[[#This Row],[Char]])</f>
        <v>10</v>
      </c>
      <c r="I323" s="1">
        <f>IF(AND(aoc_02_input[[#This Row],[Int1]]&lt;=aoc_02_input[[#This Row],[CountOfChar]],aoc_02_input[[#This Row],[CountOfChar]]&lt;=aoc_02_input[[#This Row],[Int2]]),1,0)</f>
        <v>0</v>
      </c>
      <c r="J323" s="1" t="str">
        <f>MID(aoc_02_input[[#This Row],[Password]],aoc_02_input[[#This Row],[Int1]],1)</f>
        <v>z</v>
      </c>
      <c r="K323" s="1">
        <f>IF(aoc_02_input[[#This Row],[Pos1]]=aoc_02_input[[#This Row],[Char]],1,0)</f>
        <v>0</v>
      </c>
      <c r="L323" s="1" t="str">
        <f>MID(aoc_02_input[[#This Row],[Password]],aoc_02_input[[#This Row],[Int2]],1)</f>
        <v>r</v>
      </c>
      <c r="M323" s="1">
        <f>IF(aoc_02_input[[#This Row],[Pos2]]=aoc_02_input[[#This Row],[Char]],1,0)</f>
        <v>1</v>
      </c>
      <c r="N323" s="1">
        <f>IF(aoc_02_input[[#This Row],[Pos1Valid]]&lt;&gt;aoc_02_input[[#This Row],[Pos2Valid]],1,0)</f>
        <v>1</v>
      </c>
    </row>
    <row r="324" spans="1:14" x14ac:dyDescent="0.45">
      <c r="A324" s="1" t="s">
        <v>664</v>
      </c>
      <c r="B324" s="1" t="s">
        <v>249</v>
      </c>
      <c r="C324" s="1" t="s">
        <v>665</v>
      </c>
      <c r="D324" s="1">
        <f>FIND("-",aoc_02_input[[#This Row],[InputNumbers]])</f>
        <v>2</v>
      </c>
      <c r="E324" s="1">
        <f>_xlfn.NUMBERVALUE(LEFT(aoc_02_input[[#This Row],[InputNumbers]],aoc_02_input[[#This Row],[PosDash]]-1))</f>
        <v>1</v>
      </c>
      <c r="F324" s="1">
        <f>_xlfn.NUMBERVALUE(MID(aoc_02_input[[#This Row],[InputNumbers]],aoc_02_input[[#This Row],[PosDash]]+1,5))</f>
        <v>11</v>
      </c>
      <c r="G324" s="1" t="str">
        <f>LEFT(aoc_02_input[[#This Row],[InputChar]],1)</f>
        <v>q</v>
      </c>
      <c r="H324" s="1" cm="1">
        <f t="array" ref="H324">CountChar(aoc_02_input[[#This Row],[Password]],aoc_02_input[[#This Row],[Char]])</f>
        <v>8</v>
      </c>
      <c r="I324" s="1">
        <f>IF(AND(aoc_02_input[[#This Row],[Int1]]&lt;=aoc_02_input[[#This Row],[CountOfChar]],aoc_02_input[[#This Row],[CountOfChar]]&lt;=aoc_02_input[[#This Row],[Int2]]),1,0)</f>
        <v>1</v>
      </c>
      <c r="J324" s="1" t="str">
        <f>MID(aoc_02_input[[#This Row],[Password]],aoc_02_input[[#This Row],[Int1]],1)</f>
        <v>f</v>
      </c>
      <c r="K324" s="1">
        <f>IF(aoc_02_input[[#This Row],[Pos1]]=aoc_02_input[[#This Row],[Char]],1,0)</f>
        <v>0</v>
      </c>
      <c r="L324" s="1" t="str">
        <f>MID(aoc_02_input[[#This Row],[Password]],aoc_02_input[[#This Row],[Int2]],1)</f>
        <v>q</v>
      </c>
      <c r="M324" s="1">
        <f>IF(aoc_02_input[[#This Row],[Pos2]]=aoc_02_input[[#This Row],[Char]],1,0)</f>
        <v>1</v>
      </c>
      <c r="N324" s="1">
        <f>IF(aoc_02_input[[#This Row],[Pos1Valid]]&lt;&gt;aoc_02_input[[#This Row],[Pos2Valid]],1,0)</f>
        <v>1</v>
      </c>
    </row>
    <row r="325" spans="1:14" x14ac:dyDescent="0.45">
      <c r="A325" s="1" t="s">
        <v>441</v>
      </c>
      <c r="B325" s="1" t="s">
        <v>235</v>
      </c>
      <c r="C325" s="1" t="s">
        <v>666</v>
      </c>
      <c r="D325" s="1">
        <f>FIND("-",aoc_02_input[[#This Row],[InputNumbers]])</f>
        <v>3</v>
      </c>
      <c r="E325" s="1">
        <f>_xlfn.NUMBERVALUE(LEFT(aoc_02_input[[#This Row],[InputNumbers]],aoc_02_input[[#This Row],[PosDash]]-1))</f>
        <v>11</v>
      </c>
      <c r="F325" s="1">
        <f>_xlfn.NUMBERVALUE(MID(aoc_02_input[[#This Row],[InputNumbers]],aoc_02_input[[#This Row],[PosDash]]+1,5))</f>
        <v>13</v>
      </c>
      <c r="G325" s="1" t="str">
        <f>LEFT(aoc_02_input[[#This Row],[InputChar]],1)</f>
        <v>d</v>
      </c>
      <c r="H325" s="1" cm="1">
        <f t="array" ref="H325">CountChar(aoc_02_input[[#This Row],[Password]],aoc_02_input[[#This Row],[Char]])</f>
        <v>13</v>
      </c>
      <c r="I325" s="1">
        <f>IF(AND(aoc_02_input[[#This Row],[Int1]]&lt;=aoc_02_input[[#This Row],[CountOfChar]],aoc_02_input[[#This Row],[CountOfChar]]&lt;=aoc_02_input[[#This Row],[Int2]]),1,0)</f>
        <v>1</v>
      </c>
      <c r="J325" s="1" t="str">
        <f>MID(aoc_02_input[[#This Row],[Password]],aoc_02_input[[#This Row],[Int1]],1)</f>
        <v>d</v>
      </c>
      <c r="K325" s="1">
        <f>IF(aoc_02_input[[#This Row],[Pos1]]=aoc_02_input[[#This Row],[Char]],1,0)</f>
        <v>1</v>
      </c>
      <c r="L325" s="1" t="str">
        <f>MID(aoc_02_input[[#This Row],[Password]],aoc_02_input[[#This Row],[Int2]],1)</f>
        <v>d</v>
      </c>
      <c r="M325" s="1">
        <f>IF(aoc_02_input[[#This Row],[Pos2]]=aoc_02_input[[#This Row],[Char]],1,0)</f>
        <v>1</v>
      </c>
      <c r="N325" s="1">
        <f>IF(aoc_02_input[[#This Row],[Pos1Valid]]&lt;&gt;aoc_02_input[[#This Row],[Pos2Valid]],1,0)</f>
        <v>0</v>
      </c>
    </row>
    <row r="326" spans="1:14" x14ac:dyDescent="0.45">
      <c r="A326" s="1" t="s">
        <v>218</v>
      </c>
      <c r="B326" s="1" t="s">
        <v>235</v>
      </c>
      <c r="C326" s="1" t="s">
        <v>667</v>
      </c>
      <c r="D326" s="1">
        <f>FIND("-",aoc_02_input[[#This Row],[InputNumbers]])</f>
        <v>2</v>
      </c>
      <c r="E326" s="1">
        <f>_xlfn.NUMBERVALUE(LEFT(aoc_02_input[[#This Row],[InputNumbers]],aoc_02_input[[#This Row],[PosDash]]-1))</f>
        <v>6</v>
      </c>
      <c r="F326" s="1">
        <f>_xlfn.NUMBERVALUE(MID(aoc_02_input[[#This Row],[InputNumbers]],aoc_02_input[[#This Row],[PosDash]]+1,5))</f>
        <v>8</v>
      </c>
      <c r="G326" s="1" t="str">
        <f>LEFT(aoc_02_input[[#This Row],[InputChar]],1)</f>
        <v>d</v>
      </c>
      <c r="H326" s="1" cm="1">
        <f t="array" ref="H326">CountChar(aoc_02_input[[#This Row],[Password]],aoc_02_input[[#This Row],[Char]])</f>
        <v>7</v>
      </c>
      <c r="I326" s="1">
        <f>IF(AND(aoc_02_input[[#This Row],[Int1]]&lt;=aoc_02_input[[#This Row],[CountOfChar]],aoc_02_input[[#This Row],[CountOfChar]]&lt;=aoc_02_input[[#This Row],[Int2]]),1,0)</f>
        <v>1</v>
      </c>
      <c r="J326" s="1" t="str">
        <f>MID(aoc_02_input[[#This Row],[Password]],aoc_02_input[[#This Row],[Int1]],1)</f>
        <v>q</v>
      </c>
      <c r="K326" s="1">
        <f>IF(aoc_02_input[[#This Row],[Pos1]]=aoc_02_input[[#This Row],[Char]],1,0)</f>
        <v>0</v>
      </c>
      <c r="L326" s="1" t="str">
        <f>MID(aoc_02_input[[#This Row],[Password]],aoc_02_input[[#This Row],[Int2]],1)</f>
        <v>d</v>
      </c>
      <c r="M326" s="1">
        <f>IF(aoc_02_input[[#This Row],[Pos2]]=aoc_02_input[[#This Row],[Char]],1,0)</f>
        <v>1</v>
      </c>
      <c r="N326" s="1">
        <f>IF(aoc_02_input[[#This Row],[Pos1Valid]]&lt;&gt;aoc_02_input[[#This Row],[Pos2Valid]],1,0)</f>
        <v>1</v>
      </c>
    </row>
    <row r="327" spans="1:14" x14ac:dyDescent="0.45">
      <c r="A327" s="1" t="s">
        <v>581</v>
      </c>
      <c r="B327" s="1" t="s">
        <v>228</v>
      </c>
      <c r="C327" s="1" t="s">
        <v>668</v>
      </c>
      <c r="D327" s="1">
        <f>FIND("-",aoc_02_input[[#This Row],[InputNumbers]])</f>
        <v>2</v>
      </c>
      <c r="E327" s="1">
        <f>_xlfn.NUMBERVALUE(LEFT(aoc_02_input[[#This Row],[InputNumbers]],aoc_02_input[[#This Row],[PosDash]]-1))</f>
        <v>7</v>
      </c>
      <c r="F327" s="1">
        <f>_xlfn.NUMBERVALUE(MID(aoc_02_input[[#This Row],[InputNumbers]],aoc_02_input[[#This Row],[PosDash]]+1,5))</f>
        <v>17</v>
      </c>
      <c r="G327" s="1" t="str">
        <f>LEFT(aoc_02_input[[#This Row],[InputChar]],1)</f>
        <v>t</v>
      </c>
      <c r="H327" s="1" cm="1">
        <f t="array" ref="H327">CountChar(aoc_02_input[[#This Row],[Password]],aoc_02_input[[#This Row],[Char]])</f>
        <v>1</v>
      </c>
      <c r="I327" s="1">
        <f>IF(AND(aoc_02_input[[#This Row],[Int1]]&lt;=aoc_02_input[[#This Row],[CountOfChar]],aoc_02_input[[#This Row],[CountOfChar]]&lt;=aoc_02_input[[#This Row],[Int2]]),1,0)</f>
        <v>0</v>
      </c>
      <c r="J327" s="1" t="str">
        <f>MID(aoc_02_input[[#This Row],[Password]],aoc_02_input[[#This Row],[Int1]],1)</f>
        <v>j</v>
      </c>
      <c r="K327" s="1">
        <f>IF(aoc_02_input[[#This Row],[Pos1]]=aoc_02_input[[#This Row],[Char]],1,0)</f>
        <v>0</v>
      </c>
      <c r="L327" s="1" t="str">
        <f>MID(aoc_02_input[[#This Row],[Password]],aoc_02_input[[#This Row],[Int2]],1)</f>
        <v>s</v>
      </c>
      <c r="M327" s="1">
        <f>IF(aoc_02_input[[#This Row],[Pos2]]=aoc_02_input[[#This Row],[Char]],1,0)</f>
        <v>0</v>
      </c>
      <c r="N327" s="1">
        <f>IF(aoc_02_input[[#This Row],[Pos1Valid]]&lt;&gt;aoc_02_input[[#This Row],[Pos2Valid]],1,0)</f>
        <v>0</v>
      </c>
    </row>
    <row r="328" spans="1:14" x14ac:dyDescent="0.45">
      <c r="A328" s="1" t="s">
        <v>227</v>
      </c>
      <c r="B328" s="1" t="s">
        <v>238</v>
      </c>
      <c r="C328" s="1" t="s">
        <v>669</v>
      </c>
      <c r="D328" s="1">
        <f>FIND("-",aoc_02_input[[#This Row],[InputNumbers]])</f>
        <v>2</v>
      </c>
      <c r="E328" s="1">
        <f>_xlfn.NUMBERVALUE(LEFT(aoc_02_input[[#This Row],[InputNumbers]],aoc_02_input[[#This Row],[PosDash]]-1))</f>
        <v>4</v>
      </c>
      <c r="F328" s="1">
        <f>_xlfn.NUMBERVALUE(MID(aoc_02_input[[#This Row],[InputNumbers]],aoc_02_input[[#This Row],[PosDash]]+1,5))</f>
        <v>5</v>
      </c>
      <c r="G328" s="1" t="str">
        <f>LEFT(aoc_02_input[[#This Row],[InputChar]],1)</f>
        <v>w</v>
      </c>
      <c r="H328" s="1" cm="1">
        <f t="array" ref="H328">CountChar(aoc_02_input[[#This Row],[Password]],aoc_02_input[[#This Row],[Char]])</f>
        <v>5</v>
      </c>
      <c r="I328" s="1">
        <f>IF(AND(aoc_02_input[[#This Row],[Int1]]&lt;=aoc_02_input[[#This Row],[CountOfChar]],aoc_02_input[[#This Row],[CountOfChar]]&lt;=aoc_02_input[[#This Row],[Int2]]),1,0)</f>
        <v>1</v>
      </c>
      <c r="J328" s="1" t="str">
        <f>MID(aoc_02_input[[#This Row],[Password]],aoc_02_input[[#This Row],[Int1]],1)</f>
        <v>f</v>
      </c>
      <c r="K328" s="1">
        <f>IF(aoc_02_input[[#This Row],[Pos1]]=aoc_02_input[[#This Row],[Char]],1,0)</f>
        <v>0</v>
      </c>
      <c r="L328" s="1" t="str">
        <f>MID(aoc_02_input[[#This Row],[Password]],aoc_02_input[[#This Row],[Int2]],1)</f>
        <v>m</v>
      </c>
      <c r="M328" s="1">
        <f>IF(aoc_02_input[[#This Row],[Pos2]]=aoc_02_input[[#This Row],[Char]],1,0)</f>
        <v>0</v>
      </c>
      <c r="N328" s="1">
        <f>IF(aoc_02_input[[#This Row],[Pos1Valid]]&lt;&gt;aoc_02_input[[#This Row],[Pos2Valid]],1,0)</f>
        <v>0</v>
      </c>
    </row>
    <row r="329" spans="1:14" x14ac:dyDescent="0.45">
      <c r="A329" s="1" t="s">
        <v>283</v>
      </c>
      <c r="B329" s="1" t="s">
        <v>305</v>
      </c>
      <c r="C329" s="1" t="s">
        <v>670</v>
      </c>
      <c r="D329" s="1">
        <f>FIND("-",aoc_02_input[[#This Row],[InputNumbers]])</f>
        <v>2</v>
      </c>
      <c r="E329" s="1">
        <f>_xlfn.NUMBERVALUE(LEFT(aoc_02_input[[#This Row],[InputNumbers]],aoc_02_input[[#This Row],[PosDash]]-1))</f>
        <v>3</v>
      </c>
      <c r="F329" s="1">
        <f>_xlfn.NUMBERVALUE(MID(aoc_02_input[[#This Row],[InputNumbers]],aoc_02_input[[#This Row],[PosDash]]+1,5))</f>
        <v>4</v>
      </c>
      <c r="G329" s="1" t="str">
        <f>LEFT(aoc_02_input[[#This Row],[InputChar]],1)</f>
        <v>s</v>
      </c>
      <c r="H329" s="1" cm="1">
        <f t="array" ref="H329">CountChar(aoc_02_input[[#This Row],[Password]],aoc_02_input[[#This Row],[Char]])</f>
        <v>5</v>
      </c>
      <c r="I329" s="1">
        <f>IF(AND(aoc_02_input[[#This Row],[Int1]]&lt;=aoc_02_input[[#This Row],[CountOfChar]],aoc_02_input[[#This Row],[CountOfChar]]&lt;=aoc_02_input[[#This Row],[Int2]]),1,0)</f>
        <v>0</v>
      </c>
      <c r="J329" s="1" t="str">
        <f>MID(aoc_02_input[[#This Row],[Password]],aoc_02_input[[#This Row],[Int1]],1)</f>
        <v>s</v>
      </c>
      <c r="K329" s="1">
        <f>IF(aoc_02_input[[#This Row],[Pos1]]=aoc_02_input[[#This Row],[Char]],1,0)</f>
        <v>1</v>
      </c>
      <c r="L329" s="1" t="str">
        <f>MID(aoc_02_input[[#This Row],[Password]],aoc_02_input[[#This Row],[Int2]],1)</f>
        <v>s</v>
      </c>
      <c r="M329" s="1">
        <f>IF(aoc_02_input[[#This Row],[Pos2]]=aoc_02_input[[#This Row],[Char]],1,0)</f>
        <v>1</v>
      </c>
      <c r="N329" s="1">
        <f>IF(aoc_02_input[[#This Row],[Pos1Valid]]&lt;&gt;aoc_02_input[[#This Row],[Pos2Valid]],1,0)</f>
        <v>0</v>
      </c>
    </row>
    <row r="330" spans="1:14" x14ac:dyDescent="0.45">
      <c r="A330" s="1" t="s">
        <v>671</v>
      </c>
      <c r="B330" s="1" t="s">
        <v>249</v>
      </c>
      <c r="C330" s="1" t="s">
        <v>672</v>
      </c>
      <c r="D330" s="1">
        <f>FIND("-",aoc_02_input[[#This Row],[InputNumbers]])</f>
        <v>2</v>
      </c>
      <c r="E330" s="1">
        <f>_xlfn.NUMBERVALUE(LEFT(aoc_02_input[[#This Row],[InputNumbers]],aoc_02_input[[#This Row],[PosDash]]-1))</f>
        <v>9</v>
      </c>
      <c r="F330" s="1">
        <f>_xlfn.NUMBERVALUE(MID(aoc_02_input[[#This Row],[InputNumbers]],aoc_02_input[[#This Row],[PosDash]]+1,5))</f>
        <v>16</v>
      </c>
      <c r="G330" s="1" t="str">
        <f>LEFT(aoc_02_input[[#This Row],[InputChar]],1)</f>
        <v>q</v>
      </c>
      <c r="H330" s="1" cm="1">
        <f t="array" ref="H330">CountChar(aoc_02_input[[#This Row],[Password]],aoc_02_input[[#This Row],[Char]])</f>
        <v>12</v>
      </c>
      <c r="I330" s="1">
        <f>IF(AND(aoc_02_input[[#This Row],[Int1]]&lt;=aoc_02_input[[#This Row],[CountOfChar]],aoc_02_input[[#This Row],[CountOfChar]]&lt;=aoc_02_input[[#This Row],[Int2]]),1,0)</f>
        <v>1</v>
      </c>
      <c r="J330" s="1" t="str">
        <f>MID(aoc_02_input[[#This Row],[Password]],aoc_02_input[[#This Row],[Int1]],1)</f>
        <v>q</v>
      </c>
      <c r="K330" s="1">
        <f>IF(aoc_02_input[[#This Row],[Pos1]]=aoc_02_input[[#This Row],[Char]],1,0)</f>
        <v>1</v>
      </c>
      <c r="L330" s="1" t="str">
        <f>MID(aoc_02_input[[#This Row],[Password]],aoc_02_input[[#This Row],[Int2]],1)</f>
        <v>d</v>
      </c>
      <c r="M330" s="1">
        <f>IF(aoc_02_input[[#This Row],[Pos2]]=aoc_02_input[[#This Row],[Char]],1,0)</f>
        <v>0</v>
      </c>
      <c r="N330" s="1">
        <f>IF(aoc_02_input[[#This Row],[Pos1Valid]]&lt;&gt;aoc_02_input[[#This Row],[Pos2Valid]],1,0)</f>
        <v>1</v>
      </c>
    </row>
    <row r="331" spans="1:14" x14ac:dyDescent="0.45">
      <c r="A331" s="1" t="s">
        <v>294</v>
      </c>
      <c r="B331" s="1" t="s">
        <v>254</v>
      </c>
      <c r="C331" s="1" t="s">
        <v>673</v>
      </c>
      <c r="D331" s="1">
        <f>FIND("-",aoc_02_input[[#This Row],[InputNumbers]])</f>
        <v>2</v>
      </c>
      <c r="E331" s="1">
        <f>_xlfn.NUMBERVALUE(LEFT(aoc_02_input[[#This Row],[InputNumbers]],aoc_02_input[[#This Row],[PosDash]]-1))</f>
        <v>7</v>
      </c>
      <c r="F331" s="1">
        <f>_xlfn.NUMBERVALUE(MID(aoc_02_input[[#This Row],[InputNumbers]],aoc_02_input[[#This Row],[PosDash]]+1,5))</f>
        <v>11</v>
      </c>
      <c r="G331" s="1" t="str">
        <f>LEFT(aoc_02_input[[#This Row],[InputChar]],1)</f>
        <v>k</v>
      </c>
      <c r="H331" s="1" cm="1">
        <f t="array" ref="H331">CountChar(aoc_02_input[[#This Row],[Password]],aoc_02_input[[#This Row],[Char]])</f>
        <v>12</v>
      </c>
      <c r="I331" s="1">
        <f>IF(AND(aoc_02_input[[#This Row],[Int1]]&lt;=aoc_02_input[[#This Row],[CountOfChar]],aoc_02_input[[#This Row],[CountOfChar]]&lt;=aoc_02_input[[#This Row],[Int2]]),1,0)</f>
        <v>0</v>
      </c>
      <c r="J331" s="1" t="str">
        <f>MID(aoc_02_input[[#This Row],[Password]],aoc_02_input[[#This Row],[Int1]],1)</f>
        <v>k</v>
      </c>
      <c r="K331" s="1">
        <f>IF(aoc_02_input[[#This Row],[Pos1]]=aoc_02_input[[#This Row],[Char]],1,0)</f>
        <v>1</v>
      </c>
      <c r="L331" s="1" t="str">
        <f>MID(aoc_02_input[[#This Row],[Password]],aoc_02_input[[#This Row],[Int2]],1)</f>
        <v>k</v>
      </c>
      <c r="M331" s="1">
        <f>IF(aoc_02_input[[#This Row],[Pos2]]=aoc_02_input[[#This Row],[Char]],1,0)</f>
        <v>1</v>
      </c>
      <c r="N331" s="1">
        <f>IF(aoc_02_input[[#This Row],[Pos1Valid]]&lt;&gt;aoc_02_input[[#This Row],[Pos2Valid]],1,0)</f>
        <v>0</v>
      </c>
    </row>
    <row r="332" spans="1:14" x14ac:dyDescent="0.45">
      <c r="A332" s="1" t="s">
        <v>311</v>
      </c>
      <c r="B332" s="1" t="s">
        <v>225</v>
      </c>
      <c r="C332" s="1" t="s">
        <v>674</v>
      </c>
      <c r="D332" s="1">
        <f>FIND("-",aoc_02_input[[#This Row],[InputNumbers]])</f>
        <v>2</v>
      </c>
      <c r="E332" s="1">
        <f>_xlfn.NUMBERVALUE(LEFT(aoc_02_input[[#This Row],[InputNumbers]],aoc_02_input[[#This Row],[PosDash]]-1))</f>
        <v>3</v>
      </c>
      <c r="F332" s="1">
        <f>_xlfn.NUMBERVALUE(MID(aoc_02_input[[#This Row],[InputNumbers]],aoc_02_input[[#This Row],[PosDash]]+1,5))</f>
        <v>6</v>
      </c>
      <c r="G332" s="1" t="str">
        <f>LEFT(aoc_02_input[[#This Row],[InputChar]],1)</f>
        <v>j</v>
      </c>
      <c r="H332" s="1" cm="1">
        <f t="array" ref="H332">CountChar(aoc_02_input[[#This Row],[Password]],aoc_02_input[[#This Row],[Char]])</f>
        <v>5</v>
      </c>
      <c r="I332" s="1">
        <f>IF(AND(aoc_02_input[[#This Row],[Int1]]&lt;=aoc_02_input[[#This Row],[CountOfChar]],aoc_02_input[[#This Row],[CountOfChar]]&lt;=aoc_02_input[[#This Row],[Int2]]),1,0)</f>
        <v>1</v>
      </c>
      <c r="J332" s="1" t="str">
        <f>MID(aoc_02_input[[#This Row],[Password]],aoc_02_input[[#This Row],[Int1]],1)</f>
        <v>j</v>
      </c>
      <c r="K332" s="1">
        <f>IF(aoc_02_input[[#This Row],[Pos1]]=aoc_02_input[[#This Row],[Char]],1,0)</f>
        <v>1</v>
      </c>
      <c r="L332" s="1" t="str">
        <f>MID(aoc_02_input[[#This Row],[Password]],aoc_02_input[[#This Row],[Int2]],1)</f>
        <v>j</v>
      </c>
      <c r="M332" s="1">
        <f>IF(aoc_02_input[[#This Row],[Pos2]]=aoc_02_input[[#This Row],[Char]],1,0)</f>
        <v>1</v>
      </c>
      <c r="N332" s="1">
        <f>IF(aoc_02_input[[#This Row],[Pos1Valid]]&lt;&gt;aoc_02_input[[#This Row],[Pos2Valid]],1,0)</f>
        <v>0</v>
      </c>
    </row>
    <row r="333" spans="1:14" x14ac:dyDescent="0.45">
      <c r="A333" s="1" t="s">
        <v>675</v>
      </c>
      <c r="B333" s="1" t="s">
        <v>238</v>
      </c>
      <c r="C333" s="1" t="s">
        <v>676</v>
      </c>
      <c r="D333" s="1">
        <f>FIND("-",aoc_02_input[[#This Row],[InputNumbers]])</f>
        <v>3</v>
      </c>
      <c r="E333" s="1">
        <f>_xlfn.NUMBERVALUE(LEFT(aoc_02_input[[#This Row],[InputNumbers]],aoc_02_input[[#This Row],[PosDash]]-1))</f>
        <v>15</v>
      </c>
      <c r="F333" s="1">
        <f>_xlfn.NUMBERVALUE(MID(aoc_02_input[[#This Row],[InputNumbers]],aoc_02_input[[#This Row],[PosDash]]+1,5))</f>
        <v>17</v>
      </c>
      <c r="G333" s="1" t="str">
        <f>LEFT(aoc_02_input[[#This Row],[InputChar]],1)</f>
        <v>w</v>
      </c>
      <c r="H333" s="1" cm="1">
        <f t="array" ref="H333">CountChar(aoc_02_input[[#This Row],[Password]],aoc_02_input[[#This Row],[Char]])</f>
        <v>2</v>
      </c>
      <c r="I333" s="1">
        <f>IF(AND(aoc_02_input[[#This Row],[Int1]]&lt;=aoc_02_input[[#This Row],[CountOfChar]],aoc_02_input[[#This Row],[CountOfChar]]&lt;=aoc_02_input[[#This Row],[Int2]]),1,0)</f>
        <v>0</v>
      </c>
      <c r="J333" s="1" t="str">
        <f>MID(aoc_02_input[[#This Row],[Password]],aoc_02_input[[#This Row],[Int1]],1)</f>
        <v>w</v>
      </c>
      <c r="K333" s="1">
        <f>IF(aoc_02_input[[#This Row],[Pos1]]=aoc_02_input[[#This Row],[Char]],1,0)</f>
        <v>1</v>
      </c>
      <c r="L333" s="1" t="str">
        <f>MID(aoc_02_input[[#This Row],[Password]],aoc_02_input[[#This Row],[Int2]],1)</f>
        <v>k</v>
      </c>
      <c r="M333" s="1">
        <f>IF(aoc_02_input[[#This Row],[Pos2]]=aoc_02_input[[#This Row],[Char]],1,0)</f>
        <v>0</v>
      </c>
      <c r="N333" s="1">
        <f>IF(aoc_02_input[[#This Row],[Pos1Valid]]&lt;&gt;aoc_02_input[[#This Row],[Pos2Valid]],1,0)</f>
        <v>1</v>
      </c>
    </row>
    <row r="334" spans="1:14" x14ac:dyDescent="0.45">
      <c r="A334" s="1" t="s">
        <v>392</v>
      </c>
      <c r="B334" s="1" t="s">
        <v>305</v>
      </c>
      <c r="C334" s="1" t="s">
        <v>677</v>
      </c>
      <c r="D334" s="1">
        <f>FIND("-",aoc_02_input[[#This Row],[InputNumbers]])</f>
        <v>2</v>
      </c>
      <c r="E334" s="1">
        <f>_xlfn.NUMBERVALUE(LEFT(aoc_02_input[[#This Row],[InputNumbers]],aoc_02_input[[#This Row],[PosDash]]-1))</f>
        <v>8</v>
      </c>
      <c r="F334" s="1">
        <f>_xlfn.NUMBERVALUE(MID(aoc_02_input[[#This Row],[InputNumbers]],aoc_02_input[[#This Row],[PosDash]]+1,5))</f>
        <v>9</v>
      </c>
      <c r="G334" s="1" t="str">
        <f>LEFT(aoc_02_input[[#This Row],[InputChar]],1)</f>
        <v>s</v>
      </c>
      <c r="H334" s="1" cm="1">
        <f t="array" ref="H334">CountChar(aoc_02_input[[#This Row],[Password]],aoc_02_input[[#This Row],[Char]])</f>
        <v>9</v>
      </c>
      <c r="I334" s="1">
        <f>IF(AND(aoc_02_input[[#This Row],[Int1]]&lt;=aoc_02_input[[#This Row],[CountOfChar]],aoc_02_input[[#This Row],[CountOfChar]]&lt;=aoc_02_input[[#This Row],[Int2]]),1,0)</f>
        <v>1</v>
      </c>
      <c r="J334" s="1" t="str">
        <f>MID(aoc_02_input[[#This Row],[Password]],aoc_02_input[[#This Row],[Int1]],1)</f>
        <v>s</v>
      </c>
      <c r="K334" s="1">
        <f>IF(aoc_02_input[[#This Row],[Pos1]]=aoc_02_input[[#This Row],[Char]],1,0)</f>
        <v>1</v>
      </c>
      <c r="L334" s="1" t="str">
        <f>MID(aoc_02_input[[#This Row],[Password]],aoc_02_input[[#This Row],[Int2]],1)</f>
        <v>s</v>
      </c>
      <c r="M334" s="1">
        <f>IF(aoc_02_input[[#This Row],[Pos2]]=aoc_02_input[[#This Row],[Char]],1,0)</f>
        <v>1</v>
      </c>
      <c r="N334" s="1">
        <f>IF(aoc_02_input[[#This Row],[Pos1Valid]]&lt;&gt;aoc_02_input[[#This Row],[Pos2Valid]],1,0)</f>
        <v>0</v>
      </c>
    </row>
    <row r="335" spans="1:14" x14ac:dyDescent="0.45">
      <c r="A335" s="1" t="s">
        <v>427</v>
      </c>
      <c r="B335" s="1" t="s">
        <v>252</v>
      </c>
      <c r="C335" s="1" t="s">
        <v>678</v>
      </c>
      <c r="D335" s="1">
        <f>FIND("-",aoc_02_input[[#This Row],[InputNumbers]])</f>
        <v>2</v>
      </c>
      <c r="E335" s="1">
        <f>_xlfn.NUMBERVALUE(LEFT(aoc_02_input[[#This Row],[InputNumbers]],aoc_02_input[[#This Row],[PosDash]]-1))</f>
        <v>3</v>
      </c>
      <c r="F335" s="1">
        <f>_xlfn.NUMBERVALUE(MID(aoc_02_input[[#This Row],[InputNumbers]],aoc_02_input[[#This Row],[PosDash]]+1,5))</f>
        <v>8</v>
      </c>
      <c r="G335" s="1" t="str">
        <f>LEFT(aoc_02_input[[#This Row],[InputChar]],1)</f>
        <v>p</v>
      </c>
      <c r="H335" s="1" cm="1">
        <f t="array" ref="H335">CountChar(aoc_02_input[[#This Row],[Password]],aoc_02_input[[#This Row],[Char]])</f>
        <v>6</v>
      </c>
      <c r="I335" s="1">
        <f>IF(AND(aoc_02_input[[#This Row],[Int1]]&lt;=aoc_02_input[[#This Row],[CountOfChar]],aoc_02_input[[#This Row],[CountOfChar]]&lt;=aoc_02_input[[#This Row],[Int2]]),1,0)</f>
        <v>1</v>
      </c>
      <c r="J335" s="1" t="str">
        <f>MID(aoc_02_input[[#This Row],[Password]],aoc_02_input[[#This Row],[Int1]],1)</f>
        <v>p</v>
      </c>
      <c r="K335" s="1">
        <f>IF(aoc_02_input[[#This Row],[Pos1]]=aoc_02_input[[#This Row],[Char]],1,0)</f>
        <v>1</v>
      </c>
      <c r="L335" s="1" t="str">
        <f>MID(aoc_02_input[[#This Row],[Password]],aoc_02_input[[#This Row],[Int2]],1)</f>
        <v>p</v>
      </c>
      <c r="M335" s="1">
        <f>IF(aoc_02_input[[#This Row],[Pos2]]=aoc_02_input[[#This Row],[Char]],1,0)</f>
        <v>1</v>
      </c>
      <c r="N335" s="1">
        <f>IF(aoc_02_input[[#This Row],[Pos1Valid]]&lt;&gt;aoc_02_input[[#This Row],[Pos2Valid]],1,0)</f>
        <v>0</v>
      </c>
    </row>
    <row r="336" spans="1:14" x14ac:dyDescent="0.45">
      <c r="A336" s="1" t="s">
        <v>320</v>
      </c>
      <c r="B336" s="1" t="s">
        <v>222</v>
      </c>
      <c r="C336" s="1" t="s">
        <v>679</v>
      </c>
      <c r="D336" s="1">
        <f>FIND("-",aoc_02_input[[#This Row],[InputNumbers]])</f>
        <v>2</v>
      </c>
      <c r="E336" s="1">
        <f>_xlfn.NUMBERVALUE(LEFT(aoc_02_input[[#This Row],[InputNumbers]],aoc_02_input[[#This Row],[PosDash]]-1))</f>
        <v>6</v>
      </c>
      <c r="F336" s="1">
        <f>_xlfn.NUMBERVALUE(MID(aoc_02_input[[#This Row],[InputNumbers]],aoc_02_input[[#This Row],[PosDash]]+1,5))</f>
        <v>7</v>
      </c>
      <c r="G336" s="1" t="str">
        <f>LEFT(aoc_02_input[[#This Row],[InputChar]],1)</f>
        <v>l</v>
      </c>
      <c r="H336" s="1" cm="1">
        <f t="array" ref="H336">CountChar(aoc_02_input[[#This Row],[Password]],aoc_02_input[[#This Row],[Char]])</f>
        <v>4</v>
      </c>
      <c r="I336" s="1">
        <f>IF(AND(aoc_02_input[[#This Row],[Int1]]&lt;=aoc_02_input[[#This Row],[CountOfChar]],aoc_02_input[[#This Row],[CountOfChar]]&lt;=aoc_02_input[[#This Row],[Int2]]),1,0)</f>
        <v>0</v>
      </c>
      <c r="J336" s="1" t="str">
        <f>MID(aoc_02_input[[#This Row],[Password]],aoc_02_input[[#This Row],[Int1]],1)</f>
        <v>l</v>
      </c>
      <c r="K336" s="1">
        <f>IF(aoc_02_input[[#This Row],[Pos1]]=aoc_02_input[[#This Row],[Char]],1,0)</f>
        <v>1</v>
      </c>
      <c r="L336" s="1" t="str">
        <f>MID(aoc_02_input[[#This Row],[Password]],aoc_02_input[[#This Row],[Int2]],1)</f>
        <v>c</v>
      </c>
      <c r="M336" s="1">
        <f>IF(aoc_02_input[[#This Row],[Pos2]]=aoc_02_input[[#This Row],[Char]],1,0)</f>
        <v>0</v>
      </c>
      <c r="N336" s="1">
        <f>IF(aoc_02_input[[#This Row],[Pos1Valid]]&lt;&gt;aoc_02_input[[#This Row],[Pos2Valid]],1,0)</f>
        <v>1</v>
      </c>
    </row>
    <row r="337" spans="1:14" x14ac:dyDescent="0.45">
      <c r="A337" s="1" t="s">
        <v>341</v>
      </c>
      <c r="B337" s="1" t="s">
        <v>249</v>
      </c>
      <c r="C337" s="1" t="s">
        <v>680</v>
      </c>
      <c r="D337" s="1">
        <f>FIND("-",aoc_02_input[[#This Row],[InputNumbers]])</f>
        <v>2</v>
      </c>
      <c r="E337" s="1">
        <f>_xlfn.NUMBERVALUE(LEFT(aoc_02_input[[#This Row],[InputNumbers]],aoc_02_input[[#This Row],[PosDash]]-1))</f>
        <v>5</v>
      </c>
      <c r="F337" s="1">
        <f>_xlfn.NUMBERVALUE(MID(aoc_02_input[[#This Row],[InputNumbers]],aoc_02_input[[#This Row],[PosDash]]+1,5))</f>
        <v>8</v>
      </c>
      <c r="G337" s="1" t="str">
        <f>LEFT(aoc_02_input[[#This Row],[InputChar]],1)</f>
        <v>q</v>
      </c>
      <c r="H337" s="1" cm="1">
        <f t="array" ref="H337">CountChar(aoc_02_input[[#This Row],[Password]],aoc_02_input[[#This Row],[Char]])</f>
        <v>5</v>
      </c>
      <c r="I337" s="1">
        <f>IF(AND(aoc_02_input[[#This Row],[Int1]]&lt;=aoc_02_input[[#This Row],[CountOfChar]],aoc_02_input[[#This Row],[CountOfChar]]&lt;=aoc_02_input[[#This Row],[Int2]]),1,0)</f>
        <v>1</v>
      </c>
      <c r="J337" s="1" t="str">
        <f>MID(aoc_02_input[[#This Row],[Password]],aoc_02_input[[#This Row],[Int1]],1)</f>
        <v>q</v>
      </c>
      <c r="K337" s="1">
        <f>IF(aoc_02_input[[#This Row],[Pos1]]=aoc_02_input[[#This Row],[Char]],1,0)</f>
        <v>1</v>
      </c>
      <c r="L337" s="1" t="str">
        <f>MID(aoc_02_input[[#This Row],[Password]],aoc_02_input[[#This Row],[Int2]],1)</f>
        <v>q</v>
      </c>
      <c r="M337" s="1">
        <f>IF(aoc_02_input[[#This Row],[Pos2]]=aoc_02_input[[#This Row],[Char]],1,0)</f>
        <v>1</v>
      </c>
      <c r="N337" s="1">
        <f>IF(aoc_02_input[[#This Row],[Pos1Valid]]&lt;&gt;aoc_02_input[[#This Row],[Pos2Valid]],1,0)</f>
        <v>0</v>
      </c>
    </row>
    <row r="338" spans="1:14" x14ac:dyDescent="0.45">
      <c r="A338" s="1" t="s">
        <v>256</v>
      </c>
      <c r="B338" s="1" t="s">
        <v>249</v>
      </c>
      <c r="C338" s="1" t="s">
        <v>681</v>
      </c>
      <c r="D338" s="1">
        <f>FIND("-",aoc_02_input[[#This Row],[InputNumbers]])</f>
        <v>2</v>
      </c>
      <c r="E338" s="1">
        <f>_xlfn.NUMBERVALUE(LEFT(aoc_02_input[[#This Row],[InputNumbers]],aoc_02_input[[#This Row],[PosDash]]-1))</f>
        <v>5</v>
      </c>
      <c r="F338" s="1">
        <f>_xlfn.NUMBERVALUE(MID(aoc_02_input[[#This Row],[InputNumbers]],aoc_02_input[[#This Row],[PosDash]]+1,5))</f>
        <v>7</v>
      </c>
      <c r="G338" s="1" t="str">
        <f>LEFT(aoc_02_input[[#This Row],[InputChar]],1)</f>
        <v>q</v>
      </c>
      <c r="H338" s="1" cm="1">
        <f t="array" ref="H338">CountChar(aoc_02_input[[#This Row],[Password]],aoc_02_input[[#This Row],[Char]])</f>
        <v>7</v>
      </c>
      <c r="I338" s="1">
        <f>IF(AND(aoc_02_input[[#This Row],[Int1]]&lt;=aoc_02_input[[#This Row],[CountOfChar]],aoc_02_input[[#This Row],[CountOfChar]]&lt;=aoc_02_input[[#This Row],[Int2]]),1,0)</f>
        <v>1</v>
      </c>
      <c r="J338" s="1" t="str">
        <f>MID(aoc_02_input[[#This Row],[Password]],aoc_02_input[[#This Row],[Int1]],1)</f>
        <v>z</v>
      </c>
      <c r="K338" s="1">
        <f>IF(aoc_02_input[[#This Row],[Pos1]]=aoc_02_input[[#This Row],[Char]],1,0)</f>
        <v>0</v>
      </c>
      <c r="L338" s="1" t="str">
        <f>MID(aoc_02_input[[#This Row],[Password]],aoc_02_input[[#This Row],[Int2]],1)</f>
        <v>t</v>
      </c>
      <c r="M338" s="1">
        <f>IF(aoc_02_input[[#This Row],[Pos2]]=aoc_02_input[[#This Row],[Char]],1,0)</f>
        <v>0</v>
      </c>
      <c r="N338" s="1">
        <f>IF(aoc_02_input[[#This Row],[Pos1Valid]]&lt;&gt;aoc_02_input[[#This Row],[Pos2Valid]],1,0)</f>
        <v>0</v>
      </c>
    </row>
    <row r="339" spans="1:14" x14ac:dyDescent="0.45">
      <c r="A339" s="1" t="s">
        <v>380</v>
      </c>
      <c r="B339" s="1" t="s">
        <v>254</v>
      </c>
      <c r="C339" s="1" t="s">
        <v>682</v>
      </c>
      <c r="D339" s="1">
        <f>FIND("-",aoc_02_input[[#This Row],[InputNumbers]])</f>
        <v>2</v>
      </c>
      <c r="E339" s="1">
        <f>_xlfn.NUMBERVALUE(LEFT(aoc_02_input[[#This Row],[InputNumbers]],aoc_02_input[[#This Row],[PosDash]]-1))</f>
        <v>3</v>
      </c>
      <c r="F339" s="1">
        <f>_xlfn.NUMBERVALUE(MID(aoc_02_input[[#This Row],[InputNumbers]],aoc_02_input[[#This Row],[PosDash]]+1,5))</f>
        <v>7</v>
      </c>
      <c r="G339" s="1" t="str">
        <f>LEFT(aoc_02_input[[#This Row],[InputChar]],1)</f>
        <v>k</v>
      </c>
      <c r="H339" s="1" cm="1">
        <f t="array" ref="H339">CountChar(aoc_02_input[[#This Row],[Password]],aoc_02_input[[#This Row],[Char]])</f>
        <v>5</v>
      </c>
      <c r="I339" s="1">
        <f>IF(AND(aoc_02_input[[#This Row],[Int1]]&lt;=aoc_02_input[[#This Row],[CountOfChar]],aoc_02_input[[#This Row],[CountOfChar]]&lt;=aoc_02_input[[#This Row],[Int2]]),1,0)</f>
        <v>1</v>
      </c>
      <c r="J339" s="1" t="str">
        <f>MID(aoc_02_input[[#This Row],[Password]],aoc_02_input[[#This Row],[Int1]],1)</f>
        <v>k</v>
      </c>
      <c r="K339" s="1">
        <f>IF(aoc_02_input[[#This Row],[Pos1]]=aoc_02_input[[#This Row],[Char]],1,0)</f>
        <v>1</v>
      </c>
      <c r="L339" s="1" t="str">
        <f>MID(aoc_02_input[[#This Row],[Password]],aoc_02_input[[#This Row],[Int2]],1)</f>
        <v>k</v>
      </c>
      <c r="M339" s="1">
        <f>IF(aoc_02_input[[#This Row],[Pos2]]=aoc_02_input[[#This Row],[Char]],1,0)</f>
        <v>1</v>
      </c>
      <c r="N339" s="1">
        <f>IF(aoc_02_input[[#This Row],[Pos1Valid]]&lt;&gt;aoc_02_input[[#This Row],[Pos2Valid]],1,0)</f>
        <v>0</v>
      </c>
    </row>
    <row r="340" spans="1:14" x14ac:dyDescent="0.45">
      <c r="A340" s="1" t="s">
        <v>307</v>
      </c>
      <c r="B340" s="1" t="s">
        <v>207</v>
      </c>
      <c r="C340" s="1" t="s">
        <v>683</v>
      </c>
      <c r="D340" s="1">
        <f>FIND("-",aoc_02_input[[#This Row],[InputNumbers]])</f>
        <v>2</v>
      </c>
      <c r="E340" s="1">
        <f>_xlfn.NUMBERVALUE(LEFT(aoc_02_input[[#This Row],[InputNumbers]],aoc_02_input[[#This Row],[PosDash]]-1))</f>
        <v>3</v>
      </c>
      <c r="F340" s="1">
        <f>_xlfn.NUMBERVALUE(MID(aoc_02_input[[#This Row],[InputNumbers]],aoc_02_input[[#This Row],[PosDash]]+1,5))</f>
        <v>5</v>
      </c>
      <c r="G340" s="1" t="str">
        <f>LEFT(aoc_02_input[[#This Row],[InputChar]],1)</f>
        <v>b</v>
      </c>
      <c r="H340" s="1" cm="1">
        <f t="array" ref="H340">CountChar(aoc_02_input[[#This Row],[Password]],aoc_02_input[[#This Row],[Char]])</f>
        <v>2</v>
      </c>
      <c r="I340" s="1">
        <f>IF(AND(aoc_02_input[[#This Row],[Int1]]&lt;=aoc_02_input[[#This Row],[CountOfChar]],aoc_02_input[[#This Row],[CountOfChar]]&lt;=aoc_02_input[[#This Row],[Int2]]),1,0)</f>
        <v>0</v>
      </c>
      <c r="J340" s="1" t="str">
        <f>MID(aoc_02_input[[#This Row],[Password]],aoc_02_input[[#This Row],[Int1]],1)</f>
        <v>b</v>
      </c>
      <c r="K340" s="1">
        <f>IF(aoc_02_input[[#This Row],[Pos1]]=aoc_02_input[[#This Row],[Char]],1,0)</f>
        <v>1</v>
      </c>
      <c r="L340" s="1" t="str">
        <f>MID(aoc_02_input[[#This Row],[Password]],aoc_02_input[[#This Row],[Int2]],1)</f>
        <v>c</v>
      </c>
      <c r="M340" s="1">
        <f>IF(aoc_02_input[[#This Row],[Pos2]]=aoc_02_input[[#This Row],[Char]],1,0)</f>
        <v>0</v>
      </c>
      <c r="N340" s="1">
        <f>IF(aoc_02_input[[#This Row],[Pos1Valid]]&lt;&gt;aoc_02_input[[#This Row],[Pos2Valid]],1,0)</f>
        <v>1</v>
      </c>
    </row>
    <row r="341" spans="1:14" x14ac:dyDescent="0.45">
      <c r="A341" s="1" t="s">
        <v>273</v>
      </c>
      <c r="B341" s="1" t="s">
        <v>238</v>
      </c>
      <c r="C341" s="1" t="s">
        <v>684</v>
      </c>
      <c r="D341" s="1">
        <f>FIND("-",aoc_02_input[[#This Row],[InputNumbers]])</f>
        <v>2</v>
      </c>
      <c r="E341" s="1">
        <f>_xlfn.NUMBERVALUE(LEFT(aoc_02_input[[#This Row],[InputNumbers]],aoc_02_input[[#This Row],[PosDash]]-1))</f>
        <v>6</v>
      </c>
      <c r="F341" s="1">
        <f>_xlfn.NUMBERVALUE(MID(aoc_02_input[[#This Row],[InputNumbers]],aoc_02_input[[#This Row],[PosDash]]+1,5))</f>
        <v>11</v>
      </c>
      <c r="G341" s="1" t="str">
        <f>LEFT(aoc_02_input[[#This Row],[InputChar]],1)</f>
        <v>w</v>
      </c>
      <c r="H341" s="1" cm="1">
        <f t="array" ref="H341">CountChar(aoc_02_input[[#This Row],[Password]],aoc_02_input[[#This Row],[Char]])</f>
        <v>4</v>
      </c>
      <c r="I341" s="1">
        <f>IF(AND(aoc_02_input[[#This Row],[Int1]]&lt;=aoc_02_input[[#This Row],[CountOfChar]],aoc_02_input[[#This Row],[CountOfChar]]&lt;=aoc_02_input[[#This Row],[Int2]]),1,0)</f>
        <v>0</v>
      </c>
      <c r="J341" s="1" t="str">
        <f>MID(aoc_02_input[[#This Row],[Password]],aoc_02_input[[#This Row],[Int1]],1)</f>
        <v>t</v>
      </c>
      <c r="K341" s="1">
        <f>IF(aoc_02_input[[#This Row],[Pos1]]=aoc_02_input[[#This Row],[Char]],1,0)</f>
        <v>0</v>
      </c>
      <c r="L341" s="1" t="str">
        <f>MID(aoc_02_input[[#This Row],[Password]],aoc_02_input[[#This Row],[Int2]],1)</f>
        <v>w</v>
      </c>
      <c r="M341" s="1">
        <f>IF(aoc_02_input[[#This Row],[Pos2]]=aoc_02_input[[#This Row],[Char]],1,0)</f>
        <v>1</v>
      </c>
      <c r="N341" s="1">
        <f>IF(aoc_02_input[[#This Row],[Pos1Valid]]&lt;&gt;aoc_02_input[[#This Row],[Pos2Valid]],1,0)</f>
        <v>1</v>
      </c>
    </row>
    <row r="342" spans="1:14" x14ac:dyDescent="0.45">
      <c r="A342" s="1" t="s">
        <v>271</v>
      </c>
      <c r="B342" s="1" t="s">
        <v>216</v>
      </c>
      <c r="C342" s="1" t="s">
        <v>685</v>
      </c>
      <c r="D342" s="1">
        <f>FIND("-",aoc_02_input[[#This Row],[InputNumbers]])</f>
        <v>2</v>
      </c>
      <c r="E342" s="1">
        <f>_xlfn.NUMBERVALUE(LEFT(aoc_02_input[[#This Row],[InputNumbers]],aoc_02_input[[#This Row],[PosDash]]-1))</f>
        <v>9</v>
      </c>
      <c r="F342" s="1">
        <f>_xlfn.NUMBERVALUE(MID(aoc_02_input[[#This Row],[InputNumbers]],aoc_02_input[[#This Row],[PosDash]]+1,5))</f>
        <v>10</v>
      </c>
      <c r="G342" s="1" t="str">
        <f>LEFT(aoc_02_input[[#This Row],[InputChar]],1)</f>
        <v>z</v>
      </c>
      <c r="H342" s="1" cm="1">
        <f t="array" ref="H342">CountChar(aoc_02_input[[#This Row],[Password]],aoc_02_input[[#This Row],[Char]])</f>
        <v>13</v>
      </c>
      <c r="I342" s="1">
        <f>IF(AND(aoc_02_input[[#This Row],[Int1]]&lt;=aoc_02_input[[#This Row],[CountOfChar]],aoc_02_input[[#This Row],[CountOfChar]]&lt;=aoc_02_input[[#This Row],[Int2]]),1,0)</f>
        <v>0</v>
      </c>
      <c r="J342" s="1" t="str">
        <f>MID(aoc_02_input[[#This Row],[Password]],aoc_02_input[[#This Row],[Int1]],1)</f>
        <v>z</v>
      </c>
      <c r="K342" s="1">
        <f>IF(aoc_02_input[[#This Row],[Pos1]]=aoc_02_input[[#This Row],[Char]],1,0)</f>
        <v>1</v>
      </c>
      <c r="L342" s="1" t="str">
        <f>MID(aoc_02_input[[#This Row],[Password]],aoc_02_input[[#This Row],[Int2]],1)</f>
        <v>z</v>
      </c>
      <c r="M342" s="1">
        <f>IF(aoc_02_input[[#This Row],[Pos2]]=aoc_02_input[[#This Row],[Char]],1,0)</f>
        <v>1</v>
      </c>
      <c r="N342" s="1">
        <f>IF(aoc_02_input[[#This Row],[Pos1Valid]]&lt;&gt;aoc_02_input[[#This Row],[Pos2Valid]],1,0)</f>
        <v>0</v>
      </c>
    </row>
    <row r="343" spans="1:14" x14ac:dyDescent="0.45">
      <c r="A343" s="1" t="s">
        <v>283</v>
      </c>
      <c r="B343" s="1" t="s">
        <v>246</v>
      </c>
      <c r="C343" s="1" t="s">
        <v>686</v>
      </c>
      <c r="D343" s="1">
        <f>FIND("-",aoc_02_input[[#This Row],[InputNumbers]])</f>
        <v>2</v>
      </c>
      <c r="E343" s="1">
        <f>_xlfn.NUMBERVALUE(LEFT(aoc_02_input[[#This Row],[InputNumbers]],aoc_02_input[[#This Row],[PosDash]]-1))</f>
        <v>3</v>
      </c>
      <c r="F343" s="1">
        <f>_xlfn.NUMBERVALUE(MID(aoc_02_input[[#This Row],[InputNumbers]],aoc_02_input[[#This Row],[PosDash]]+1,5))</f>
        <v>4</v>
      </c>
      <c r="G343" s="1" t="str">
        <f>LEFT(aoc_02_input[[#This Row],[InputChar]],1)</f>
        <v>n</v>
      </c>
      <c r="H343" s="1" cm="1">
        <f t="array" ref="H343">CountChar(aoc_02_input[[#This Row],[Password]],aoc_02_input[[#This Row],[Char]])</f>
        <v>2</v>
      </c>
      <c r="I343" s="1">
        <f>IF(AND(aoc_02_input[[#This Row],[Int1]]&lt;=aoc_02_input[[#This Row],[CountOfChar]],aoc_02_input[[#This Row],[CountOfChar]]&lt;=aoc_02_input[[#This Row],[Int2]]),1,0)</f>
        <v>0</v>
      </c>
      <c r="J343" s="1" t="str">
        <f>MID(aoc_02_input[[#This Row],[Password]],aoc_02_input[[#This Row],[Int1]],1)</f>
        <v>k</v>
      </c>
      <c r="K343" s="1">
        <f>IF(aoc_02_input[[#This Row],[Pos1]]=aoc_02_input[[#This Row],[Char]],1,0)</f>
        <v>0</v>
      </c>
      <c r="L343" s="1" t="str">
        <f>MID(aoc_02_input[[#This Row],[Password]],aoc_02_input[[#This Row],[Int2]],1)</f>
        <v>n</v>
      </c>
      <c r="M343" s="1">
        <f>IF(aoc_02_input[[#This Row],[Pos2]]=aoc_02_input[[#This Row],[Char]],1,0)</f>
        <v>1</v>
      </c>
      <c r="N343" s="1">
        <f>IF(aoc_02_input[[#This Row],[Pos1Valid]]&lt;&gt;aoc_02_input[[#This Row],[Pos2Valid]],1,0)</f>
        <v>1</v>
      </c>
    </row>
    <row r="344" spans="1:14" x14ac:dyDescent="0.45">
      <c r="A344" s="1" t="s">
        <v>441</v>
      </c>
      <c r="B344" s="1" t="s">
        <v>246</v>
      </c>
      <c r="C344" s="1" t="s">
        <v>687</v>
      </c>
      <c r="D344" s="1">
        <f>FIND("-",aoc_02_input[[#This Row],[InputNumbers]])</f>
        <v>3</v>
      </c>
      <c r="E344" s="1">
        <f>_xlfn.NUMBERVALUE(LEFT(aoc_02_input[[#This Row],[InputNumbers]],aoc_02_input[[#This Row],[PosDash]]-1))</f>
        <v>11</v>
      </c>
      <c r="F344" s="1">
        <f>_xlfn.NUMBERVALUE(MID(aoc_02_input[[#This Row],[InputNumbers]],aoc_02_input[[#This Row],[PosDash]]+1,5))</f>
        <v>13</v>
      </c>
      <c r="G344" s="1" t="str">
        <f>LEFT(aoc_02_input[[#This Row],[InputChar]],1)</f>
        <v>n</v>
      </c>
      <c r="H344" s="1" cm="1">
        <f t="array" ref="H344">CountChar(aoc_02_input[[#This Row],[Password]],aoc_02_input[[#This Row],[Char]])</f>
        <v>5</v>
      </c>
      <c r="I344" s="1">
        <f>IF(AND(aoc_02_input[[#This Row],[Int1]]&lt;=aoc_02_input[[#This Row],[CountOfChar]],aoc_02_input[[#This Row],[CountOfChar]]&lt;=aoc_02_input[[#This Row],[Int2]]),1,0)</f>
        <v>0</v>
      </c>
      <c r="J344" s="1" t="str">
        <f>MID(aoc_02_input[[#This Row],[Password]],aoc_02_input[[#This Row],[Int1]],1)</f>
        <v>f</v>
      </c>
      <c r="K344" s="1">
        <f>IF(aoc_02_input[[#This Row],[Pos1]]=aoc_02_input[[#This Row],[Char]],1,0)</f>
        <v>0</v>
      </c>
      <c r="L344" s="1" t="str">
        <f>MID(aoc_02_input[[#This Row],[Password]],aoc_02_input[[#This Row],[Int2]],1)</f>
        <v>b</v>
      </c>
      <c r="M344" s="1">
        <f>IF(aoc_02_input[[#This Row],[Pos2]]=aoc_02_input[[#This Row],[Char]],1,0)</f>
        <v>0</v>
      </c>
      <c r="N344" s="1">
        <f>IF(aoc_02_input[[#This Row],[Pos1Valid]]&lt;&gt;aoc_02_input[[#This Row],[Pos2Valid]],1,0)</f>
        <v>0</v>
      </c>
    </row>
    <row r="345" spans="1:14" x14ac:dyDescent="0.45">
      <c r="A345" s="1" t="s">
        <v>251</v>
      </c>
      <c r="B345" s="1" t="s">
        <v>235</v>
      </c>
      <c r="C345" s="1" t="s">
        <v>688</v>
      </c>
      <c r="D345" s="1">
        <f>FIND("-",aoc_02_input[[#This Row],[InputNumbers]])</f>
        <v>2</v>
      </c>
      <c r="E345" s="1">
        <f>_xlfn.NUMBERVALUE(LEFT(aoc_02_input[[#This Row],[InputNumbers]],aoc_02_input[[#This Row],[PosDash]]-1))</f>
        <v>5</v>
      </c>
      <c r="F345" s="1">
        <f>_xlfn.NUMBERVALUE(MID(aoc_02_input[[#This Row],[InputNumbers]],aoc_02_input[[#This Row],[PosDash]]+1,5))</f>
        <v>6</v>
      </c>
      <c r="G345" s="1" t="str">
        <f>LEFT(aoc_02_input[[#This Row],[InputChar]],1)</f>
        <v>d</v>
      </c>
      <c r="H345" s="1" cm="1">
        <f t="array" ref="H345">CountChar(aoc_02_input[[#This Row],[Password]],aoc_02_input[[#This Row],[Char]])</f>
        <v>1</v>
      </c>
      <c r="I345" s="1">
        <f>IF(AND(aoc_02_input[[#This Row],[Int1]]&lt;=aoc_02_input[[#This Row],[CountOfChar]],aoc_02_input[[#This Row],[CountOfChar]]&lt;=aoc_02_input[[#This Row],[Int2]]),1,0)</f>
        <v>0</v>
      </c>
      <c r="J345" s="1" t="str">
        <f>MID(aoc_02_input[[#This Row],[Password]],aoc_02_input[[#This Row],[Int1]],1)</f>
        <v>j</v>
      </c>
      <c r="K345" s="1">
        <f>IF(aoc_02_input[[#This Row],[Pos1]]=aoc_02_input[[#This Row],[Char]],1,0)</f>
        <v>0</v>
      </c>
      <c r="L345" s="1" t="str">
        <f>MID(aoc_02_input[[#This Row],[Password]],aoc_02_input[[#This Row],[Int2]],1)</f>
        <v>v</v>
      </c>
      <c r="M345" s="1">
        <f>IF(aoc_02_input[[#This Row],[Pos2]]=aoc_02_input[[#This Row],[Char]],1,0)</f>
        <v>0</v>
      </c>
      <c r="N345" s="1">
        <f>IF(aoc_02_input[[#This Row],[Pos1Valid]]&lt;&gt;aoc_02_input[[#This Row],[Pos2Valid]],1,0)</f>
        <v>0</v>
      </c>
    </row>
    <row r="346" spans="1:14" x14ac:dyDescent="0.45">
      <c r="A346" s="1" t="s">
        <v>361</v>
      </c>
      <c r="B346" s="1" t="s">
        <v>305</v>
      </c>
      <c r="C346" s="1" t="s">
        <v>689</v>
      </c>
      <c r="D346" s="1">
        <f>FIND("-",aoc_02_input[[#This Row],[InputNumbers]])</f>
        <v>2</v>
      </c>
      <c r="E346" s="1">
        <f>_xlfn.NUMBERVALUE(LEFT(aoc_02_input[[#This Row],[InputNumbers]],aoc_02_input[[#This Row],[PosDash]]-1))</f>
        <v>2</v>
      </c>
      <c r="F346" s="1">
        <f>_xlfn.NUMBERVALUE(MID(aoc_02_input[[#This Row],[InputNumbers]],aoc_02_input[[#This Row],[PosDash]]+1,5))</f>
        <v>7</v>
      </c>
      <c r="G346" s="1" t="str">
        <f>LEFT(aoc_02_input[[#This Row],[InputChar]],1)</f>
        <v>s</v>
      </c>
      <c r="H346" s="1" cm="1">
        <f t="array" ref="H346">CountChar(aoc_02_input[[#This Row],[Password]],aoc_02_input[[#This Row],[Char]])</f>
        <v>2</v>
      </c>
      <c r="I346" s="1">
        <f>IF(AND(aoc_02_input[[#This Row],[Int1]]&lt;=aoc_02_input[[#This Row],[CountOfChar]],aoc_02_input[[#This Row],[CountOfChar]]&lt;=aoc_02_input[[#This Row],[Int2]]),1,0)</f>
        <v>1</v>
      </c>
      <c r="J346" s="1" t="str">
        <f>MID(aoc_02_input[[#This Row],[Password]],aoc_02_input[[#This Row],[Int1]],1)</f>
        <v>w</v>
      </c>
      <c r="K346" s="1">
        <f>IF(aoc_02_input[[#This Row],[Pos1]]=aoc_02_input[[#This Row],[Char]],1,0)</f>
        <v>0</v>
      </c>
      <c r="L346" s="1" t="str">
        <f>MID(aoc_02_input[[#This Row],[Password]],aoc_02_input[[#This Row],[Int2]],1)</f>
        <v>j</v>
      </c>
      <c r="M346" s="1">
        <f>IF(aoc_02_input[[#This Row],[Pos2]]=aoc_02_input[[#This Row],[Char]],1,0)</f>
        <v>0</v>
      </c>
      <c r="N346" s="1">
        <f>IF(aoc_02_input[[#This Row],[Pos1Valid]]&lt;&gt;aoc_02_input[[#This Row],[Pos2Valid]],1,0)</f>
        <v>0</v>
      </c>
    </row>
    <row r="347" spans="1:14" x14ac:dyDescent="0.45">
      <c r="A347" s="1" t="s">
        <v>307</v>
      </c>
      <c r="B347" s="1" t="s">
        <v>252</v>
      </c>
      <c r="C347" s="1" t="s">
        <v>690</v>
      </c>
      <c r="D347" s="1">
        <f>FIND("-",aoc_02_input[[#This Row],[InputNumbers]])</f>
        <v>2</v>
      </c>
      <c r="E347" s="1">
        <f>_xlfn.NUMBERVALUE(LEFT(aoc_02_input[[#This Row],[InputNumbers]],aoc_02_input[[#This Row],[PosDash]]-1))</f>
        <v>3</v>
      </c>
      <c r="F347" s="1">
        <f>_xlfn.NUMBERVALUE(MID(aoc_02_input[[#This Row],[InputNumbers]],aoc_02_input[[#This Row],[PosDash]]+1,5))</f>
        <v>5</v>
      </c>
      <c r="G347" s="1" t="str">
        <f>LEFT(aoc_02_input[[#This Row],[InputChar]],1)</f>
        <v>p</v>
      </c>
      <c r="H347" s="1" cm="1">
        <f t="array" ref="H347">CountChar(aoc_02_input[[#This Row],[Password]],aoc_02_input[[#This Row],[Char]])</f>
        <v>7</v>
      </c>
      <c r="I347" s="1">
        <f>IF(AND(aoc_02_input[[#This Row],[Int1]]&lt;=aoc_02_input[[#This Row],[CountOfChar]],aoc_02_input[[#This Row],[CountOfChar]]&lt;=aoc_02_input[[#This Row],[Int2]]),1,0)</f>
        <v>0</v>
      </c>
      <c r="J347" s="1" t="str">
        <f>MID(aoc_02_input[[#This Row],[Password]],aoc_02_input[[#This Row],[Int1]],1)</f>
        <v>p</v>
      </c>
      <c r="K347" s="1">
        <f>IF(aoc_02_input[[#This Row],[Pos1]]=aoc_02_input[[#This Row],[Char]],1,0)</f>
        <v>1</v>
      </c>
      <c r="L347" s="1" t="str">
        <f>MID(aoc_02_input[[#This Row],[Password]],aoc_02_input[[#This Row],[Int2]],1)</f>
        <v>p</v>
      </c>
      <c r="M347" s="1">
        <f>IF(aoc_02_input[[#This Row],[Pos2]]=aoc_02_input[[#This Row],[Char]],1,0)</f>
        <v>1</v>
      </c>
      <c r="N347" s="1">
        <f>IF(aoc_02_input[[#This Row],[Pos1Valid]]&lt;&gt;aoc_02_input[[#This Row],[Pos2Valid]],1,0)</f>
        <v>0</v>
      </c>
    </row>
    <row r="348" spans="1:14" x14ac:dyDescent="0.45">
      <c r="A348" s="1" t="s">
        <v>555</v>
      </c>
      <c r="B348" s="1" t="s">
        <v>246</v>
      </c>
      <c r="C348" s="1" t="s">
        <v>691</v>
      </c>
      <c r="D348" s="1">
        <f>FIND("-",aoc_02_input[[#This Row],[InputNumbers]])</f>
        <v>2</v>
      </c>
      <c r="E348" s="1">
        <f>_xlfn.NUMBERVALUE(LEFT(aoc_02_input[[#This Row],[InputNumbers]],aoc_02_input[[#This Row],[PosDash]]-1))</f>
        <v>1</v>
      </c>
      <c r="F348" s="1">
        <f>_xlfn.NUMBERVALUE(MID(aoc_02_input[[#This Row],[InputNumbers]],aoc_02_input[[#This Row],[PosDash]]+1,5))</f>
        <v>10</v>
      </c>
      <c r="G348" s="1" t="str">
        <f>LEFT(aoc_02_input[[#This Row],[InputChar]],1)</f>
        <v>n</v>
      </c>
      <c r="H348" s="1" cm="1">
        <f t="array" ref="H348">CountChar(aoc_02_input[[#This Row],[Password]],aoc_02_input[[#This Row],[Char]])</f>
        <v>2</v>
      </c>
      <c r="I348" s="1">
        <f>IF(AND(aoc_02_input[[#This Row],[Int1]]&lt;=aoc_02_input[[#This Row],[CountOfChar]],aoc_02_input[[#This Row],[CountOfChar]]&lt;=aoc_02_input[[#This Row],[Int2]]),1,0)</f>
        <v>1</v>
      </c>
      <c r="J348" s="1" t="str">
        <f>MID(aoc_02_input[[#This Row],[Password]],aoc_02_input[[#This Row],[Int1]],1)</f>
        <v>z</v>
      </c>
      <c r="K348" s="1">
        <f>IF(aoc_02_input[[#This Row],[Pos1]]=aoc_02_input[[#This Row],[Char]],1,0)</f>
        <v>0</v>
      </c>
      <c r="L348" s="1" t="str">
        <f>MID(aoc_02_input[[#This Row],[Password]],aoc_02_input[[#This Row],[Int2]],1)</f>
        <v>n</v>
      </c>
      <c r="M348" s="1">
        <f>IF(aoc_02_input[[#This Row],[Pos2]]=aoc_02_input[[#This Row],[Char]],1,0)</f>
        <v>1</v>
      </c>
      <c r="N348" s="1">
        <f>IF(aoc_02_input[[#This Row],[Pos1Valid]]&lt;&gt;aoc_02_input[[#This Row],[Pos2Valid]],1,0)</f>
        <v>1</v>
      </c>
    </row>
    <row r="349" spans="1:14" x14ac:dyDescent="0.45">
      <c r="A349" s="1" t="s">
        <v>380</v>
      </c>
      <c r="B349" s="1" t="s">
        <v>305</v>
      </c>
      <c r="C349" s="1" t="s">
        <v>692</v>
      </c>
      <c r="D349" s="1">
        <f>FIND("-",aoc_02_input[[#This Row],[InputNumbers]])</f>
        <v>2</v>
      </c>
      <c r="E349" s="1">
        <f>_xlfn.NUMBERVALUE(LEFT(aoc_02_input[[#This Row],[InputNumbers]],aoc_02_input[[#This Row],[PosDash]]-1))</f>
        <v>3</v>
      </c>
      <c r="F349" s="1">
        <f>_xlfn.NUMBERVALUE(MID(aoc_02_input[[#This Row],[InputNumbers]],aoc_02_input[[#This Row],[PosDash]]+1,5))</f>
        <v>7</v>
      </c>
      <c r="G349" s="1" t="str">
        <f>LEFT(aoc_02_input[[#This Row],[InputChar]],1)</f>
        <v>s</v>
      </c>
      <c r="H349" s="1" cm="1">
        <f t="array" ref="H349">CountChar(aoc_02_input[[#This Row],[Password]],aoc_02_input[[#This Row],[Char]])</f>
        <v>1</v>
      </c>
      <c r="I349" s="1">
        <f>IF(AND(aoc_02_input[[#This Row],[Int1]]&lt;=aoc_02_input[[#This Row],[CountOfChar]],aoc_02_input[[#This Row],[CountOfChar]]&lt;=aoc_02_input[[#This Row],[Int2]]),1,0)</f>
        <v>0</v>
      </c>
      <c r="J349" s="1" t="str">
        <f>MID(aoc_02_input[[#This Row],[Password]],aoc_02_input[[#This Row],[Int1]],1)</f>
        <v>s</v>
      </c>
      <c r="K349" s="1">
        <f>IF(aoc_02_input[[#This Row],[Pos1]]=aoc_02_input[[#This Row],[Char]],1,0)</f>
        <v>1</v>
      </c>
      <c r="L349" s="1" t="str">
        <f>MID(aoc_02_input[[#This Row],[Password]],aoc_02_input[[#This Row],[Int2]],1)</f>
        <v>n</v>
      </c>
      <c r="M349" s="1">
        <f>IF(aoc_02_input[[#This Row],[Pos2]]=aoc_02_input[[#This Row],[Char]],1,0)</f>
        <v>0</v>
      </c>
      <c r="N349" s="1">
        <f>IF(aoc_02_input[[#This Row],[Pos1Valid]]&lt;&gt;aoc_02_input[[#This Row],[Pos2Valid]],1,0)</f>
        <v>1</v>
      </c>
    </row>
    <row r="350" spans="1:14" x14ac:dyDescent="0.45">
      <c r="A350" s="1" t="s">
        <v>248</v>
      </c>
      <c r="B350" s="1" t="s">
        <v>246</v>
      </c>
      <c r="C350" s="1" t="s">
        <v>693</v>
      </c>
      <c r="D350" s="1">
        <f>FIND("-",aoc_02_input[[#This Row],[InputNumbers]])</f>
        <v>3</v>
      </c>
      <c r="E350" s="1">
        <f>_xlfn.NUMBERVALUE(LEFT(aoc_02_input[[#This Row],[InputNumbers]],aoc_02_input[[#This Row],[PosDash]]-1))</f>
        <v>11</v>
      </c>
      <c r="F350" s="1">
        <f>_xlfn.NUMBERVALUE(MID(aoc_02_input[[#This Row],[InputNumbers]],aoc_02_input[[#This Row],[PosDash]]+1,5))</f>
        <v>12</v>
      </c>
      <c r="G350" s="1" t="str">
        <f>LEFT(aoc_02_input[[#This Row],[InputChar]],1)</f>
        <v>n</v>
      </c>
      <c r="H350" s="1" cm="1">
        <f t="array" ref="H350">CountChar(aoc_02_input[[#This Row],[Password]],aoc_02_input[[#This Row],[Char]])</f>
        <v>12</v>
      </c>
      <c r="I350" s="1">
        <f>IF(AND(aoc_02_input[[#This Row],[Int1]]&lt;=aoc_02_input[[#This Row],[CountOfChar]],aoc_02_input[[#This Row],[CountOfChar]]&lt;=aoc_02_input[[#This Row],[Int2]]),1,0)</f>
        <v>1</v>
      </c>
      <c r="J350" s="1" t="str">
        <f>MID(aoc_02_input[[#This Row],[Password]],aoc_02_input[[#This Row],[Int1]],1)</f>
        <v>n</v>
      </c>
      <c r="K350" s="1">
        <f>IF(aoc_02_input[[#This Row],[Pos1]]=aoc_02_input[[#This Row],[Char]],1,0)</f>
        <v>1</v>
      </c>
      <c r="L350" s="1" t="str">
        <f>MID(aoc_02_input[[#This Row],[Password]],aoc_02_input[[#This Row],[Int2]],1)</f>
        <v>n</v>
      </c>
      <c r="M350" s="1">
        <f>IF(aoc_02_input[[#This Row],[Pos2]]=aoc_02_input[[#This Row],[Char]],1,0)</f>
        <v>1</v>
      </c>
      <c r="N350" s="1">
        <f>IF(aoc_02_input[[#This Row],[Pos1Valid]]&lt;&gt;aoc_02_input[[#This Row],[Pos2Valid]],1,0)</f>
        <v>0</v>
      </c>
    </row>
    <row r="351" spans="1:14" x14ac:dyDescent="0.45">
      <c r="A351" s="1" t="s">
        <v>251</v>
      </c>
      <c r="B351" s="1" t="s">
        <v>210</v>
      </c>
      <c r="C351" s="1" t="s">
        <v>694</v>
      </c>
      <c r="D351" s="1">
        <f>FIND("-",aoc_02_input[[#This Row],[InputNumbers]])</f>
        <v>2</v>
      </c>
      <c r="E351" s="1">
        <f>_xlfn.NUMBERVALUE(LEFT(aoc_02_input[[#This Row],[InputNumbers]],aoc_02_input[[#This Row],[PosDash]]-1))</f>
        <v>5</v>
      </c>
      <c r="F351" s="1">
        <f>_xlfn.NUMBERVALUE(MID(aoc_02_input[[#This Row],[InputNumbers]],aoc_02_input[[#This Row],[PosDash]]+1,5))</f>
        <v>6</v>
      </c>
      <c r="G351" s="1" t="str">
        <f>LEFT(aoc_02_input[[#This Row],[InputChar]],1)</f>
        <v>v</v>
      </c>
      <c r="H351" s="1" cm="1">
        <f t="array" ref="H351">CountChar(aoc_02_input[[#This Row],[Password]],aoc_02_input[[#This Row],[Char]])</f>
        <v>4</v>
      </c>
      <c r="I351" s="1">
        <f>IF(AND(aoc_02_input[[#This Row],[Int1]]&lt;=aoc_02_input[[#This Row],[CountOfChar]],aoc_02_input[[#This Row],[CountOfChar]]&lt;=aoc_02_input[[#This Row],[Int2]]),1,0)</f>
        <v>0</v>
      </c>
      <c r="J351" s="1" t="str">
        <f>MID(aoc_02_input[[#This Row],[Password]],aoc_02_input[[#This Row],[Int1]],1)</f>
        <v>v</v>
      </c>
      <c r="K351" s="1">
        <f>IF(aoc_02_input[[#This Row],[Pos1]]=aoc_02_input[[#This Row],[Char]],1,0)</f>
        <v>1</v>
      </c>
      <c r="L351" s="1" t="str">
        <f>MID(aoc_02_input[[#This Row],[Password]],aoc_02_input[[#This Row],[Int2]],1)</f>
        <v>j</v>
      </c>
      <c r="M351" s="1">
        <f>IF(aoc_02_input[[#This Row],[Pos2]]=aoc_02_input[[#This Row],[Char]],1,0)</f>
        <v>0</v>
      </c>
      <c r="N351" s="1">
        <f>IF(aoc_02_input[[#This Row],[Pos1Valid]]&lt;&gt;aoc_02_input[[#This Row],[Pos2Valid]],1,0)</f>
        <v>1</v>
      </c>
    </row>
    <row r="352" spans="1:14" x14ac:dyDescent="0.45">
      <c r="A352" s="1" t="s">
        <v>232</v>
      </c>
      <c r="B352" s="1" t="s">
        <v>235</v>
      </c>
      <c r="C352" s="1" t="s">
        <v>695</v>
      </c>
      <c r="D352" s="1">
        <f>FIND("-",aoc_02_input[[#This Row],[InputNumbers]])</f>
        <v>2</v>
      </c>
      <c r="E352" s="1">
        <f>_xlfn.NUMBERVALUE(LEFT(aoc_02_input[[#This Row],[InputNumbers]],aoc_02_input[[#This Row],[PosDash]]-1))</f>
        <v>4</v>
      </c>
      <c r="F352" s="1">
        <f>_xlfn.NUMBERVALUE(MID(aoc_02_input[[#This Row],[InputNumbers]],aoc_02_input[[#This Row],[PosDash]]+1,5))</f>
        <v>6</v>
      </c>
      <c r="G352" s="1" t="str">
        <f>LEFT(aoc_02_input[[#This Row],[InputChar]],1)</f>
        <v>d</v>
      </c>
      <c r="H352" s="1" cm="1">
        <f t="array" ref="H352">CountChar(aoc_02_input[[#This Row],[Password]],aoc_02_input[[#This Row],[Char]])</f>
        <v>5</v>
      </c>
      <c r="I352" s="1">
        <f>IF(AND(aoc_02_input[[#This Row],[Int1]]&lt;=aoc_02_input[[#This Row],[CountOfChar]],aoc_02_input[[#This Row],[CountOfChar]]&lt;=aoc_02_input[[#This Row],[Int2]]),1,0)</f>
        <v>1</v>
      </c>
      <c r="J352" s="1" t="str">
        <f>MID(aoc_02_input[[#This Row],[Password]],aoc_02_input[[#This Row],[Int1]],1)</f>
        <v>q</v>
      </c>
      <c r="K352" s="1">
        <f>IF(aoc_02_input[[#This Row],[Pos1]]=aoc_02_input[[#This Row],[Char]],1,0)</f>
        <v>0</v>
      </c>
      <c r="L352" s="1" t="str">
        <f>MID(aoc_02_input[[#This Row],[Password]],aoc_02_input[[#This Row],[Int2]],1)</f>
        <v>w</v>
      </c>
      <c r="M352" s="1">
        <f>IF(aoc_02_input[[#This Row],[Pos2]]=aoc_02_input[[#This Row],[Char]],1,0)</f>
        <v>0</v>
      </c>
      <c r="N352" s="1">
        <f>IF(aoc_02_input[[#This Row],[Pos1Valid]]&lt;&gt;aoc_02_input[[#This Row],[Pos2Valid]],1,0)</f>
        <v>0</v>
      </c>
    </row>
    <row r="353" spans="1:14" x14ac:dyDescent="0.45">
      <c r="A353" s="1" t="s">
        <v>251</v>
      </c>
      <c r="B353" s="1" t="s">
        <v>238</v>
      </c>
      <c r="C353" s="1" t="s">
        <v>696</v>
      </c>
      <c r="D353" s="1">
        <f>FIND("-",aoc_02_input[[#This Row],[InputNumbers]])</f>
        <v>2</v>
      </c>
      <c r="E353" s="1">
        <f>_xlfn.NUMBERVALUE(LEFT(aoc_02_input[[#This Row],[InputNumbers]],aoc_02_input[[#This Row],[PosDash]]-1))</f>
        <v>5</v>
      </c>
      <c r="F353" s="1">
        <f>_xlfn.NUMBERVALUE(MID(aoc_02_input[[#This Row],[InputNumbers]],aoc_02_input[[#This Row],[PosDash]]+1,5))</f>
        <v>6</v>
      </c>
      <c r="G353" s="1" t="str">
        <f>LEFT(aoc_02_input[[#This Row],[InputChar]],1)</f>
        <v>w</v>
      </c>
      <c r="H353" s="1" cm="1">
        <f t="array" ref="H353">CountChar(aoc_02_input[[#This Row],[Password]],aoc_02_input[[#This Row],[Char]])</f>
        <v>1</v>
      </c>
      <c r="I353" s="1">
        <f>IF(AND(aoc_02_input[[#This Row],[Int1]]&lt;=aoc_02_input[[#This Row],[CountOfChar]],aoc_02_input[[#This Row],[CountOfChar]]&lt;=aoc_02_input[[#This Row],[Int2]]),1,0)</f>
        <v>0</v>
      </c>
      <c r="J353" s="1" t="str">
        <f>MID(aoc_02_input[[#This Row],[Password]],aoc_02_input[[#This Row],[Int1]],1)</f>
        <v>b</v>
      </c>
      <c r="K353" s="1">
        <f>IF(aoc_02_input[[#This Row],[Pos1]]=aoc_02_input[[#This Row],[Char]],1,0)</f>
        <v>0</v>
      </c>
      <c r="L353" s="1" t="str">
        <f>MID(aoc_02_input[[#This Row],[Password]],aoc_02_input[[#This Row],[Int2]],1)</f>
        <v>j</v>
      </c>
      <c r="M353" s="1">
        <f>IF(aoc_02_input[[#This Row],[Pos2]]=aoc_02_input[[#This Row],[Char]],1,0)</f>
        <v>0</v>
      </c>
      <c r="N353" s="1">
        <f>IF(aoc_02_input[[#This Row],[Pos1Valid]]&lt;&gt;aoc_02_input[[#This Row],[Pos2Valid]],1,0)</f>
        <v>0</v>
      </c>
    </row>
    <row r="354" spans="1:14" x14ac:dyDescent="0.45">
      <c r="A354" s="1" t="s">
        <v>324</v>
      </c>
      <c r="B354" s="1" t="s">
        <v>249</v>
      </c>
      <c r="C354" s="1" t="s">
        <v>697</v>
      </c>
      <c r="D354" s="1">
        <f>FIND("-",aoc_02_input[[#This Row],[InputNumbers]])</f>
        <v>2</v>
      </c>
      <c r="E354" s="1">
        <f>_xlfn.NUMBERVALUE(LEFT(aoc_02_input[[#This Row],[InputNumbers]],aoc_02_input[[#This Row],[PosDash]]-1))</f>
        <v>1</v>
      </c>
      <c r="F354" s="1">
        <f>_xlfn.NUMBERVALUE(MID(aoc_02_input[[#This Row],[InputNumbers]],aoc_02_input[[#This Row],[PosDash]]+1,5))</f>
        <v>3</v>
      </c>
      <c r="G354" s="1" t="str">
        <f>LEFT(aoc_02_input[[#This Row],[InputChar]],1)</f>
        <v>q</v>
      </c>
      <c r="H354" s="1" cm="1">
        <f t="array" ref="H354">CountChar(aoc_02_input[[#This Row],[Password]],aoc_02_input[[#This Row],[Char]])</f>
        <v>3</v>
      </c>
      <c r="I354" s="1">
        <f>IF(AND(aoc_02_input[[#This Row],[Int1]]&lt;=aoc_02_input[[#This Row],[CountOfChar]],aoc_02_input[[#This Row],[CountOfChar]]&lt;=aoc_02_input[[#This Row],[Int2]]),1,0)</f>
        <v>1</v>
      </c>
      <c r="J354" s="1" t="str">
        <f>MID(aoc_02_input[[#This Row],[Password]],aoc_02_input[[#This Row],[Int1]],1)</f>
        <v>l</v>
      </c>
      <c r="K354" s="1">
        <f>IF(aoc_02_input[[#This Row],[Pos1]]=aoc_02_input[[#This Row],[Char]],1,0)</f>
        <v>0</v>
      </c>
      <c r="L354" s="1" t="str">
        <f>MID(aoc_02_input[[#This Row],[Password]],aoc_02_input[[#This Row],[Int2]],1)</f>
        <v>q</v>
      </c>
      <c r="M354" s="1">
        <f>IF(aoc_02_input[[#This Row],[Pos2]]=aoc_02_input[[#This Row],[Char]],1,0)</f>
        <v>1</v>
      </c>
      <c r="N354" s="1">
        <f>IF(aoc_02_input[[#This Row],[Pos1Valid]]&lt;&gt;aoc_02_input[[#This Row],[Pos2Valid]],1,0)</f>
        <v>1</v>
      </c>
    </row>
    <row r="355" spans="1:14" x14ac:dyDescent="0.45">
      <c r="A355" s="1" t="s">
        <v>698</v>
      </c>
      <c r="B355" s="1" t="s">
        <v>219</v>
      </c>
      <c r="C355" s="1" t="s">
        <v>699</v>
      </c>
      <c r="D355" s="1">
        <f>FIND("-",aoc_02_input[[#This Row],[InputNumbers]])</f>
        <v>2</v>
      </c>
      <c r="E355" s="1">
        <f>_xlfn.NUMBERVALUE(LEFT(aoc_02_input[[#This Row],[InputNumbers]],aoc_02_input[[#This Row],[PosDash]]-1))</f>
        <v>5</v>
      </c>
      <c r="F355" s="1">
        <f>_xlfn.NUMBERVALUE(MID(aoc_02_input[[#This Row],[InputNumbers]],aoc_02_input[[#This Row],[PosDash]]+1,5))</f>
        <v>10</v>
      </c>
      <c r="G355" s="1" t="str">
        <f>LEFT(aoc_02_input[[#This Row],[InputChar]],1)</f>
        <v>g</v>
      </c>
      <c r="H355" s="1" cm="1">
        <f t="array" ref="H355">CountChar(aoc_02_input[[#This Row],[Password]],aoc_02_input[[#This Row],[Char]])</f>
        <v>9</v>
      </c>
      <c r="I355" s="1">
        <f>IF(AND(aoc_02_input[[#This Row],[Int1]]&lt;=aoc_02_input[[#This Row],[CountOfChar]],aoc_02_input[[#This Row],[CountOfChar]]&lt;=aoc_02_input[[#This Row],[Int2]]),1,0)</f>
        <v>1</v>
      </c>
      <c r="J355" s="1" t="str">
        <f>MID(aoc_02_input[[#This Row],[Password]],aoc_02_input[[#This Row],[Int1]],1)</f>
        <v>p</v>
      </c>
      <c r="K355" s="1">
        <f>IF(aoc_02_input[[#This Row],[Pos1]]=aoc_02_input[[#This Row],[Char]],1,0)</f>
        <v>0</v>
      </c>
      <c r="L355" s="1" t="str">
        <f>MID(aoc_02_input[[#This Row],[Password]],aoc_02_input[[#This Row],[Int2]],1)</f>
        <v>g</v>
      </c>
      <c r="M355" s="1">
        <f>IF(aoc_02_input[[#This Row],[Pos2]]=aoc_02_input[[#This Row],[Char]],1,0)</f>
        <v>1</v>
      </c>
      <c r="N355" s="1">
        <f>IF(aoc_02_input[[#This Row],[Pos1Valid]]&lt;&gt;aoc_02_input[[#This Row],[Pos2Valid]],1,0)</f>
        <v>1</v>
      </c>
    </row>
    <row r="356" spans="1:14" x14ac:dyDescent="0.45">
      <c r="A356" s="1" t="s">
        <v>333</v>
      </c>
      <c r="B356" s="1" t="s">
        <v>278</v>
      </c>
      <c r="C356" s="1" t="s">
        <v>700</v>
      </c>
      <c r="D356" s="1">
        <f>FIND("-",aoc_02_input[[#This Row],[InputNumbers]])</f>
        <v>2</v>
      </c>
      <c r="E356" s="1">
        <f>_xlfn.NUMBERVALUE(LEFT(aoc_02_input[[#This Row],[InputNumbers]],aoc_02_input[[#This Row],[PosDash]]-1))</f>
        <v>1</v>
      </c>
      <c r="F356" s="1">
        <f>_xlfn.NUMBERVALUE(MID(aoc_02_input[[#This Row],[InputNumbers]],aoc_02_input[[#This Row],[PosDash]]+1,5))</f>
        <v>8</v>
      </c>
      <c r="G356" s="1" t="str">
        <f>LEFT(aoc_02_input[[#This Row],[InputChar]],1)</f>
        <v>x</v>
      </c>
      <c r="H356" s="1" cm="1">
        <f t="array" ref="H356">CountChar(aoc_02_input[[#This Row],[Password]],aoc_02_input[[#This Row],[Char]])</f>
        <v>9</v>
      </c>
      <c r="I356" s="1">
        <f>IF(AND(aoc_02_input[[#This Row],[Int1]]&lt;=aoc_02_input[[#This Row],[CountOfChar]],aoc_02_input[[#This Row],[CountOfChar]]&lt;=aoc_02_input[[#This Row],[Int2]]),1,0)</f>
        <v>0</v>
      </c>
      <c r="J356" s="1" t="str">
        <f>MID(aoc_02_input[[#This Row],[Password]],aoc_02_input[[#This Row],[Int1]],1)</f>
        <v>x</v>
      </c>
      <c r="K356" s="1">
        <f>IF(aoc_02_input[[#This Row],[Pos1]]=aoc_02_input[[#This Row],[Char]],1,0)</f>
        <v>1</v>
      </c>
      <c r="L356" s="1" t="str">
        <f>MID(aoc_02_input[[#This Row],[Password]],aoc_02_input[[#This Row],[Int2]],1)</f>
        <v>j</v>
      </c>
      <c r="M356" s="1">
        <f>IF(aoc_02_input[[#This Row],[Pos2]]=aoc_02_input[[#This Row],[Char]],1,0)</f>
        <v>0</v>
      </c>
      <c r="N356" s="1">
        <f>IF(aoc_02_input[[#This Row],[Pos1Valid]]&lt;&gt;aoc_02_input[[#This Row],[Pos2Valid]],1,0)</f>
        <v>1</v>
      </c>
    </row>
    <row r="357" spans="1:14" x14ac:dyDescent="0.45">
      <c r="A357" s="1" t="s">
        <v>299</v>
      </c>
      <c r="B357" s="1" t="s">
        <v>235</v>
      </c>
      <c r="C357" s="1" t="s">
        <v>701</v>
      </c>
      <c r="D357" s="1">
        <f>FIND("-",aoc_02_input[[#This Row],[InputNumbers]])</f>
        <v>2</v>
      </c>
      <c r="E357" s="1">
        <f>_xlfn.NUMBERVALUE(LEFT(aoc_02_input[[#This Row],[InputNumbers]],aoc_02_input[[#This Row],[PosDash]]-1))</f>
        <v>1</v>
      </c>
      <c r="F357" s="1">
        <f>_xlfn.NUMBERVALUE(MID(aoc_02_input[[#This Row],[InputNumbers]],aoc_02_input[[#This Row],[PosDash]]+1,5))</f>
        <v>2</v>
      </c>
      <c r="G357" s="1" t="str">
        <f>LEFT(aoc_02_input[[#This Row],[InputChar]],1)</f>
        <v>d</v>
      </c>
      <c r="H357" s="1" cm="1">
        <f t="array" ref="H357">CountChar(aoc_02_input[[#This Row],[Password]],aoc_02_input[[#This Row],[Char]])</f>
        <v>10</v>
      </c>
      <c r="I357" s="1">
        <f>IF(AND(aoc_02_input[[#This Row],[Int1]]&lt;=aoc_02_input[[#This Row],[CountOfChar]],aoc_02_input[[#This Row],[CountOfChar]]&lt;=aoc_02_input[[#This Row],[Int2]]),1,0)</f>
        <v>0</v>
      </c>
      <c r="J357" s="1" t="str">
        <f>MID(aoc_02_input[[#This Row],[Password]],aoc_02_input[[#This Row],[Int1]],1)</f>
        <v>m</v>
      </c>
      <c r="K357" s="1">
        <f>IF(aoc_02_input[[#This Row],[Pos1]]=aoc_02_input[[#This Row],[Char]],1,0)</f>
        <v>0</v>
      </c>
      <c r="L357" s="1" t="str">
        <f>MID(aoc_02_input[[#This Row],[Password]],aoc_02_input[[#This Row],[Int2]],1)</f>
        <v>d</v>
      </c>
      <c r="M357" s="1">
        <f>IF(aoc_02_input[[#This Row],[Pos2]]=aoc_02_input[[#This Row],[Char]],1,0)</f>
        <v>1</v>
      </c>
      <c r="N357" s="1">
        <f>IF(aoc_02_input[[#This Row],[Pos1Valid]]&lt;&gt;aoc_02_input[[#This Row],[Pos2Valid]],1,0)</f>
        <v>1</v>
      </c>
    </row>
    <row r="358" spans="1:14" x14ac:dyDescent="0.45">
      <c r="A358" s="1" t="s">
        <v>392</v>
      </c>
      <c r="B358" s="1" t="s">
        <v>265</v>
      </c>
      <c r="C358" s="1" t="s">
        <v>702</v>
      </c>
      <c r="D358" s="1">
        <f>FIND("-",aoc_02_input[[#This Row],[InputNumbers]])</f>
        <v>2</v>
      </c>
      <c r="E358" s="1">
        <f>_xlfn.NUMBERVALUE(LEFT(aoc_02_input[[#This Row],[InputNumbers]],aoc_02_input[[#This Row],[PosDash]]-1))</f>
        <v>8</v>
      </c>
      <c r="F358" s="1">
        <f>_xlfn.NUMBERVALUE(MID(aoc_02_input[[#This Row],[InputNumbers]],aoc_02_input[[#This Row],[PosDash]]+1,5))</f>
        <v>9</v>
      </c>
      <c r="G358" s="1" t="str">
        <f>LEFT(aoc_02_input[[#This Row],[InputChar]],1)</f>
        <v>r</v>
      </c>
      <c r="H358" s="1" cm="1">
        <f t="array" ref="H358">CountChar(aoc_02_input[[#This Row],[Password]],aoc_02_input[[#This Row],[Char]])</f>
        <v>8</v>
      </c>
      <c r="I358" s="1">
        <f>IF(AND(aoc_02_input[[#This Row],[Int1]]&lt;=aoc_02_input[[#This Row],[CountOfChar]],aoc_02_input[[#This Row],[CountOfChar]]&lt;=aoc_02_input[[#This Row],[Int2]]),1,0)</f>
        <v>1</v>
      </c>
      <c r="J358" s="1" t="str">
        <f>MID(aoc_02_input[[#This Row],[Password]],aoc_02_input[[#This Row],[Int1]],1)</f>
        <v>r</v>
      </c>
      <c r="K358" s="1">
        <f>IF(aoc_02_input[[#This Row],[Pos1]]=aoc_02_input[[#This Row],[Char]],1,0)</f>
        <v>1</v>
      </c>
      <c r="L358" s="1" t="str">
        <f>MID(aoc_02_input[[#This Row],[Password]],aoc_02_input[[#This Row],[Int2]],1)</f>
        <v>l</v>
      </c>
      <c r="M358" s="1">
        <f>IF(aoc_02_input[[#This Row],[Pos2]]=aoc_02_input[[#This Row],[Char]],1,0)</f>
        <v>0</v>
      </c>
      <c r="N358" s="1">
        <f>IF(aoc_02_input[[#This Row],[Pos1Valid]]&lt;&gt;aoc_02_input[[#This Row],[Pos2Valid]],1,0)</f>
        <v>1</v>
      </c>
    </row>
    <row r="359" spans="1:14" x14ac:dyDescent="0.45">
      <c r="A359" s="1" t="s">
        <v>212</v>
      </c>
      <c r="B359" s="1" t="s">
        <v>238</v>
      </c>
      <c r="C359" s="1" t="s">
        <v>703</v>
      </c>
      <c r="D359" s="1">
        <f>FIND("-",aoc_02_input[[#This Row],[InputNumbers]])</f>
        <v>2</v>
      </c>
      <c r="E359" s="1">
        <f>_xlfn.NUMBERVALUE(LEFT(aoc_02_input[[#This Row],[InputNumbers]],aoc_02_input[[#This Row],[PosDash]]-1))</f>
        <v>2</v>
      </c>
      <c r="F359" s="1">
        <f>_xlfn.NUMBERVALUE(MID(aoc_02_input[[#This Row],[InputNumbers]],aoc_02_input[[#This Row],[PosDash]]+1,5))</f>
        <v>5</v>
      </c>
      <c r="G359" s="1" t="str">
        <f>LEFT(aoc_02_input[[#This Row],[InputChar]],1)</f>
        <v>w</v>
      </c>
      <c r="H359" s="1" cm="1">
        <f t="array" ref="H359">CountChar(aoc_02_input[[#This Row],[Password]],aoc_02_input[[#This Row],[Char]])</f>
        <v>5</v>
      </c>
      <c r="I359" s="1">
        <f>IF(AND(aoc_02_input[[#This Row],[Int1]]&lt;=aoc_02_input[[#This Row],[CountOfChar]],aoc_02_input[[#This Row],[CountOfChar]]&lt;=aoc_02_input[[#This Row],[Int2]]),1,0)</f>
        <v>1</v>
      </c>
      <c r="J359" s="1" t="str">
        <f>MID(aoc_02_input[[#This Row],[Password]],aoc_02_input[[#This Row],[Int1]],1)</f>
        <v>w</v>
      </c>
      <c r="K359" s="1">
        <f>IF(aoc_02_input[[#This Row],[Pos1]]=aoc_02_input[[#This Row],[Char]],1,0)</f>
        <v>1</v>
      </c>
      <c r="L359" s="1" t="str">
        <f>MID(aoc_02_input[[#This Row],[Password]],aoc_02_input[[#This Row],[Int2]],1)</f>
        <v>w</v>
      </c>
      <c r="M359" s="1">
        <f>IF(aoc_02_input[[#This Row],[Pos2]]=aoc_02_input[[#This Row],[Char]],1,0)</f>
        <v>1</v>
      </c>
      <c r="N359" s="1">
        <f>IF(aoc_02_input[[#This Row],[Pos1Valid]]&lt;&gt;aoc_02_input[[#This Row],[Pos2Valid]],1,0)</f>
        <v>0</v>
      </c>
    </row>
    <row r="360" spans="1:14" x14ac:dyDescent="0.45">
      <c r="A360" s="1" t="s">
        <v>212</v>
      </c>
      <c r="B360" s="1" t="s">
        <v>207</v>
      </c>
      <c r="C360" s="1" t="s">
        <v>704</v>
      </c>
      <c r="D360" s="1">
        <f>FIND("-",aoc_02_input[[#This Row],[InputNumbers]])</f>
        <v>2</v>
      </c>
      <c r="E360" s="1">
        <f>_xlfn.NUMBERVALUE(LEFT(aoc_02_input[[#This Row],[InputNumbers]],aoc_02_input[[#This Row],[PosDash]]-1))</f>
        <v>2</v>
      </c>
      <c r="F360" s="1">
        <f>_xlfn.NUMBERVALUE(MID(aoc_02_input[[#This Row],[InputNumbers]],aoc_02_input[[#This Row],[PosDash]]+1,5))</f>
        <v>5</v>
      </c>
      <c r="G360" s="1" t="str">
        <f>LEFT(aoc_02_input[[#This Row],[InputChar]],1)</f>
        <v>b</v>
      </c>
      <c r="H360" s="1" cm="1">
        <f t="array" ref="H360">CountChar(aoc_02_input[[#This Row],[Password]],aoc_02_input[[#This Row],[Char]])</f>
        <v>1</v>
      </c>
      <c r="I360" s="1">
        <f>IF(AND(aoc_02_input[[#This Row],[Int1]]&lt;=aoc_02_input[[#This Row],[CountOfChar]],aoc_02_input[[#This Row],[CountOfChar]]&lt;=aoc_02_input[[#This Row],[Int2]]),1,0)</f>
        <v>0</v>
      </c>
      <c r="J360" s="1" t="str">
        <f>MID(aoc_02_input[[#This Row],[Password]],aoc_02_input[[#This Row],[Int1]],1)</f>
        <v>w</v>
      </c>
      <c r="K360" s="1">
        <f>IF(aoc_02_input[[#This Row],[Pos1]]=aoc_02_input[[#This Row],[Char]],1,0)</f>
        <v>0</v>
      </c>
      <c r="L360" s="1" t="str">
        <f>MID(aoc_02_input[[#This Row],[Password]],aoc_02_input[[#This Row],[Int2]],1)</f>
        <v>b</v>
      </c>
      <c r="M360" s="1">
        <f>IF(aoc_02_input[[#This Row],[Pos2]]=aoc_02_input[[#This Row],[Char]],1,0)</f>
        <v>1</v>
      </c>
      <c r="N360" s="1">
        <f>IF(aoc_02_input[[#This Row],[Pos1Valid]]&lt;&gt;aoc_02_input[[#This Row],[Pos2Valid]],1,0)</f>
        <v>1</v>
      </c>
    </row>
    <row r="361" spans="1:14" x14ac:dyDescent="0.45">
      <c r="A361" s="1" t="s">
        <v>304</v>
      </c>
      <c r="B361" s="1" t="s">
        <v>254</v>
      </c>
      <c r="C361" s="1" t="s">
        <v>705</v>
      </c>
      <c r="D361" s="1">
        <f>FIND("-",aoc_02_input[[#This Row],[InputNumbers]])</f>
        <v>2</v>
      </c>
      <c r="E361" s="1">
        <f>_xlfn.NUMBERVALUE(LEFT(aoc_02_input[[#This Row],[InputNumbers]],aoc_02_input[[#This Row],[PosDash]]-1))</f>
        <v>2</v>
      </c>
      <c r="F361" s="1">
        <f>_xlfn.NUMBERVALUE(MID(aoc_02_input[[#This Row],[InputNumbers]],aoc_02_input[[#This Row],[PosDash]]+1,5))</f>
        <v>16</v>
      </c>
      <c r="G361" s="1" t="str">
        <f>LEFT(aoc_02_input[[#This Row],[InputChar]],1)</f>
        <v>k</v>
      </c>
      <c r="H361" s="1" cm="1">
        <f t="array" ref="H361">CountChar(aoc_02_input[[#This Row],[Password]],aoc_02_input[[#This Row],[Char]])</f>
        <v>7</v>
      </c>
      <c r="I361" s="1">
        <f>IF(AND(aoc_02_input[[#This Row],[Int1]]&lt;=aoc_02_input[[#This Row],[CountOfChar]],aoc_02_input[[#This Row],[CountOfChar]]&lt;=aoc_02_input[[#This Row],[Int2]]),1,0)</f>
        <v>1</v>
      </c>
      <c r="J361" s="1" t="str">
        <f>MID(aoc_02_input[[#This Row],[Password]],aoc_02_input[[#This Row],[Int1]],1)</f>
        <v>k</v>
      </c>
      <c r="K361" s="1">
        <f>IF(aoc_02_input[[#This Row],[Pos1]]=aoc_02_input[[#This Row],[Char]],1,0)</f>
        <v>1</v>
      </c>
      <c r="L361" s="1" t="str">
        <f>MID(aoc_02_input[[#This Row],[Password]],aoc_02_input[[#This Row],[Int2]],1)</f>
        <v>b</v>
      </c>
      <c r="M361" s="1">
        <f>IF(aoc_02_input[[#This Row],[Pos2]]=aoc_02_input[[#This Row],[Char]],1,0)</f>
        <v>0</v>
      </c>
      <c r="N361" s="1">
        <f>IF(aoc_02_input[[#This Row],[Pos1Valid]]&lt;&gt;aoc_02_input[[#This Row],[Pos2Valid]],1,0)</f>
        <v>1</v>
      </c>
    </row>
    <row r="362" spans="1:14" x14ac:dyDescent="0.45">
      <c r="A362" s="1" t="s">
        <v>458</v>
      </c>
      <c r="B362" s="1" t="s">
        <v>254</v>
      </c>
      <c r="C362" s="1" t="s">
        <v>706</v>
      </c>
      <c r="D362" s="1">
        <f>FIND("-",aoc_02_input[[#This Row],[InputNumbers]])</f>
        <v>2</v>
      </c>
      <c r="E362" s="1">
        <f>_xlfn.NUMBERVALUE(LEFT(aoc_02_input[[#This Row],[InputNumbers]],aoc_02_input[[#This Row],[PosDash]]-1))</f>
        <v>9</v>
      </c>
      <c r="F362" s="1">
        <f>_xlfn.NUMBERVALUE(MID(aoc_02_input[[#This Row],[InputNumbers]],aoc_02_input[[#This Row],[PosDash]]+1,5))</f>
        <v>12</v>
      </c>
      <c r="G362" s="1" t="str">
        <f>LEFT(aoc_02_input[[#This Row],[InputChar]],1)</f>
        <v>k</v>
      </c>
      <c r="H362" s="1" cm="1">
        <f t="array" ref="H362">CountChar(aoc_02_input[[#This Row],[Password]],aoc_02_input[[#This Row],[Char]])</f>
        <v>8</v>
      </c>
      <c r="I362" s="1">
        <f>IF(AND(aoc_02_input[[#This Row],[Int1]]&lt;=aoc_02_input[[#This Row],[CountOfChar]],aoc_02_input[[#This Row],[CountOfChar]]&lt;=aoc_02_input[[#This Row],[Int2]]),1,0)</f>
        <v>0</v>
      </c>
      <c r="J362" s="1" t="str">
        <f>MID(aoc_02_input[[#This Row],[Password]],aoc_02_input[[#This Row],[Int1]],1)</f>
        <v>p</v>
      </c>
      <c r="K362" s="1">
        <f>IF(aoc_02_input[[#This Row],[Pos1]]=aoc_02_input[[#This Row],[Char]],1,0)</f>
        <v>0</v>
      </c>
      <c r="L362" s="1" t="str">
        <f>MID(aoc_02_input[[#This Row],[Password]],aoc_02_input[[#This Row],[Int2]],1)</f>
        <v>c</v>
      </c>
      <c r="M362" s="1">
        <f>IF(aoc_02_input[[#This Row],[Pos2]]=aoc_02_input[[#This Row],[Char]],1,0)</f>
        <v>0</v>
      </c>
      <c r="N362" s="1">
        <f>IF(aoc_02_input[[#This Row],[Pos1Valid]]&lt;&gt;aoc_02_input[[#This Row],[Pos2Valid]],1,0)</f>
        <v>0</v>
      </c>
    </row>
    <row r="363" spans="1:14" x14ac:dyDescent="0.45">
      <c r="A363" s="1" t="s">
        <v>394</v>
      </c>
      <c r="B363" s="1" t="s">
        <v>305</v>
      </c>
      <c r="C363" s="1" t="s">
        <v>707</v>
      </c>
      <c r="D363" s="1">
        <f>FIND("-",aoc_02_input[[#This Row],[InputNumbers]])</f>
        <v>2</v>
      </c>
      <c r="E363" s="1">
        <f>_xlfn.NUMBERVALUE(LEFT(aoc_02_input[[#This Row],[InputNumbers]],aoc_02_input[[#This Row],[PosDash]]-1))</f>
        <v>4</v>
      </c>
      <c r="F363" s="1">
        <f>_xlfn.NUMBERVALUE(MID(aoc_02_input[[#This Row],[InputNumbers]],aoc_02_input[[#This Row],[PosDash]]+1,5))</f>
        <v>7</v>
      </c>
      <c r="G363" s="1" t="str">
        <f>LEFT(aoc_02_input[[#This Row],[InputChar]],1)</f>
        <v>s</v>
      </c>
      <c r="H363" s="1" cm="1">
        <f t="array" ref="H363">CountChar(aoc_02_input[[#This Row],[Password]],aoc_02_input[[#This Row],[Char]])</f>
        <v>4</v>
      </c>
      <c r="I363" s="1">
        <f>IF(AND(aoc_02_input[[#This Row],[Int1]]&lt;=aoc_02_input[[#This Row],[CountOfChar]],aoc_02_input[[#This Row],[CountOfChar]]&lt;=aoc_02_input[[#This Row],[Int2]]),1,0)</f>
        <v>1</v>
      </c>
      <c r="J363" s="1" t="str">
        <f>MID(aoc_02_input[[#This Row],[Password]],aoc_02_input[[#This Row],[Int1]],1)</f>
        <v>w</v>
      </c>
      <c r="K363" s="1">
        <f>IF(aoc_02_input[[#This Row],[Pos1]]=aoc_02_input[[#This Row],[Char]],1,0)</f>
        <v>0</v>
      </c>
      <c r="L363" s="1" t="str">
        <f>MID(aoc_02_input[[#This Row],[Password]],aoc_02_input[[#This Row],[Int2]],1)</f>
        <v>s</v>
      </c>
      <c r="M363" s="1">
        <f>IF(aoc_02_input[[#This Row],[Pos2]]=aoc_02_input[[#This Row],[Char]],1,0)</f>
        <v>1</v>
      </c>
      <c r="N363" s="1">
        <f>IF(aoc_02_input[[#This Row],[Pos1Valid]]&lt;&gt;aoc_02_input[[#This Row],[Pos2Valid]],1,0)</f>
        <v>1</v>
      </c>
    </row>
    <row r="364" spans="1:14" x14ac:dyDescent="0.45">
      <c r="A364" s="1" t="s">
        <v>708</v>
      </c>
      <c r="B364" s="1" t="s">
        <v>228</v>
      </c>
      <c r="C364" s="1" t="s">
        <v>709</v>
      </c>
      <c r="D364" s="1">
        <f>FIND("-",aoc_02_input[[#This Row],[InputNumbers]])</f>
        <v>2</v>
      </c>
      <c r="E364" s="1">
        <f>_xlfn.NUMBERVALUE(LEFT(aoc_02_input[[#This Row],[InputNumbers]],aoc_02_input[[#This Row],[PosDash]]-1))</f>
        <v>6</v>
      </c>
      <c r="F364" s="1">
        <f>_xlfn.NUMBERVALUE(MID(aoc_02_input[[#This Row],[InputNumbers]],aoc_02_input[[#This Row],[PosDash]]+1,5))</f>
        <v>13</v>
      </c>
      <c r="G364" s="1" t="str">
        <f>LEFT(aoc_02_input[[#This Row],[InputChar]],1)</f>
        <v>t</v>
      </c>
      <c r="H364" s="1" cm="1">
        <f t="array" ref="H364">CountChar(aoc_02_input[[#This Row],[Password]],aoc_02_input[[#This Row],[Char]])</f>
        <v>6</v>
      </c>
      <c r="I364" s="1">
        <f>IF(AND(aoc_02_input[[#This Row],[Int1]]&lt;=aoc_02_input[[#This Row],[CountOfChar]],aoc_02_input[[#This Row],[CountOfChar]]&lt;=aoc_02_input[[#This Row],[Int2]]),1,0)</f>
        <v>1</v>
      </c>
      <c r="J364" s="1" t="str">
        <f>MID(aoc_02_input[[#This Row],[Password]],aoc_02_input[[#This Row],[Int1]],1)</f>
        <v>p</v>
      </c>
      <c r="K364" s="1">
        <f>IF(aoc_02_input[[#This Row],[Pos1]]=aoc_02_input[[#This Row],[Char]],1,0)</f>
        <v>0</v>
      </c>
      <c r="L364" s="1" t="str">
        <f>MID(aoc_02_input[[#This Row],[Password]],aoc_02_input[[#This Row],[Int2]],1)</f>
        <v>j</v>
      </c>
      <c r="M364" s="1">
        <f>IF(aoc_02_input[[#This Row],[Pos2]]=aoc_02_input[[#This Row],[Char]],1,0)</f>
        <v>0</v>
      </c>
      <c r="N364" s="1">
        <f>IF(aoc_02_input[[#This Row],[Pos1Valid]]&lt;&gt;aoc_02_input[[#This Row],[Pos2Valid]],1,0)</f>
        <v>0</v>
      </c>
    </row>
    <row r="365" spans="1:14" x14ac:dyDescent="0.45">
      <c r="A365" s="1" t="s">
        <v>468</v>
      </c>
      <c r="B365" s="1" t="s">
        <v>249</v>
      </c>
      <c r="C365" s="1" t="s">
        <v>710</v>
      </c>
      <c r="D365" s="1">
        <f>FIND("-",aoc_02_input[[#This Row],[InputNumbers]])</f>
        <v>3</v>
      </c>
      <c r="E365" s="1">
        <f>_xlfn.NUMBERVALUE(LEFT(aoc_02_input[[#This Row],[InputNumbers]],aoc_02_input[[#This Row],[PosDash]]-1))</f>
        <v>14</v>
      </c>
      <c r="F365" s="1">
        <f>_xlfn.NUMBERVALUE(MID(aoc_02_input[[#This Row],[InputNumbers]],aoc_02_input[[#This Row],[PosDash]]+1,5))</f>
        <v>16</v>
      </c>
      <c r="G365" s="1" t="str">
        <f>LEFT(aoc_02_input[[#This Row],[InputChar]],1)</f>
        <v>q</v>
      </c>
      <c r="H365" s="1" cm="1">
        <f t="array" ref="H365">CountChar(aoc_02_input[[#This Row],[Password]],aoc_02_input[[#This Row],[Char]])</f>
        <v>15</v>
      </c>
      <c r="I365" s="1">
        <f>IF(AND(aoc_02_input[[#This Row],[Int1]]&lt;=aoc_02_input[[#This Row],[CountOfChar]],aoc_02_input[[#This Row],[CountOfChar]]&lt;=aoc_02_input[[#This Row],[Int2]]),1,0)</f>
        <v>1</v>
      </c>
      <c r="J365" s="1" t="str">
        <f>MID(aoc_02_input[[#This Row],[Password]],aoc_02_input[[#This Row],[Int1]],1)</f>
        <v>q</v>
      </c>
      <c r="K365" s="1">
        <f>IF(aoc_02_input[[#This Row],[Pos1]]=aoc_02_input[[#This Row],[Char]],1,0)</f>
        <v>1</v>
      </c>
      <c r="L365" s="1" t="str">
        <f>MID(aoc_02_input[[#This Row],[Password]],aoc_02_input[[#This Row],[Int2]],1)</f>
        <v>q</v>
      </c>
      <c r="M365" s="1">
        <f>IF(aoc_02_input[[#This Row],[Pos2]]=aoc_02_input[[#This Row],[Char]],1,0)</f>
        <v>1</v>
      </c>
      <c r="N365" s="1">
        <f>IF(aoc_02_input[[#This Row],[Pos1Valid]]&lt;&gt;aoc_02_input[[#This Row],[Pos2Valid]],1,0)</f>
        <v>0</v>
      </c>
    </row>
    <row r="366" spans="1:14" x14ac:dyDescent="0.45">
      <c r="A366" s="1" t="s">
        <v>218</v>
      </c>
      <c r="B366" s="1" t="s">
        <v>216</v>
      </c>
      <c r="C366" s="1" t="s">
        <v>711</v>
      </c>
      <c r="D366" s="1">
        <f>FIND("-",aoc_02_input[[#This Row],[InputNumbers]])</f>
        <v>2</v>
      </c>
      <c r="E366" s="1">
        <f>_xlfn.NUMBERVALUE(LEFT(aoc_02_input[[#This Row],[InputNumbers]],aoc_02_input[[#This Row],[PosDash]]-1))</f>
        <v>6</v>
      </c>
      <c r="F366" s="1">
        <f>_xlfn.NUMBERVALUE(MID(aoc_02_input[[#This Row],[InputNumbers]],aoc_02_input[[#This Row],[PosDash]]+1,5))</f>
        <v>8</v>
      </c>
      <c r="G366" s="1" t="str">
        <f>LEFT(aoc_02_input[[#This Row],[InputChar]],1)</f>
        <v>z</v>
      </c>
      <c r="H366" s="1" cm="1">
        <f t="array" ref="H366">CountChar(aoc_02_input[[#This Row],[Password]],aoc_02_input[[#This Row],[Char]])</f>
        <v>5</v>
      </c>
      <c r="I366" s="1">
        <f>IF(AND(aoc_02_input[[#This Row],[Int1]]&lt;=aoc_02_input[[#This Row],[CountOfChar]],aoc_02_input[[#This Row],[CountOfChar]]&lt;=aoc_02_input[[#This Row],[Int2]]),1,0)</f>
        <v>0</v>
      </c>
      <c r="J366" s="1" t="str">
        <f>MID(aoc_02_input[[#This Row],[Password]],aoc_02_input[[#This Row],[Int1]],1)</f>
        <v>z</v>
      </c>
      <c r="K366" s="1">
        <f>IF(aoc_02_input[[#This Row],[Pos1]]=aoc_02_input[[#This Row],[Char]],1,0)</f>
        <v>1</v>
      </c>
      <c r="L366" s="1" t="str">
        <f>MID(aoc_02_input[[#This Row],[Password]],aoc_02_input[[#This Row],[Int2]],1)</f>
        <v>f</v>
      </c>
      <c r="M366" s="1">
        <f>IF(aoc_02_input[[#This Row],[Pos2]]=aoc_02_input[[#This Row],[Char]],1,0)</f>
        <v>0</v>
      </c>
      <c r="N366" s="1">
        <f>IF(aoc_02_input[[#This Row],[Pos1Valid]]&lt;&gt;aoc_02_input[[#This Row],[Pos2Valid]],1,0)</f>
        <v>1</v>
      </c>
    </row>
    <row r="367" spans="1:14" x14ac:dyDescent="0.45">
      <c r="A367" s="1" t="s">
        <v>248</v>
      </c>
      <c r="B367" s="1" t="s">
        <v>228</v>
      </c>
      <c r="C367" s="1" t="s">
        <v>712</v>
      </c>
      <c r="D367" s="1">
        <f>FIND("-",aoc_02_input[[#This Row],[InputNumbers]])</f>
        <v>3</v>
      </c>
      <c r="E367" s="1">
        <f>_xlfn.NUMBERVALUE(LEFT(aoc_02_input[[#This Row],[InputNumbers]],aoc_02_input[[#This Row],[PosDash]]-1))</f>
        <v>11</v>
      </c>
      <c r="F367" s="1">
        <f>_xlfn.NUMBERVALUE(MID(aoc_02_input[[#This Row],[InputNumbers]],aoc_02_input[[#This Row],[PosDash]]+1,5))</f>
        <v>12</v>
      </c>
      <c r="G367" s="1" t="str">
        <f>LEFT(aoc_02_input[[#This Row],[InputChar]],1)</f>
        <v>t</v>
      </c>
      <c r="H367" s="1" cm="1">
        <f t="array" ref="H367">CountChar(aoc_02_input[[#This Row],[Password]],aoc_02_input[[#This Row],[Char]])</f>
        <v>11</v>
      </c>
      <c r="I367" s="1">
        <f>IF(AND(aoc_02_input[[#This Row],[Int1]]&lt;=aoc_02_input[[#This Row],[CountOfChar]],aoc_02_input[[#This Row],[CountOfChar]]&lt;=aoc_02_input[[#This Row],[Int2]]),1,0)</f>
        <v>1</v>
      </c>
      <c r="J367" s="1" t="str">
        <f>MID(aoc_02_input[[#This Row],[Password]],aoc_02_input[[#This Row],[Int1]],1)</f>
        <v>h</v>
      </c>
      <c r="K367" s="1">
        <f>IF(aoc_02_input[[#This Row],[Pos1]]=aoc_02_input[[#This Row],[Char]],1,0)</f>
        <v>0</v>
      </c>
      <c r="L367" s="1" t="str">
        <f>MID(aoc_02_input[[#This Row],[Password]],aoc_02_input[[#This Row],[Int2]],1)</f>
        <v>t</v>
      </c>
      <c r="M367" s="1">
        <f>IF(aoc_02_input[[#This Row],[Pos2]]=aoc_02_input[[#This Row],[Char]],1,0)</f>
        <v>1</v>
      </c>
      <c r="N367" s="1">
        <f>IF(aoc_02_input[[#This Row],[Pos1Valid]]&lt;&gt;aoc_02_input[[#This Row],[Pos2Valid]],1,0)</f>
        <v>1</v>
      </c>
    </row>
    <row r="368" spans="1:14" x14ac:dyDescent="0.45">
      <c r="A368" s="1" t="s">
        <v>538</v>
      </c>
      <c r="B368" s="1" t="s">
        <v>213</v>
      </c>
      <c r="C368" s="1" t="s">
        <v>713</v>
      </c>
      <c r="D368" s="1">
        <f>FIND("-",aoc_02_input[[#This Row],[InputNumbers]])</f>
        <v>3</v>
      </c>
      <c r="E368" s="1">
        <f>_xlfn.NUMBERVALUE(LEFT(aoc_02_input[[#This Row],[InputNumbers]],aoc_02_input[[#This Row],[PosDash]]-1))</f>
        <v>11</v>
      </c>
      <c r="F368" s="1">
        <f>_xlfn.NUMBERVALUE(MID(aoc_02_input[[#This Row],[InputNumbers]],aoc_02_input[[#This Row],[PosDash]]+1,5))</f>
        <v>14</v>
      </c>
      <c r="G368" s="1" t="str">
        <f>LEFT(aoc_02_input[[#This Row],[InputChar]],1)</f>
        <v>m</v>
      </c>
      <c r="H368" s="1" cm="1">
        <f t="array" ref="H368">CountChar(aoc_02_input[[#This Row],[Password]],aoc_02_input[[#This Row],[Char]])</f>
        <v>10</v>
      </c>
      <c r="I368" s="1">
        <f>IF(AND(aoc_02_input[[#This Row],[Int1]]&lt;=aoc_02_input[[#This Row],[CountOfChar]],aoc_02_input[[#This Row],[CountOfChar]]&lt;=aoc_02_input[[#This Row],[Int2]]),1,0)</f>
        <v>0</v>
      </c>
      <c r="J368" s="1" t="str">
        <f>MID(aoc_02_input[[#This Row],[Password]],aoc_02_input[[#This Row],[Int1]],1)</f>
        <v>m</v>
      </c>
      <c r="K368" s="1">
        <f>IF(aoc_02_input[[#This Row],[Pos1]]=aoc_02_input[[#This Row],[Char]],1,0)</f>
        <v>1</v>
      </c>
      <c r="L368" s="1" t="str">
        <f>MID(aoc_02_input[[#This Row],[Password]],aoc_02_input[[#This Row],[Int2]],1)</f>
        <v>m</v>
      </c>
      <c r="M368" s="1">
        <f>IF(aoc_02_input[[#This Row],[Pos2]]=aoc_02_input[[#This Row],[Char]],1,0)</f>
        <v>1</v>
      </c>
      <c r="N368" s="1">
        <f>IF(aoc_02_input[[#This Row],[Pos1Valid]]&lt;&gt;aoc_02_input[[#This Row],[Pos2Valid]],1,0)</f>
        <v>0</v>
      </c>
    </row>
    <row r="369" spans="1:14" x14ac:dyDescent="0.45">
      <c r="A369" s="1" t="s">
        <v>290</v>
      </c>
      <c r="B369" s="1" t="s">
        <v>249</v>
      </c>
      <c r="C369" s="1" t="s">
        <v>714</v>
      </c>
      <c r="D369" s="1">
        <f>FIND("-",aoc_02_input[[#This Row],[InputNumbers]])</f>
        <v>2</v>
      </c>
      <c r="E369" s="1">
        <f>_xlfn.NUMBERVALUE(LEFT(aoc_02_input[[#This Row],[InputNumbers]],aoc_02_input[[#This Row],[PosDash]]-1))</f>
        <v>8</v>
      </c>
      <c r="F369" s="1">
        <f>_xlfn.NUMBERVALUE(MID(aoc_02_input[[#This Row],[InputNumbers]],aoc_02_input[[#This Row],[PosDash]]+1,5))</f>
        <v>10</v>
      </c>
      <c r="G369" s="1" t="str">
        <f>LEFT(aoc_02_input[[#This Row],[InputChar]],1)</f>
        <v>q</v>
      </c>
      <c r="H369" s="1" cm="1">
        <f t="array" ref="H369">CountChar(aoc_02_input[[#This Row],[Password]],aoc_02_input[[#This Row],[Char]])</f>
        <v>9</v>
      </c>
      <c r="I369" s="1">
        <f>IF(AND(aoc_02_input[[#This Row],[Int1]]&lt;=aoc_02_input[[#This Row],[CountOfChar]],aoc_02_input[[#This Row],[CountOfChar]]&lt;=aoc_02_input[[#This Row],[Int2]]),1,0)</f>
        <v>1</v>
      </c>
      <c r="J369" s="1" t="str">
        <f>MID(aoc_02_input[[#This Row],[Password]],aoc_02_input[[#This Row],[Int1]],1)</f>
        <v>q</v>
      </c>
      <c r="K369" s="1">
        <f>IF(aoc_02_input[[#This Row],[Pos1]]=aoc_02_input[[#This Row],[Char]],1,0)</f>
        <v>1</v>
      </c>
      <c r="L369" s="1" t="str">
        <f>MID(aoc_02_input[[#This Row],[Password]],aoc_02_input[[#This Row],[Int2]],1)</f>
        <v>q</v>
      </c>
      <c r="M369" s="1">
        <f>IF(aoc_02_input[[#This Row],[Pos2]]=aoc_02_input[[#This Row],[Char]],1,0)</f>
        <v>1</v>
      </c>
      <c r="N369" s="1">
        <f>IF(aoc_02_input[[#This Row],[Pos1Valid]]&lt;&gt;aoc_02_input[[#This Row],[Pos2Valid]],1,0)</f>
        <v>0</v>
      </c>
    </row>
    <row r="370" spans="1:14" x14ac:dyDescent="0.45">
      <c r="A370" s="1" t="s">
        <v>227</v>
      </c>
      <c r="B370" s="1" t="s">
        <v>228</v>
      </c>
      <c r="C370" s="1" t="s">
        <v>715</v>
      </c>
      <c r="D370" s="1">
        <f>FIND("-",aoc_02_input[[#This Row],[InputNumbers]])</f>
        <v>2</v>
      </c>
      <c r="E370" s="1">
        <f>_xlfn.NUMBERVALUE(LEFT(aoc_02_input[[#This Row],[InputNumbers]],aoc_02_input[[#This Row],[PosDash]]-1))</f>
        <v>4</v>
      </c>
      <c r="F370" s="1">
        <f>_xlfn.NUMBERVALUE(MID(aoc_02_input[[#This Row],[InputNumbers]],aoc_02_input[[#This Row],[PosDash]]+1,5))</f>
        <v>5</v>
      </c>
      <c r="G370" s="1" t="str">
        <f>LEFT(aoc_02_input[[#This Row],[InputChar]],1)</f>
        <v>t</v>
      </c>
      <c r="H370" s="1" cm="1">
        <f t="array" ref="H370">CountChar(aoc_02_input[[#This Row],[Password]],aoc_02_input[[#This Row],[Char]])</f>
        <v>3</v>
      </c>
      <c r="I370" s="1">
        <f>IF(AND(aoc_02_input[[#This Row],[Int1]]&lt;=aoc_02_input[[#This Row],[CountOfChar]],aoc_02_input[[#This Row],[CountOfChar]]&lt;=aoc_02_input[[#This Row],[Int2]]),1,0)</f>
        <v>0</v>
      </c>
      <c r="J370" s="1" t="str">
        <f>MID(aoc_02_input[[#This Row],[Password]],aoc_02_input[[#This Row],[Int1]],1)</f>
        <v>t</v>
      </c>
      <c r="K370" s="1">
        <f>IF(aoc_02_input[[#This Row],[Pos1]]=aoc_02_input[[#This Row],[Char]],1,0)</f>
        <v>1</v>
      </c>
      <c r="L370" s="1" t="str">
        <f>MID(aoc_02_input[[#This Row],[Password]],aoc_02_input[[#This Row],[Int2]],1)</f>
        <v>t</v>
      </c>
      <c r="M370" s="1">
        <f>IF(aoc_02_input[[#This Row],[Pos2]]=aoc_02_input[[#This Row],[Char]],1,0)</f>
        <v>1</v>
      </c>
      <c r="N370" s="1">
        <f>IF(aoc_02_input[[#This Row],[Pos1Valid]]&lt;&gt;aoc_02_input[[#This Row],[Pos2Valid]],1,0)</f>
        <v>0</v>
      </c>
    </row>
    <row r="371" spans="1:14" x14ac:dyDescent="0.45">
      <c r="A371" s="1" t="s">
        <v>224</v>
      </c>
      <c r="B371" s="1" t="s">
        <v>213</v>
      </c>
      <c r="C371" s="1" t="s">
        <v>716</v>
      </c>
      <c r="D371" s="1">
        <f>FIND("-",aoc_02_input[[#This Row],[InputNumbers]])</f>
        <v>2</v>
      </c>
      <c r="E371" s="1">
        <f>_xlfn.NUMBERVALUE(LEFT(aoc_02_input[[#This Row],[InputNumbers]],aoc_02_input[[#This Row],[PosDash]]-1))</f>
        <v>1</v>
      </c>
      <c r="F371" s="1">
        <f>_xlfn.NUMBERVALUE(MID(aoc_02_input[[#This Row],[InputNumbers]],aoc_02_input[[#This Row],[PosDash]]+1,5))</f>
        <v>5</v>
      </c>
      <c r="G371" s="1" t="str">
        <f>LEFT(aoc_02_input[[#This Row],[InputChar]],1)</f>
        <v>m</v>
      </c>
      <c r="H371" s="1" cm="1">
        <f t="array" ref="H371">CountChar(aoc_02_input[[#This Row],[Password]],aoc_02_input[[#This Row],[Char]])</f>
        <v>1</v>
      </c>
      <c r="I371" s="1">
        <f>IF(AND(aoc_02_input[[#This Row],[Int1]]&lt;=aoc_02_input[[#This Row],[CountOfChar]],aoc_02_input[[#This Row],[CountOfChar]]&lt;=aoc_02_input[[#This Row],[Int2]]),1,0)</f>
        <v>1</v>
      </c>
      <c r="J371" s="1" t="str">
        <f>MID(aoc_02_input[[#This Row],[Password]],aoc_02_input[[#This Row],[Int1]],1)</f>
        <v>n</v>
      </c>
      <c r="K371" s="1">
        <f>IF(aoc_02_input[[#This Row],[Pos1]]=aoc_02_input[[#This Row],[Char]],1,0)</f>
        <v>0</v>
      </c>
      <c r="L371" s="1" t="str">
        <f>MID(aoc_02_input[[#This Row],[Password]],aoc_02_input[[#This Row],[Int2]],1)</f>
        <v>g</v>
      </c>
      <c r="M371" s="1">
        <f>IF(aoc_02_input[[#This Row],[Pos2]]=aoc_02_input[[#This Row],[Char]],1,0)</f>
        <v>0</v>
      </c>
      <c r="N371" s="1">
        <f>IF(aoc_02_input[[#This Row],[Pos1Valid]]&lt;&gt;aoc_02_input[[#This Row],[Pos2Valid]],1,0)</f>
        <v>0</v>
      </c>
    </row>
    <row r="372" spans="1:14" x14ac:dyDescent="0.45">
      <c r="A372" s="1" t="s">
        <v>251</v>
      </c>
      <c r="B372" s="1" t="s">
        <v>246</v>
      </c>
      <c r="C372" s="1" t="s">
        <v>717</v>
      </c>
      <c r="D372" s="1">
        <f>FIND("-",aoc_02_input[[#This Row],[InputNumbers]])</f>
        <v>2</v>
      </c>
      <c r="E372" s="1">
        <f>_xlfn.NUMBERVALUE(LEFT(aoc_02_input[[#This Row],[InputNumbers]],aoc_02_input[[#This Row],[PosDash]]-1))</f>
        <v>5</v>
      </c>
      <c r="F372" s="1">
        <f>_xlfn.NUMBERVALUE(MID(aoc_02_input[[#This Row],[InputNumbers]],aoc_02_input[[#This Row],[PosDash]]+1,5))</f>
        <v>6</v>
      </c>
      <c r="G372" s="1" t="str">
        <f>LEFT(aoc_02_input[[#This Row],[InputChar]],1)</f>
        <v>n</v>
      </c>
      <c r="H372" s="1" cm="1">
        <f t="array" ref="H372">CountChar(aoc_02_input[[#This Row],[Password]],aoc_02_input[[#This Row],[Char]])</f>
        <v>4</v>
      </c>
      <c r="I372" s="1">
        <f>IF(AND(aoc_02_input[[#This Row],[Int1]]&lt;=aoc_02_input[[#This Row],[CountOfChar]],aoc_02_input[[#This Row],[CountOfChar]]&lt;=aoc_02_input[[#This Row],[Int2]]),1,0)</f>
        <v>0</v>
      </c>
      <c r="J372" s="1" t="str">
        <f>MID(aoc_02_input[[#This Row],[Password]],aoc_02_input[[#This Row],[Int1]],1)</f>
        <v>c</v>
      </c>
      <c r="K372" s="1">
        <f>IF(aoc_02_input[[#This Row],[Pos1]]=aoc_02_input[[#This Row],[Char]],1,0)</f>
        <v>0</v>
      </c>
      <c r="L372" s="1" t="str">
        <f>MID(aoc_02_input[[#This Row],[Password]],aoc_02_input[[#This Row],[Int2]],1)</f>
        <v>n</v>
      </c>
      <c r="M372" s="1">
        <f>IF(aoc_02_input[[#This Row],[Pos2]]=aoc_02_input[[#This Row],[Char]],1,0)</f>
        <v>1</v>
      </c>
      <c r="N372" s="1">
        <f>IF(aoc_02_input[[#This Row],[Pos1Valid]]&lt;&gt;aoc_02_input[[#This Row],[Pos2Valid]],1,0)</f>
        <v>1</v>
      </c>
    </row>
    <row r="373" spans="1:14" x14ac:dyDescent="0.45">
      <c r="A373" s="1" t="s">
        <v>635</v>
      </c>
      <c r="B373" s="1" t="s">
        <v>222</v>
      </c>
      <c r="C373" s="1" t="s">
        <v>718</v>
      </c>
      <c r="D373" s="1">
        <f>FIND("-",aoc_02_input[[#This Row],[InputNumbers]])</f>
        <v>2</v>
      </c>
      <c r="E373" s="1">
        <f>_xlfn.NUMBERVALUE(LEFT(aoc_02_input[[#This Row],[InputNumbers]],aoc_02_input[[#This Row],[PosDash]]-1))</f>
        <v>1</v>
      </c>
      <c r="F373" s="1">
        <f>_xlfn.NUMBERVALUE(MID(aoc_02_input[[#This Row],[InputNumbers]],aoc_02_input[[#This Row],[PosDash]]+1,5))</f>
        <v>7</v>
      </c>
      <c r="G373" s="1" t="str">
        <f>LEFT(aoc_02_input[[#This Row],[InputChar]],1)</f>
        <v>l</v>
      </c>
      <c r="H373" s="1" cm="1">
        <f t="array" ref="H373">CountChar(aoc_02_input[[#This Row],[Password]],aoc_02_input[[#This Row],[Char]])</f>
        <v>6</v>
      </c>
      <c r="I373" s="1">
        <f>IF(AND(aoc_02_input[[#This Row],[Int1]]&lt;=aoc_02_input[[#This Row],[CountOfChar]],aoc_02_input[[#This Row],[CountOfChar]]&lt;=aoc_02_input[[#This Row],[Int2]]),1,0)</f>
        <v>1</v>
      </c>
      <c r="J373" s="1" t="str">
        <f>MID(aoc_02_input[[#This Row],[Password]],aoc_02_input[[#This Row],[Int1]],1)</f>
        <v>l</v>
      </c>
      <c r="K373" s="1">
        <f>IF(aoc_02_input[[#This Row],[Pos1]]=aoc_02_input[[#This Row],[Char]],1,0)</f>
        <v>1</v>
      </c>
      <c r="L373" s="1" t="str">
        <f>MID(aoc_02_input[[#This Row],[Password]],aoc_02_input[[#This Row],[Int2]],1)</f>
        <v>l</v>
      </c>
      <c r="M373" s="1">
        <f>IF(aoc_02_input[[#This Row],[Pos2]]=aoc_02_input[[#This Row],[Char]],1,0)</f>
        <v>1</v>
      </c>
      <c r="N373" s="1">
        <f>IF(aoc_02_input[[#This Row],[Pos1Valid]]&lt;&gt;aoc_02_input[[#This Row],[Pos2Valid]],1,0)</f>
        <v>0</v>
      </c>
    </row>
    <row r="374" spans="1:14" x14ac:dyDescent="0.45">
      <c r="A374" s="1" t="s">
        <v>230</v>
      </c>
      <c r="B374" s="1" t="s">
        <v>222</v>
      </c>
      <c r="C374" s="1" t="s">
        <v>719</v>
      </c>
      <c r="D374" s="1">
        <f>FIND("-",aoc_02_input[[#This Row],[InputNumbers]])</f>
        <v>2</v>
      </c>
      <c r="E374" s="1">
        <f>_xlfn.NUMBERVALUE(LEFT(aoc_02_input[[#This Row],[InputNumbers]],aoc_02_input[[#This Row],[PosDash]]-1))</f>
        <v>2</v>
      </c>
      <c r="F374" s="1">
        <f>_xlfn.NUMBERVALUE(MID(aoc_02_input[[#This Row],[InputNumbers]],aoc_02_input[[#This Row],[PosDash]]+1,5))</f>
        <v>4</v>
      </c>
      <c r="G374" s="1" t="str">
        <f>LEFT(aoc_02_input[[#This Row],[InputChar]],1)</f>
        <v>l</v>
      </c>
      <c r="H374" s="1" cm="1">
        <f t="array" ref="H374">CountChar(aoc_02_input[[#This Row],[Password]],aoc_02_input[[#This Row],[Char]])</f>
        <v>1</v>
      </c>
      <c r="I374" s="1">
        <f>IF(AND(aoc_02_input[[#This Row],[Int1]]&lt;=aoc_02_input[[#This Row],[CountOfChar]],aoc_02_input[[#This Row],[CountOfChar]]&lt;=aoc_02_input[[#This Row],[Int2]]),1,0)</f>
        <v>0</v>
      </c>
      <c r="J374" s="1" t="str">
        <f>MID(aoc_02_input[[#This Row],[Password]],aoc_02_input[[#This Row],[Int1]],1)</f>
        <v>p</v>
      </c>
      <c r="K374" s="1">
        <f>IF(aoc_02_input[[#This Row],[Pos1]]=aoc_02_input[[#This Row],[Char]],1,0)</f>
        <v>0</v>
      </c>
      <c r="L374" s="1" t="str">
        <f>MID(aoc_02_input[[#This Row],[Password]],aoc_02_input[[#This Row],[Int2]],1)</f>
        <v>l</v>
      </c>
      <c r="M374" s="1">
        <f>IF(aoc_02_input[[#This Row],[Pos2]]=aoc_02_input[[#This Row],[Char]],1,0)</f>
        <v>1</v>
      </c>
      <c r="N374" s="1">
        <f>IF(aoc_02_input[[#This Row],[Pos1Valid]]&lt;&gt;aoc_02_input[[#This Row],[Pos2Valid]],1,0)</f>
        <v>1</v>
      </c>
    </row>
    <row r="375" spans="1:14" x14ac:dyDescent="0.45">
      <c r="A375" s="1" t="s">
        <v>218</v>
      </c>
      <c r="B375" s="1" t="s">
        <v>238</v>
      </c>
      <c r="C375" s="1" t="s">
        <v>720</v>
      </c>
      <c r="D375" s="1">
        <f>FIND("-",aoc_02_input[[#This Row],[InputNumbers]])</f>
        <v>2</v>
      </c>
      <c r="E375" s="1">
        <f>_xlfn.NUMBERVALUE(LEFT(aoc_02_input[[#This Row],[InputNumbers]],aoc_02_input[[#This Row],[PosDash]]-1))</f>
        <v>6</v>
      </c>
      <c r="F375" s="1">
        <f>_xlfn.NUMBERVALUE(MID(aoc_02_input[[#This Row],[InputNumbers]],aoc_02_input[[#This Row],[PosDash]]+1,5))</f>
        <v>8</v>
      </c>
      <c r="G375" s="1" t="str">
        <f>LEFT(aoc_02_input[[#This Row],[InputChar]],1)</f>
        <v>w</v>
      </c>
      <c r="H375" s="1" cm="1">
        <f t="array" ref="H375">CountChar(aoc_02_input[[#This Row],[Password]],aoc_02_input[[#This Row],[Char]])</f>
        <v>7</v>
      </c>
      <c r="I375" s="1">
        <f>IF(AND(aoc_02_input[[#This Row],[Int1]]&lt;=aoc_02_input[[#This Row],[CountOfChar]],aoc_02_input[[#This Row],[CountOfChar]]&lt;=aoc_02_input[[#This Row],[Int2]]),1,0)</f>
        <v>1</v>
      </c>
      <c r="J375" s="1" t="str">
        <f>MID(aoc_02_input[[#This Row],[Password]],aoc_02_input[[#This Row],[Int1]],1)</f>
        <v>c</v>
      </c>
      <c r="K375" s="1">
        <f>IF(aoc_02_input[[#This Row],[Pos1]]=aoc_02_input[[#This Row],[Char]],1,0)</f>
        <v>0</v>
      </c>
      <c r="L375" s="1" t="str">
        <f>MID(aoc_02_input[[#This Row],[Password]],aoc_02_input[[#This Row],[Int2]],1)</f>
        <v>w</v>
      </c>
      <c r="M375" s="1">
        <f>IF(aoc_02_input[[#This Row],[Pos2]]=aoc_02_input[[#This Row],[Char]],1,0)</f>
        <v>1</v>
      </c>
      <c r="N375" s="1">
        <f>IF(aoc_02_input[[#This Row],[Pos1Valid]]&lt;&gt;aoc_02_input[[#This Row],[Pos2Valid]],1,0)</f>
        <v>1</v>
      </c>
    </row>
    <row r="376" spans="1:14" x14ac:dyDescent="0.45">
      <c r="A376" s="1" t="s">
        <v>721</v>
      </c>
      <c r="B376" s="1" t="s">
        <v>249</v>
      </c>
      <c r="C376" s="1" t="s">
        <v>722</v>
      </c>
      <c r="D376" s="1">
        <f>FIND("-",aoc_02_input[[#This Row],[InputNumbers]])</f>
        <v>2</v>
      </c>
      <c r="E376" s="1">
        <f>_xlfn.NUMBERVALUE(LEFT(aoc_02_input[[#This Row],[InputNumbers]],aoc_02_input[[#This Row],[PosDash]]-1))</f>
        <v>8</v>
      </c>
      <c r="F376" s="1">
        <f>_xlfn.NUMBERVALUE(MID(aoc_02_input[[#This Row],[InputNumbers]],aoc_02_input[[#This Row],[PosDash]]+1,5))</f>
        <v>18</v>
      </c>
      <c r="G376" s="1" t="str">
        <f>LEFT(aoc_02_input[[#This Row],[InputChar]],1)</f>
        <v>q</v>
      </c>
      <c r="H376" s="1" cm="1">
        <f t="array" ref="H376">CountChar(aoc_02_input[[#This Row],[Password]],aoc_02_input[[#This Row],[Char]])</f>
        <v>18</v>
      </c>
      <c r="I376" s="1">
        <f>IF(AND(aoc_02_input[[#This Row],[Int1]]&lt;=aoc_02_input[[#This Row],[CountOfChar]],aoc_02_input[[#This Row],[CountOfChar]]&lt;=aoc_02_input[[#This Row],[Int2]]),1,0)</f>
        <v>1</v>
      </c>
      <c r="J376" s="1" t="str">
        <f>MID(aoc_02_input[[#This Row],[Password]],aoc_02_input[[#This Row],[Int1]],1)</f>
        <v>h</v>
      </c>
      <c r="K376" s="1">
        <f>IF(aoc_02_input[[#This Row],[Pos1]]=aoc_02_input[[#This Row],[Char]],1,0)</f>
        <v>0</v>
      </c>
      <c r="L376" s="1" t="str">
        <f>MID(aoc_02_input[[#This Row],[Password]],aoc_02_input[[#This Row],[Int2]],1)</f>
        <v>q</v>
      </c>
      <c r="M376" s="1">
        <f>IF(aoc_02_input[[#This Row],[Pos2]]=aoc_02_input[[#This Row],[Char]],1,0)</f>
        <v>1</v>
      </c>
      <c r="N376" s="1">
        <f>IF(aoc_02_input[[#This Row],[Pos1Valid]]&lt;&gt;aoc_02_input[[#This Row],[Pos2Valid]],1,0)</f>
        <v>1</v>
      </c>
    </row>
    <row r="377" spans="1:14" x14ac:dyDescent="0.45">
      <c r="A377" s="1" t="s">
        <v>365</v>
      </c>
      <c r="B377" s="1" t="s">
        <v>228</v>
      </c>
      <c r="C377" s="1" t="s">
        <v>723</v>
      </c>
      <c r="D377" s="1">
        <f>FIND("-",aoc_02_input[[#This Row],[InputNumbers]])</f>
        <v>2</v>
      </c>
      <c r="E377" s="1">
        <f>_xlfn.NUMBERVALUE(LEFT(aoc_02_input[[#This Row],[InputNumbers]],aoc_02_input[[#This Row],[PosDash]]-1))</f>
        <v>6</v>
      </c>
      <c r="F377" s="1">
        <f>_xlfn.NUMBERVALUE(MID(aoc_02_input[[#This Row],[InputNumbers]],aoc_02_input[[#This Row],[PosDash]]+1,5))</f>
        <v>9</v>
      </c>
      <c r="G377" s="1" t="str">
        <f>LEFT(aoc_02_input[[#This Row],[InputChar]],1)</f>
        <v>t</v>
      </c>
      <c r="H377" s="1" cm="1">
        <f t="array" ref="H377">CountChar(aoc_02_input[[#This Row],[Password]],aoc_02_input[[#This Row],[Char]])</f>
        <v>9</v>
      </c>
      <c r="I377" s="1">
        <f>IF(AND(aoc_02_input[[#This Row],[Int1]]&lt;=aoc_02_input[[#This Row],[CountOfChar]],aoc_02_input[[#This Row],[CountOfChar]]&lt;=aoc_02_input[[#This Row],[Int2]]),1,0)</f>
        <v>1</v>
      </c>
      <c r="J377" s="1" t="str">
        <f>MID(aoc_02_input[[#This Row],[Password]],aoc_02_input[[#This Row],[Int1]],1)</f>
        <v>t</v>
      </c>
      <c r="K377" s="1">
        <f>IF(aoc_02_input[[#This Row],[Pos1]]=aoc_02_input[[#This Row],[Char]],1,0)</f>
        <v>1</v>
      </c>
      <c r="L377" s="1" t="str">
        <f>MID(aoc_02_input[[#This Row],[Password]],aoc_02_input[[#This Row],[Int2]],1)</f>
        <v>w</v>
      </c>
      <c r="M377" s="1">
        <f>IF(aoc_02_input[[#This Row],[Pos2]]=aoc_02_input[[#This Row],[Char]],1,0)</f>
        <v>0</v>
      </c>
      <c r="N377" s="1">
        <f>IF(aoc_02_input[[#This Row],[Pos1Valid]]&lt;&gt;aoc_02_input[[#This Row],[Pos2Valid]],1,0)</f>
        <v>1</v>
      </c>
    </row>
    <row r="378" spans="1:14" x14ac:dyDescent="0.45">
      <c r="A378" s="1" t="s">
        <v>724</v>
      </c>
      <c r="B378" s="1" t="s">
        <v>252</v>
      </c>
      <c r="C378" s="1" t="s">
        <v>725</v>
      </c>
      <c r="D378" s="1">
        <f>FIND("-",aoc_02_input[[#This Row],[InputNumbers]])</f>
        <v>3</v>
      </c>
      <c r="E378" s="1">
        <f>_xlfn.NUMBERVALUE(LEFT(aoc_02_input[[#This Row],[InputNumbers]],aoc_02_input[[#This Row],[PosDash]]-1))</f>
        <v>12</v>
      </c>
      <c r="F378" s="1">
        <f>_xlfn.NUMBERVALUE(MID(aoc_02_input[[#This Row],[InputNumbers]],aoc_02_input[[#This Row],[PosDash]]+1,5))</f>
        <v>14</v>
      </c>
      <c r="G378" s="1" t="str">
        <f>LEFT(aoc_02_input[[#This Row],[InputChar]],1)</f>
        <v>p</v>
      </c>
      <c r="H378" s="1" cm="1">
        <f t="array" ref="H378">CountChar(aoc_02_input[[#This Row],[Password]],aoc_02_input[[#This Row],[Char]])</f>
        <v>11</v>
      </c>
      <c r="I378" s="1">
        <f>IF(AND(aoc_02_input[[#This Row],[Int1]]&lt;=aoc_02_input[[#This Row],[CountOfChar]],aoc_02_input[[#This Row],[CountOfChar]]&lt;=aoc_02_input[[#This Row],[Int2]]),1,0)</f>
        <v>0</v>
      </c>
      <c r="J378" s="1" t="str">
        <f>MID(aoc_02_input[[#This Row],[Password]],aoc_02_input[[#This Row],[Int1]],1)</f>
        <v>p</v>
      </c>
      <c r="K378" s="1">
        <f>IF(aoc_02_input[[#This Row],[Pos1]]=aoc_02_input[[#This Row],[Char]],1,0)</f>
        <v>1</v>
      </c>
      <c r="L378" s="1" t="str">
        <f>MID(aoc_02_input[[#This Row],[Password]],aoc_02_input[[#This Row],[Int2]],1)</f>
        <v>b</v>
      </c>
      <c r="M378" s="1">
        <f>IF(aoc_02_input[[#This Row],[Pos2]]=aoc_02_input[[#This Row],[Char]],1,0)</f>
        <v>0</v>
      </c>
      <c r="N378" s="1">
        <f>IF(aoc_02_input[[#This Row],[Pos1Valid]]&lt;&gt;aoc_02_input[[#This Row],[Pos2Valid]],1,0)</f>
        <v>1</v>
      </c>
    </row>
    <row r="379" spans="1:14" x14ac:dyDescent="0.45">
      <c r="A379" s="1" t="s">
        <v>452</v>
      </c>
      <c r="B379" s="1" t="s">
        <v>243</v>
      </c>
      <c r="C379" s="1" t="s">
        <v>726</v>
      </c>
      <c r="D379" s="1">
        <f>FIND("-",aoc_02_input[[#This Row],[InputNumbers]])</f>
        <v>3</v>
      </c>
      <c r="E379" s="1">
        <f>_xlfn.NUMBERVALUE(LEFT(aoc_02_input[[#This Row],[InputNumbers]],aoc_02_input[[#This Row],[PosDash]]-1))</f>
        <v>14</v>
      </c>
      <c r="F379" s="1">
        <f>_xlfn.NUMBERVALUE(MID(aoc_02_input[[#This Row],[InputNumbers]],aoc_02_input[[#This Row],[PosDash]]+1,5))</f>
        <v>15</v>
      </c>
      <c r="G379" s="1" t="str">
        <f>LEFT(aoc_02_input[[#This Row],[InputChar]],1)</f>
        <v>f</v>
      </c>
      <c r="H379" s="1" cm="1">
        <f t="array" ref="H379">CountChar(aoc_02_input[[#This Row],[Password]],aoc_02_input[[#This Row],[Char]])</f>
        <v>14</v>
      </c>
      <c r="I379" s="1">
        <f>IF(AND(aoc_02_input[[#This Row],[Int1]]&lt;=aoc_02_input[[#This Row],[CountOfChar]],aoc_02_input[[#This Row],[CountOfChar]]&lt;=aoc_02_input[[#This Row],[Int2]]),1,0)</f>
        <v>1</v>
      </c>
      <c r="J379" s="1" t="str">
        <f>MID(aoc_02_input[[#This Row],[Password]],aoc_02_input[[#This Row],[Int1]],1)</f>
        <v>q</v>
      </c>
      <c r="K379" s="1">
        <f>IF(aoc_02_input[[#This Row],[Pos1]]=aoc_02_input[[#This Row],[Char]],1,0)</f>
        <v>0</v>
      </c>
      <c r="L379" s="1" t="str">
        <f>MID(aoc_02_input[[#This Row],[Password]],aoc_02_input[[#This Row],[Int2]],1)</f>
        <v>f</v>
      </c>
      <c r="M379" s="1">
        <f>IF(aoc_02_input[[#This Row],[Pos2]]=aoc_02_input[[#This Row],[Char]],1,0)</f>
        <v>1</v>
      </c>
      <c r="N379" s="1">
        <f>IF(aoc_02_input[[#This Row],[Pos1Valid]]&lt;&gt;aoc_02_input[[#This Row],[Pos2Valid]],1,0)</f>
        <v>1</v>
      </c>
    </row>
    <row r="380" spans="1:14" x14ac:dyDescent="0.45">
      <c r="A380" s="1" t="s">
        <v>452</v>
      </c>
      <c r="B380" s="1" t="s">
        <v>314</v>
      </c>
      <c r="C380" s="1" t="s">
        <v>727</v>
      </c>
      <c r="D380" s="1">
        <f>FIND("-",aoc_02_input[[#This Row],[InputNumbers]])</f>
        <v>3</v>
      </c>
      <c r="E380" s="1">
        <f>_xlfn.NUMBERVALUE(LEFT(aoc_02_input[[#This Row],[InputNumbers]],aoc_02_input[[#This Row],[PosDash]]-1))</f>
        <v>14</v>
      </c>
      <c r="F380" s="1">
        <f>_xlfn.NUMBERVALUE(MID(aoc_02_input[[#This Row],[InputNumbers]],aoc_02_input[[#This Row],[PosDash]]+1,5))</f>
        <v>15</v>
      </c>
      <c r="G380" s="1" t="str">
        <f>LEFT(aoc_02_input[[#This Row],[InputChar]],1)</f>
        <v>h</v>
      </c>
      <c r="H380" s="1" cm="1">
        <f t="array" ref="H380">CountChar(aoc_02_input[[#This Row],[Password]],aoc_02_input[[#This Row],[Char]])</f>
        <v>15</v>
      </c>
      <c r="I380" s="1">
        <f>IF(AND(aoc_02_input[[#This Row],[Int1]]&lt;=aoc_02_input[[#This Row],[CountOfChar]],aoc_02_input[[#This Row],[CountOfChar]]&lt;=aoc_02_input[[#This Row],[Int2]]),1,0)</f>
        <v>1</v>
      </c>
      <c r="J380" s="1" t="str">
        <f>MID(aoc_02_input[[#This Row],[Password]],aoc_02_input[[#This Row],[Int1]],1)</f>
        <v>h</v>
      </c>
      <c r="K380" s="1">
        <f>IF(aoc_02_input[[#This Row],[Pos1]]=aoc_02_input[[#This Row],[Char]],1,0)</f>
        <v>1</v>
      </c>
      <c r="L380" s="1" t="str">
        <f>MID(aoc_02_input[[#This Row],[Password]],aoc_02_input[[#This Row],[Int2]],1)</f>
        <v>g</v>
      </c>
      <c r="M380" s="1">
        <f>IF(aoc_02_input[[#This Row],[Pos2]]=aoc_02_input[[#This Row],[Char]],1,0)</f>
        <v>0</v>
      </c>
      <c r="N380" s="1">
        <f>IF(aoc_02_input[[#This Row],[Pos1Valid]]&lt;&gt;aoc_02_input[[#This Row],[Pos2Valid]],1,0)</f>
        <v>1</v>
      </c>
    </row>
    <row r="381" spans="1:14" x14ac:dyDescent="0.45">
      <c r="A381" s="1" t="s">
        <v>337</v>
      </c>
      <c r="B381" s="1" t="s">
        <v>213</v>
      </c>
      <c r="C381" s="1" t="s">
        <v>728</v>
      </c>
      <c r="D381" s="1">
        <f>FIND("-",aoc_02_input[[#This Row],[InputNumbers]])</f>
        <v>3</v>
      </c>
      <c r="E381" s="1">
        <f>_xlfn.NUMBERVALUE(LEFT(aoc_02_input[[#This Row],[InputNumbers]],aoc_02_input[[#This Row],[PosDash]]-1))</f>
        <v>10</v>
      </c>
      <c r="F381" s="1">
        <f>_xlfn.NUMBERVALUE(MID(aoc_02_input[[#This Row],[InputNumbers]],aoc_02_input[[#This Row],[PosDash]]+1,5))</f>
        <v>13</v>
      </c>
      <c r="G381" s="1" t="str">
        <f>LEFT(aoc_02_input[[#This Row],[InputChar]],1)</f>
        <v>m</v>
      </c>
      <c r="H381" s="1" cm="1">
        <f t="array" ref="H381">CountChar(aoc_02_input[[#This Row],[Password]],aoc_02_input[[#This Row],[Char]])</f>
        <v>12</v>
      </c>
      <c r="I381" s="1">
        <f>IF(AND(aoc_02_input[[#This Row],[Int1]]&lt;=aoc_02_input[[#This Row],[CountOfChar]],aoc_02_input[[#This Row],[CountOfChar]]&lt;=aoc_02_input[[#This Row],[Int2]]),1,0)</f>
        <v>1</v>
      </c>
      <c r="J381" s="1" t="str">
        <f>MID(aoc_02_input[[#This Row],[Password]],aoc_02_input[[#This Row],[Int1]],1)</f>
        <v>v</v>
      </c>
      <c r="K381" s="1">
        <f>IF(aoc_02_input[[#This Row],[Pos1]]=aoc_02_input[[#This Row],[Char]],1,0)</f>
        <v>0</v>
      </c>
      <c r="L381" s="1" t="str">
        <f>MID(aoc_02_input[[#This Row],[Password]],aoc_02_input[[#This Row],[Int2]],1)</f>
        <v>m</v>
      </c>
      <c r="M381" s="1">
        <f>IF(aoc_02_input[[#This Row],[Pos2]]=aoc_02_input[[#This Row],[Char]],1,0)</f>
        <v>1</v>
      </c>
      <c r="N381" s="1">
        <f>IF(aoc_02_input[[#This Row],[Pos1Valid]]&lt;&gt;aoc_02_input[[#This Row],[Pos2Valid]],1,0)</f>
        <v>1</v>
      </c>
    </row>
    <row r="382" spans="1:14" x14ac:dyDescent="0.45">
      <c r="A382" s="1" t="s">
        <v>326</v>
      </c>
      <c r="B382" s="1" t="s">
        <v>207</v>
      </c>
      <c r="C382" s="1" t="s">
        <v>729</v>
      </c>
      <c r="D382" s="1">
        <f>FIND("-",aoc_02_input[[#This Row],[InputNumbers]])</f>
        <v>3</v>
      </c>
      <c r="E382" s="1">
        <f>_xlfn.NUMBERVALUE(LEFT(aoc_02_input[[#This Row],[InputNumbers]],aoc_02_input[[#This Row],[PosDash]]-1))</f>
        <v>10</v>
      </c>
      <c r="F382" s="1">
        <f>_xlfn.NUMBERVALUE(MID(aoc_02_input[[#This Row],[InputNumbers]],aoc_02_input[[#This Row],[PosDash]]+1,5))</f>
        <v>12</v>
      </c>
      <c r="G382" s="1" t="str">
        <f>LEFT(aoc_02_input[[#This Row],[InputChar]],1)</f>
        <v>b</v>
      </c>
      <c r="H382" s="1" cm="1">
        <f t="array" ref="H382">CountChar(aoc_02_input[[#This Row],[Password]],aoc_02_input[[#This Row],[Char]])</f>
        <v>10</v>
      </c>
      <c r="I382" s="1">
        <f>IF(AND(aoc_02_input[[#This Row],[Int1]]&lt;=aoc_02_input[[#This Row],[CountOfChar]],aoc_02_input[[#This Row],[CountOfChar]]&lt;=aoc_02_input[[#This Row],[Int2]]),1,0)</f>
        <v>1</v>
      </c>
      <c r="J382" s="1" t="str">
        <f>MID(aoc_02_input[[#This Row],[Password]],aoc_02_input[[#This Row],[Int1]],1)</f>
        <v>b</v>
      </c>
      <c r="K382" s="1">
        <f>IF(aoc_02_input[[#This Row],[Pos1]]=aoc_02_input[[#This Row],[Char]],1,0)</f>
        <v>1</v>
      </c>
      <c r="L382" s="1" t="str">
        <f>MID(aoc_02_input[[#This Row],[Password]],aoc_02_input[[#This Row],[Int2]],1)</f>
        <v>f</v>
      </c>
      <c r="M382" s="1">
        <f>IF(aoc_02_input[[#This Row],[Pos2]]=aoc_02_input[[#This Row],[Char]],1,0)</f>
        <v>0</v>
      </c>
      <c r="N382" s="1">
        <f>IF(aoc_02_input[[#This Row],[Pos1Valid]]&lt;&gt;aoc_02_input[[#This Row],[Pos2Valid]],1,0)</f>
        <v>1</v>
      </c>
    </row>
    <row r="383" spans="1:14" x14ac:dyDescent="0.45">
      <c r="A383" s="1" t="s">
        <v>264</v>
      </c>
      <c r="B383" s="1" t="s">
        <v>314</v>
      </c>
      <c r="C383" s="1" t="s">
        <v>730</v>
      </c>
      <c r="D383" s="1">
        <f>FIND("-",aoc_02_input[[#This Row],[InputNumbers]])</f>
        <v>2</v>
      </c>
      <c r="E383" s="1">
        <f>_xlfn.NUMBERVALUE(LEFT(aoc_02_input[[#This Row],[InputNumbers]],aoc_02_input[[#This Row],[PosDash]]-1))</f>
        <v>9</v>
      </c>
      <c r="F383" s="1">
        <f>_xlfn.NUMBERVALUE(MID(aoc_02_input[[#This Row],[InputNumbers]],aoc_02_input[[#This Row],[PosDash]]+1,5))</f>
        <v>11</v>
      </c>
      <c r="G383" s="1" t="str">
        <f>LEFT(aoc_02_input[[#This Row],[InputChar]],1)</f>
        <v>h</v>
      </c>
      <c r="H383" s="1" cm="1">
        <f t="array" ref="H383">CountChar(aoc_02_input[[#This Row],[Password]],aoc_02_input[[#This Row],[Char]])</f>
        <v>8</v>
      </c>
      <c r="I383" s="1">
        <f>IF(AND(aoc_02_input[[#This Row],[Int1]]&lt;=aoc_02_input[[#This Row],[CountOfChar]],aoc_02_input[[#This Row],[CountOfChar]]&lt;=aoc_02_input[[#This Row],[Int2]]),1,0)</f>
        <v>0</v>
      </c>
      <c r="J383" s="1" t="str">
        <f>MID(aoc_02_input[[#This Row],[Password]],aoc_02_input[[#This Row],[Int1]],1)</f>
        <v>n</v>
      </c>
      <c r="K383" s="1">
        <f>IF(aoc_02_input[[#This Row],[Pos1]]=aoc_02_input[[#This Row],[Char]],1,0)</f>
        <v>0</v>
      </c>
      <c r="L383" s="1" t="str">
        <f>MID(aoc_02_input[[#This Row],[Password]],aoc_02_input[[#This Row],[Int2]],1)</f>
        <v>r</v>
      </c>
      <c r="M383" s="1">
        <f>IF(aoc_02_input[[#This Row],[Pos2]]=aoc_02_input[[#This Row],[Char]],1,0)</f>
        <v>0</v>
      </c>
      <c r="N383" s="1">
        <f>IF(aoc_02_input[[#This Row],[Pos1Valid]]&lt;&gt;aoc_02_input[[#This Row],[Pos2Valid]],1,0)</f>
        <v>0</v>
      </c>
    </row>
    <row r="384" spans="1:14" x14ac:dyDescent="0.45">
      <c r="A384" s="1" t="s">
        <v>731</v>
      </c>
      <c r="B384" s="1" t="s">
        <v>210</v>
      </c>
      <c r="C384" s="1" t="s">
        <v>732</v>
      </c>
      <c r="D384" s="1">
        <f>FIND("-",aoc_02_input[[#This Row],[InputNumbers]])</f>
        <v>2</v>
      </c>
      <c r="E384" s="1">
        <f>_xlfn.NUMBERVALUE(LEFT(aoc_02_input[[#This Row],[InputNumbers]],aoc_02_input[[#This Row],[PosDash]]-1))</f>
        <v>4</v>
      </c>
      <c r="F384" s="1">
        <f>_xlfn.NUMBERVALUE(MID(aoc_02_input[[#This Row],[InputNumbers]],aoc_02_input[[#This Row],[PosDash]]+1,5))</f>
        <v>10</v>
      </c>
      <c r="G384" s="1" t="str">
        <f>LEFT(aoc_02_input[[#This Row],[InputChar]],1)</f>
        <v>v</v>
      </c>
      <c r="H384" s="1" cm="1">
        <f t="array" ref="H384">CountChar(aoc_02_input[[#This Row],[Password]],aoc_02_input[[#This Row],[Char]])</f>
        <v>5</v>
      </c>
      <c r="I384" s="1">
        <f>IF(AND(aoc_02_input[[#This Row],[Int1]]&lt;=aoc_02_input[[#This Row],[CountOfChar]],aoc_02_input[[#This Row],[CountOfChar]]&lt;=aoc_02_input[[#This Row],[Int2]]),1,0)</f>
        <v>1</v>
      </c>
      <c r="J384" s="1" t="str">
        <f>MID(aoc_02_input[[#This Row],[Password]],aoc_02_input[[#This Row],[Int1]],1)</f>
        <v>p</v>
      </c>
      <c r="K384" s="1">
        <f>IF(aoc_02_input[[#This Row],[Pos1]]=aoc_02_input[[#This Row],[Char]],1,0)</f>
        <v>0</v>
      </c>
      <c r="L384" s="1" t="str">
        <f>MID(aoc_02_input[[#This Row],[Password]],aoc_02_input[[#This Row],[Int2]],1)</f>
        <v>v</v>
      </c>
      <c r="M384" s="1">
        <f>IF(aoc_02_input[[#This Row],[Pos2]]=aoc_02_input[[#This Row],[Char]],1,0)</f>
        <v>1</v>
      </c>
      <c r="N384" s="1">
        <f>IF(aoc_02_input[[#This Row],[Pos1Valid]]&lt;&gt;aoc_02_input[[#This Row],[Pos2Valid]],1,0)</f>
        <v>1</v>
      </c>
    </row>
    <row r="385" spans="1:14" x14ac:dyDescent="0.45">
      <c r="A385" s="1" t="s">
        <v>417</v>
      </c>
      <c r="B385" s="1" t="s">
        <v>225</v>
      </c>
      <c r="C385" s="1" t="s">
        <v>733</v>
      </c>
      <c r="D385" s="1">
        <f>FIND("-",aoc_02_input[[#This Row],[InputNumbers]])</f>
        <v>3</v>
      </c>
      <c r="E385" s="1">
        <f>_xlfn.NUMBERVALUE(LEFT(aoc_02_input[[#This Row],[InputNumbers]],aoc_02_input[[#This Row],[PosDash]]-1))</f>
        <v>12</v>
      </c>
      <c r="F385" s="1">
        <f>_xlfn.NUMBERVALUE(MID(aoc_02_input[[#This Row],[InputNumbers]],aoc_02_input[[#This Row],[PosDash]]+1,5))</f>
        <v>13</v>
      </c>
      <c r="G385" s="1" t="str">
        <f>LEFT(aoc_02_input[[#This Row],[InputChar]],1)</f>
        <v>j</v>
      </c>
      <c r="H385" s="1" cm="1">
        <f t="array" ref="H385">CountChar(aoc_02_input[[#This Row],[Password]],aoc_02_input[[#This Row],[Char]])</f>
        <v>13</v>
      </c>
      <c r="I385" s="1">
        <f>IF(AND(aoc_02_input[[#This Row],[Int1]]&lt;=aoc_02_input[[#This Row],[CountOfChar]],aoc_02_input[[#This Row],[CountOfChar]]&lt;=aoc_02_input[[#This Row],[Int2]]),1,0)</f>
        <v>1</v>
      </c>
      <c r="J385" s="1" t="str">
        <f>MID(aoc_02_input[[#This Row],[Password]],aoc_02_input[[#This Row],[Int1]],1)</f>
        <v>j</v>
      </c>
      <c r="K385" s="1">
        <f>IF(aoc_02_input[[#This Row],[Pos1]]=aoc_02_input[[#This Row],[Char]],1,0)</f>
        <v>1</v>
      </c>
      <c r="L385" s="1" t="str">
        <f>MID(aoc_02_input[[#This Row],[Password]],aoc_02_input[[#This Row],[Int2]],1)</f>
        <v>j</v>
      </c>
      <c r="M385" s="1">
        <f>IF(aoc_02_input[[#This Row],[Pos2]]=aoc_02_input[[#This Row],[Char]],1,0)</f>
        <v>1</v>
      </c>
      <c r="N385" s="1">
        <f>IF(aoc_02_input[[#This Row],[Pos1Valid]]&lt;&gt;aoc_02_input[[#This Row],[Pos2Valid]],1,0)</f>
        <v>0</v>
      </c>
    </row>
    <row r="386" spans="1:14" x14ac:dyDescent="0.45">
      <c r="A386" s="1" t="s">
        <v>311</v>
      </c>
      <c r="B386" s="1" t="s">
        <v>249</v>
      </c>
      <c r="C386" s="1" t="s">
        <v>734</v>
      </c>
      <c r="D386" s="1">
        <f>FIND("-",aoc_02_input[[#This Row],[InputNumbers]])</f>
        <v>2</v>
      </c>
      <c r="E386" s="1">
        <f>_xlfn.NUMBERVALUE(LEFT(aoc_02_input[[#This Row],[InputNumbers]],aoc_02_input[[#This Row],[PosDash]]-1))</f>
        <v>3</v>
      </c>
      <c r="F386" s="1">
        <f>_xlfn.NUMBERVALUE(MID(aoc_02_input[[#This Row],[InputNumbers]],aoc_02_input[[#This Row],[PosDash]]+1,5))</f>
        <v>6</v>
      </c>
      <c r="G386" s="1" t="str">
        <f>LEFT(aoc_02_input[[#This Row],[InputChar]],1)</f>
        <v>q</v>
      </c>
      <c r="H386" s="1" cm="1">
        <f t="array" ref="H386">CountChar(aoc_02_input[[#This Row],[Password]],aoc_02_input[[#This Row],[Char]])</f>
        <v>5</v>
      </c>
      <c r="I386" s="1">
        <f>IF(AND(aoc_02_input[[#This Row],[Int1]]&lt;=aoc_02_input[[#This Row],[CountOfChar]],aoc_02_input[[#This Row],[CountOfChar]]&lt;=aoc_02_input[[#This Row],[Int2]]),1,0)</f>
        <v>1</v>
      </c>
      <c r="J386" s="1" t="str">
        <f>MID(aoc_02_input[[#This Row],[Password]],aoc_02_input[[#This Row],[Int1]],1)</f>
        <v>q</v>
      </c>
      <c r="K386" s="1">
        <f>IF(aoc_02_input[[#This Row],[Pos1]]=aoc_02_input[[#This Row],[Char]],1,0)</f>
        <v>1</v>
      </c>
      <c r="L386" s="1" t="str">
        <f>MID(aoc_02_input[[#This Row],[Password]],aoc_02_input[[#This Row],[Int2]],1)</f>
        <v>f</v>
      </c>
      <c r="M386" s="1">
        <f>IF(aoc_02_input[[#This Row],[Pos2]]=aoc_02_input[[#This Row],[Char]],1,0)</f>
        <v>0</v>
      </c>
      <c r="N386" s="1">
        <f>IF(aoc_02_input[[#This Row],[Pos1Valid]]&lt;&gt;aoc_02_input[[#This Row],[Pos2Valid]],1,0)</f>
        <v>1</v>
      </c>
    </row>
    <row r="387" spans="1:14" x14ac:dyDescent="0.45">
      <c r="A387" s="1" t="s">
        <v>644</v>
      </c>
      <c r="B387" s="1" t="s">
        <v>252</v>
      </c>
      <c r="C387" s="1" t="s">
        <v>735</v>
      </c>
      <c r="D387" s="1">
        <f>FIND("-",aoc_02_input[[#This Row],[InputNumbers]])</f>
        <v>3</v>
      </c>
      <c r="E387" s="1">
        <f>_xlfn.NUMBERVALUE(LEFT(aoc_02_input[[#This Row],[InputNumbers]],aoc_02_input[[#This Row],[PosDash]]-1))</f>
        <v>18</v>
      </c>
      <c r="F387" s="1">
        <f>_xlfn.NUMBERVALUE(MID(aoc_02_input[[#This Row],[InputNumbers]],aoc_02_input[[#This Row],[PosDash]]+1,5))</f>
        <v>20</v>
      </c>
      <c r="G387" s="1" t="str">
        <f>LEFT(aoc_02_input[[#This Row],[InputChar]],1)</f>
        <v>p</v>
      </c>
      <c r="H387" s="1" cm="1">
        <f t="array" ref="H387">CountChar(aoc_02_input[[#This Row],[Password]],aoc_02_input[[#This Row],[Char]])</f>
        <v>18</v>
      </c>
      <c r="I387" s="1">
        <f>IF(AND(aoc_02_input[[#This Row],[Int1]]&lt;=aoc_02_input[[#This Row],[CountOfChar]],aoc_02_input[[#This Row],[CountOfChar]]&lt;=aoc_02_input[[#This Row],[Int2]]),1,0)</f>
        <v>1</v>
      </c>
      <c r="J387" s="1" t="str">
        <f>MID(aoc_02_input[[#This Row],[Password]],aoc_02_input[[#This Row],[Int1]],1)</f>
        <v>p</v>
      </c>
      <c r="K387" s="1">
        <f>IF(aoc_02_input[[#This Row],[Pos1]]=aoc_02_input[[#This Row],[Char]],1,0)</f>
        <v>1</v>
      </c>
      <c r="L387" s="1" t="str">
        <f>MID(aoc_02_input[[#This Row],[Password]],aoc_02_input[[#This Row],[Int2]],1)</f>
        <v>x</v>
      </c>
      <c r="M387" s="1">
        <f>IF(aoc_02_input[[#This Row],[Pos2]]=aoc_02_input[[#This Row],[Char]],1,0)</f>
        <v>0</v>
      </c>
      <c r="N387" s="1">
        <f>IF(aoc_02_input[[#This Row],[Pos1Valid]]&lt;&gt;aoc_02_input[[#This Row],[Pos2Valid]],1,0)</f>
        <v>1</v>
      </c>
    </row>
    <row r="388" spans="1:14" x14ac:dyDescent="0.45">
      <c r="A388" s="1" t="s">
        <v>468</v>
      </c>
      <c r="B388" s="1" t="s">
        <v>222</v>
      </c>
      <c r="C388" s="1" t="s">
        <v>736</v>
      </c>
      <c r="D388" s="1">
        <f>FIND("-",aoc_02_input[[#This Row],[InputNumbers]])</f>
        <v>3</v>
      </c>
      <c r="E388" s="1">
        <f>_xlfn.NUMBERVALUE(LEFT(aoc_02_input[[#This Row],[InputNumbers]],aoc_02_input[[#This Row],[PosDash]]-1))</f>
        <v>14</v>
      </c>
      <c r="F388" s="1">
        <f>_xlfn.NUMBERVALUE(MID(aoc_02_input[[#This Row],[InputNumbers]],aoc_02_input[[#This Row],[PosDash]]+1,5))</f>
        <v>16</v>
      </c>
      <c r="G388" s="1" t="str">
        <f>LEFT(aoc_02_input[[#This Row],[InputChar]],1)</f>
        <v>l</v>
      </c>
      <c r="H388" s="1" cm="1">
        <f t="array" ref="H388">CountChar(aoc_02_input[[#This Row],[Password]],aoc_02_input[[#This Row],[Char]])</f>
        <v>17</v>
      </c>
      <c r="I388" s="1">
        <f>IF(AND(aoc_02_input[[#This Row],[Int1]]&lt;=aoc_02_input[[#This Row],[CountOfChar]],aoc_02_input[[#This Row],[CountOfChar]]&lt;=aoc_02_input[[#This Row],[Int2]]),1,0)</f>
        <v>0</v>
      </c>
      <c r="J388" s="1" t="str">
        <f>MID(aoc_02_input[[#This Row],[Password]],aoc_02_input[[#This Row],[Int1]],1)</f>
        <v>l</v>
      </c>
      <c r="K388" s="1">
        <f>IF(aoc_02_input[[#This Row],[Pos1]]=aoc_02_input[[#This Row],[Char]],1,0)</f>
        <v>1</v>
      </c>
      <c r="L388" s="1" t="str">
        <f>MID(aoc_02_input[[#This Row],[Password]],aoc_02_input[[#This Row],[Int2]],1)</f>
        <v>l</v>
      </c>
      <c r="M388" s="1">
        <f>IF(aoc_02_input[[#This Row],[Pos2]]=aoc_02_input[[#This Row],[Char]],1,0)</f>
        <v>1</v>
      </c>
      <c r="N388" s="1">
        <f>IF(aoc_02_input[[#This Row],[Pos1Valid]]&lt;&gt;aoc_02_input[[#This Row],[Pos2Valid]],1,0)</f>
        <v>0</v>
      </c>
    </row>
    <row r="389" spans="1:14" x14ac:dyDescent="0.45">
      <c r="A389" s="1" t="s">
        <v>737</v>
      </c>
      <c r="B389" s="1" t="s">
        <v>278</v>
      </c>
      <c r="C389" s="1" t="s">
        <v>738</v>
      </c>
      <c r="D389" s="1">
        <f>FIND("-",aoc_02_input[[#This Row],[InputNumbers]])</f>
        <v>3</v>
      </c>
      <c r="E389" s="1">
        <f>_xlfn.NUMBERVALUE(LEFT(aoc_02_input[[#This Row],[InputNumbers]],aoc_02_input[[#This Row],[PosDash]]-1))</f>
        <v>17</v>
      </c>
      <c r="F389" s="1">
        <f>_xlfn.NUMBERVALUE(MID(aoc_02_input[[#This Row],[InputNumbers]],aoc_02_input[[#This Row],[PosDash]]+1,5))</f>
        <v>20</v>
      </c>
      <c r="G389" s="1" t="str">
        <f>LEFT(aoc_02_input[[#This Row],[InputChar]],1)</f>
        <v>x</v>
      </c>
      <c r="H389" s="1" cm="1">
        <f t="array" ref="H389">CountChar(aoc_02_input[[#This Row],[Password]],aoc_02_input[[#This Row],[Char]])</f>
        <v>7</v>
      </c>
      <c r="I389" s="1">
        <f>IF(AND(aoc_02_input[[#This Row],[Int1]]&lt;=aoc_02_input[[#This Row],[CountOfChar]],aoc_02_input[[#This Row],[CountOfChar]]&lt;=aoc_02_input[[#This Row],[Int2]]),1,0)</f>
        <v>0</v>
      </c>
      <c r="J389" s="1" t="str">
        <f>MID(aoc_02_input[[#This Row],[Password]],aoc_02_input[[#This Row],[Int1]],1)</f>
        <v>x</v>
      </c>
      <c r="K389" s="1">
        <f>IF(aoc_02_input[[#This Row],[Pos1]]=aoc_02_input[[#This Row],[Char]],1,0)</f>
        <v>1</v>
      </c>
      <c r="L389" s="1" t="str">
        <f>MID(aoc_02_input[[#This Row],[Password]],aoc_02_input[[#This Row],[Int2]],1)</f>
        <v>t</v>
      </c>
      <c r="M389" s="1">
        <f>IF(aoc_02_input[[#This Row],[Pos2]]=aoc_02_input[[#This Row],[Char]],1,0)</f>
        <v>0</v>
      </c>
      <c r="N389" s="1">
        <f>IF(aoc_02_input[[#This Row],[Pos1Valid]]&lt;&gt;aoc_02_input[[#This Row],[Pos2Valid]],1,0)</f>
        <v>1</v>
      </c>
    </row>
    <row r="390" spans="1:14" x14ac:dyDescent="0.45">
      <c r="A390" s="1" t="s">
        <v>221</v>
      </c>
      <c r="B390" s="1" t="s">
        <v>207</v>
      </c>
      <c r="C390" s="1" t="s">
        <v>739</v>
      </c>
      <c r="D390" s="1">
        <f>FIND("-",aoc_02_input[[#This Row],[InputNumbers]])</f>
        <v>2</v>
      </c>
      <c r="E390" s="1">
        <f>_xlfn.NUMBERVALUE(LEFT(aoc_02_input[[#This Row],[InputNumbers]],aoc_02_input[[#This Row],[PosDash]]-1))</f>
        <v>2</v>
      </c>
      <c r="F390" s="1">
        <f>_xlfn.NUMBERVALUE(MID(aoc_02_input[[#This Row],[InputNumbers]],aoc_02_input[[#This Row],[PosDash]]+1,5))</f>
        <v>3</v>
      </c>
      <c r="G390" s="1" t="str">
        <f>LEFT(aoc_02_input[[#This Row],[InputChar]],1)</f>
        <v>b</v>
      </c>
      <c r="H390" s="1" cm="1">
        <f t="array" ref="H390">CountChar(aoc_02_input[[#This Row],[Password]],aoc_02_input[[#This Row],[Char]])</f>
        <v>3</v>
      </c>
      <c r="I390" s="1">
        <f>IF(AND(aoc_02_input[[#This Row],[Int1]]&lt;=aoc_02_input[[#This Row],[CountOfChar]],aoc_02_input[[#This Row],[CountOfChar]]&lt;=aoc_02_input[[#This Row],[Int2]]),1,0)</f>
        <v>1</v>
      </c>
      <c r="J390" s="1" t="str">
        <f>MID(aoc_02_input[[#This Row],[Password]],aoc_02_input[[#This Row],[Int1]],1)</f>
        <v>j</v>
      </c>
      <c r="K390" s="1">
        <f>IF(aoc_02_input[[#This Row],[Pos1]]=aoc_02_input[[#This Row],[Char]],1,0)</f>
        <v>0</v>
      </c>
      <c r="L390" s="1" t="str">
        <f>MID(aoc_02_input[[#This Row],[Password]],aoc_02_input[[#This Row],[Int2]],1)</f>
        <v>b</v>
      </c>
      <c r="M390" s="1">
        <f>IF(aoc_02_input[[#This Row],[Pos2]]=aoc_02_input[[#This Row],[Char]],1,0)</f>
        <v>1</v>
      </c>
      <c r="N390" s="1">
        <f>IF(aoc_02_input[[#This Row],[Pos1Valid]]&lt;&gt;aoc_02_input[[#This Row],[Pos2Valid]],1,0)</f>
        <v>1</v>
      </c>
    </row>
    <row r="391" spans="1:14" x14ac:dyDescent="0.45">
      <c r="A391" s="1" t="s">
        <v>468</v>
      </c>
      <c r="B391" s="1" t="s">
        <v>314</v>
      </c>
      <c r="C391" s="1" t="s">
        <v>740</v>
      </c>
      <c r="D391" s="1">
        <f>FIND("-",aoc_02_input[[#This Row],[InputNumbers]])</f>
        <v>3</v>
      </c>
      <c r="E391" s="1">
        <f>_xlfn.NUMBERVALUE(LEFT(aoc_02_input[[#This Row],[InputNumbers]],aoc_02_input[[#This Row],[PosDash]]-1))</f>
        <v>14</v>
      </c>
      <c r="F391" s="1">
        <f>_xlfn.NUMBERVALUE(MID(aoc_02_input[[#This Row],[InputNumbers]],aoc_02_input[[#This Row],[PosDash]]+1,5))</f>
        <v>16</v>
      </c>
      <c r="G391" s="1" t="str">
        <f>LEFT(aoc_02_input[[#This Row],[InputChar]],1)</f>
        <v>h</v>
      </c>
      <c r="H391" s="1" cm="1">
        <f t="array" ref="H391">CountChar(aoc_02_input[[#This Row],[Password]],aoc_02_input[[#This Row],[Char]])</f>
        <v>13</v>
      </c>
      <c r="I391" s="1">
        <f>IF(AND(aoc_02_input[[#This Row],[Int1]]&lt;=aoc_02_input[[#This Row],[CountOfChar]],aoc_02_input[[#This Row],[CountOfChar]]&lt;=aoc_02_input[[#This Row],[Int2]]),1,0)</f>
        <v>0</v>
      </c>
      <c r="J391" s="1" t="str">
        <f>MID(aoc_02_input[[#This Row],[Password]],aoc_02_input[[#This Row],[Int1]],1)</f>
        <v>c</v>
      </c>
      <c r="K391" s="1">
        <f>IF(aoc_02_input[[#This Row],[Pos1]]=aoc_02_input[[#This Row],[Char]],1,0)</f>
        <v>0</v>
      </c>
      <c r="L391" s="1" t="str">
        <f>MID(aoc_02_input[[#This Row],[Password]],aoc_02_input[[#This Row],[Int2]],1)</f>
        <v>t</v>
      </c>
      <c r="M391" s="1">
        <f>IF(aoc_02_input[[#This Row],[Pos2]]=aoc_02_input[[#This Row],[Char]],1,0)</f>
        <v>0</v>
      </c>
      <c r="N391" s="1">
        <f>IF(aoc_02_input[[#This Row],[Pos1Valid]]&lt;&gt;aoc_02_input[[#This Row],[Pos2Valid]],1,0)</f>
        <v>0</v>
      </c>
    </row>
    <row r="392" spans="1:14" x14ac:dyDescent="0.45">
      <c r="A392" s="1" t="s">
        <v>352</v>
      </c>
      <c r="B392" s="1" t="s">
        <v>213</v>
      </c>
      <c r="C392" s="1" t="s">
        <v>741</v>
      </c>
      <c r="D392" s="1">
        <f>FIND("-",aoc_02_input[[#This Row],[InputNumbers]])</f>
        <v>3</v>
      </c>
      <c r="E392" s="1">
        <f>_xlfn.NUMBERVALUE(LEFT(aoc_02_input[[#This Row],[InputNumbers]],aoc_02_input[[#This Row],[PosDash]]-1))</f>
        <v>15</v>
      </c>
      <c r="F392" s="1">
        <f>_xlfn.NUMBERVALUE(MID(aoc_02_input[[#This Row],[InputNumbers]],aoc_02_input[[#This Row],[PosDash]]+1,5))</f>
        <v>16</v>
      </c>
      <c r="G392" s="1" t="str">
        <f>LEFT(aoc_02_input[[#This Row],[InputChar]],1)</f>
        <v>m</v>
      </c>
      <c r="H392" s="1" cm="1">
        <f t="array" ref="H392">CountChar(aoc_02_input[[#This Row],[Password]],aoc_02_input[[#This Row],[Char]])</f>
        <v>14</v>
      </c>
      <c r="I392" s="1">
        <f>IF(AND(aoc_02_input[[#This Row],[Int1]]&lt;=aoc_02_input[[#This Row],[CountOfChar]],aoc_02_input[[#This Row],[CountOfChar]]&lt;=aoc_02_input[[#This Row],[Int2]]),1,0)</f>
        <v>0</v>
      </c>
      <c r="J392" s="1" t="str">
        <f>MID(aoc_02_input[[#This Row],[Password]],aoc_02_input[[#This Row],[Int1]],1)</f>
        <v>n</v>
      </c>
      <c r="K392" s="1">
        <f>IF(aoc_02_input[[#This Row],[Pos1]]=aoc_02_input[[#This Row],[Char]],1,0)</f>
        <v>0</v>
      </c>
      <c r="L392" s="1" t="str">
        <f>MID(aoc_02_input[[#This Row],[Password]],aoc_02_input[[#This Row],[Int2]],1)</f>
        <v>p</v>
      </c>
      <c r="M392" s="1">
        <f>IF(aoc_02_input[[#This Row],[Pos2]]=aoc_02_input[[#This Row],[Char]],1,0)</f>
        <v>0</v>
      </c>
      <c r="N392" s="1">
        <f>IF(aoc_02_input[[#This Row],[Pos1Valid]]&lt;&gt;aoc_02_input[[#This Row],[Pos2Valid]],1,0)</f>
        <v>0</v>
      </c>
    </row>
    <row r="393" spans="1:14" x14ac:dyDescent="0.45">
      <c r="A393" s="1" t="s">
        <v>424</v>
      </c>
      <c r="B393" s="1" t="s">
        <v>265</v>
      </c>
      <c r="C393" s="1" t="s">
        <v>742</v>
      </c>
      <c r="D393" s="1">
        <f>FIND("-",aoc_02_input[[#This Row],[InputNumbers]])</f>
        <v>2</v>
      </c>
      <c r="E393" s="1">
        <f>_xlfn.NUMBERVALUE(LEFT(aoc_02_input[[#This Row],[InputNumbers]],aoc_02_input[[#This Row],[PosDash]]-1))</f>
        <v>3</v>
      </c>
      <c r="F393" s="1">
        <f>_xlfn.NUMBERVALUE(MID(aoc_02_input[[#This Row],[InputNumbers]],aoc_02_input[[#This Row],[PosDash]]+1,5))</f>
        <v>9</v>
      </c>
      <c r="G393" s="1" t="str">
        <f>LEFT(aoc_02_input[[#This Row],[InputChar]],1)</f>
        <v>r</v>
      </c>
      <c r="H393" s="1" cm="1">
        <f t="array" ref="H393">CountChar(aoc_02_input[[#This Row],[Password]],aoc_02_input[[#This Row],[Char]])</f>
        <v>6</v>
      </c>
      <c r="I393" s="1">
        <f>IF(AND(aoc_02_input[[#This Row],[Int1]]&lt;=aoc_02_input[[#This Row],[CountOfChar]],aoc_02_input[[#This Row],[CountOfChar]]&lt;=aoc_02_input[[#This Row],[Int2]]),1,0)</f>
        <v>1</v>
      </c>
      <c r="J393" s="1" t="str">
        <f>MID(aoc_02_input[[#This Row],[Password]],aoc_02_input[[#This Row],[Int1]],1)</f>
        <v>v</v>
      </c>
      <c r="K393" s="1">
        <f>IF(aoc_02_input[[#This Row],[Pos1]]=aoc_02_input[[#This Row],[Char]],1,0)</f>
        <v>0</v>
      </c>
      <c r="L393" s="1" t="str">
        <f>MID(aoc_02_input[[#This Row],[Password]],aoc_02_input[[#This Row],[Int2]],1)</f>
        <v>z</v>
      </c>
      <c r="M393" s="1">
        <f>IF(aoc_02_input[[#This Row],[Pos2]]=aoc_02_input[[#This Row],[Char]],1,0)</f>
        <v>0</v>
      </c>
      <c r="N393" s="1">
        <f>IF(aoc_02_input[[#This Row],[Pos1Valid]]&lt;&gt;aoc_02_input[[#This Row],[Pos2Valid]],1,0)</f>
        <v>0</v>
      </c>
    </row>
    <row r="394" spans="1:14" x14ac:dyDescent="0.45">
      <c r="A394" s="1" t="s">
        <v>330</v>
      </c>
      <c r="B394" s="1" t="s">
        <v>235</v>
      </c>
      <c r="C394" s="1" t="s">
        <v>743</v>
      </c>
      <c r="D394" s="1">
        <f>FIND("-",aoc_02_input[[#This Row],[InputNumbers]])</f>
        <v>3</v>
      </c>
      <c r="E394" s="1">
        <f>_xlfn.NUMBERVALUE(LEFT(aoc_02_input[[#This Row],[InputNumbers]],aoc_02_input[[#This Row],[PosDash]]-1))</f>
        <v>13</v>
      </c>
      <c r="F394" s="1">
        <f>_xlfn.NUMBERVALUE(MID(aoc_02_input[[#This Row],[InputNumbers]],aoc_02_input[[#This Row],[PosDash]]+1,5))</f>
        <v>14</v>
      </c>
      <c r="G394" s="1" t="str">
        <f>LEFT(aoc_02_input[[#This Row],[InputChar]],1)</f>
        <v>d</v>
      </c>
      <c r="H394" s="1" cm="1">
        <f t="array" ref="H394">CountChar(aoc_02_input[[#This Row],[Password]],aoc_02_input[[#This Row],[Char]])</f>
        <v>14</v>
      </c>
      <c r="I394" s="1">
        <f>IF(AND(aoc_02_input[[#This Row],[Int1]]&lt;=aoc_02_input[[#This Row],[CountOfChar]],aoc_02_input[[#This Row],[CountOfChar]]&lt;=aoc_02_input[[#This Row],[Int2]]),1,0)</f>
        <v>1</v>
      </c>
      <c r="J394" s="1" t="str">
        <f>MID(aoc_02_input[[#This Row],[Password]],aoc_02_input[[#This Row],[Int1]],1)</f>
        <v>d</v>
      </c>
      <c r="K394" s="1">
        <f>IF(aoc_02_input[[#This Row],[Pos1]]=aoc_02_input[[#This Row],[Char]],1,0)</f>
        <v>1</v>
      </c>
      <c r="L394" s="1" t="str">
        <f>MID(aoc_02_input[[#This Row],[Password]],aoc_02_input[[#This Row],[Int2]],1)</f>
        <v>d</v>
      </c>
      <c r="M394" s="1">
        <f>IF(aoc_02_input[[#This Row],[Pos2]]=aoc_02_input[[#This Row],[Char]],1,0)</f>
        <v>1</v>
      </c>
      <c r="N394" s="1">
        <f>IF(aoc_02_input[[#This Row],[Pos1Valid]]&lt;&gt;aoc_02_input[[#This Row],[Pos2Valid]],1,0)</f>
        <v>0</v>
      </c>
    </row>
    <row r="395" spans="1:14" x14ac:dyDescent="0.45">
      <c r="A395" s="1" t="s">
        <v>322</v>
      </c>
      <c r="B395" s="1" t="s">
        <v>249</v>
      </c>
      <c r="C395" s="1" t="s">
        <v>744</v>
      </c>
      <c r="D395" s="1">
        <f>FIND("-",aoc_02_input[[#This Row],[InputNumbers]])</f>
        <v>2</v>
      </c>
      <c r="E395" s="1">
        <f>_xlfn.NUMBERVALUE(LEFT(aoc_02_input[[#This Row],[InputNumbers]],aoc_02_input[[#This Row],[PosDash]]-1))</f>
        <v>5</v>
      </c>
      <c r="F395" s="1">
        <f>_xlfn.NUMBERVALUE(MID(aoc_02_input[[#This Row],[InputNumbers]],aoc_02_input[[#This Row],[PosDash]]+1,5))</f>
        <v>13</v>
      </c>
      <c r="G395" s="1" t="str">
        <f>LEFT(aoc_02_input[[#This Row],[InputChar]],1)</f>
        <v>q</v>
      </c>
      <c r="H395" s="1" cm="1">
        <f t="array" ref="H395">CountChar(aoc_02_input[[#This Row],[Password]],aoc_02_input[[#This Row],[Char]])</f>
        <v>2</v>
      </c>
      <c r="I395" s="1">
        <f>IF(AND(aoc_02_input[[#This Row],[Int1]]&lt;=aoc_02_input[[#This Row],[CountOfChar]],aoc_02_input[[#This Row],[CountOfChar]]&lt;=aoc_02_input[[#This Row],[Int2]]),1,0)</f>
        <v>0</v>
      </c>
      <c r="J395" s="1" t="str">
        <f>MID(aoc_02_input[[#This Row],[Password]],aoc_02_input[[#This Row],[Int1]],1)</f>
        <v>g</v>
      </c>
      <c r="K395" s="1">
        <f>IF(aoc_02_input[[#This Row],[Pos1]]=aoc_02_input[[#This Row],[Char]],1,0)</f>
        <v>0</v>
      </c>
      <c r="L395" s="1" t="str">
        <f>MID(aoc_02_input[[#This Row],[Password]],aoc_02_input[[#This Row],[Int2]],1)</f>
        <v>n</v>
      </c>
      <c r="M395" s="1">
        <f>IF(aoc_02_input[[#This Row],[Pos2]]=aoc_02_input[[#This Row],[Char]],1,0)</f>
        <v>0</v>
      </c>
      <c r="N395" s="1">
        <f>IF(aoc_02_input[[#This Row],[Pos1Valid]]&lt;&gt;aoc_02_input[[#This Row],[Pos2Valid]],1,0)</f>
        <v>0</v>
      </c>
    </row>
    <row r="396" spans="1:14" x14ac:dyDescent="0.45">
      <c r="A396" s="1" t="s">
        <v>271</v>
      </c>
      <c r="B396" s="1" t="s">
        <v>219</v>
      </c>
      <c r="C396" s="1" t="s">
        <v>745</v>
      </c>
      <c r="D396" s="1">
        <f>FIND("-",aoc_02_input[[#This Row],[InputNumbers]])</f>
        <v>2</v>
      </c>
      <c r="E396" s="1">
        <f>_xlfn.NUMBERVALUE(LEFT(aoc_02_input[[#This Row],[InputNumbers]],aoc_02_input[[#This Row],[PosDash]]-1))</f>
        <v>9</v>
      </c>
      <c r="F396" s="1">
        <f>_xlfn.NUMBERVALUE(MID(aoc_02_input[[#This Row],[InputNumbers]],aoc_02_input[[#This Row],[PosDash]]+1,5))</f>
        <v>10</v>
      </c>
      <c r="G396" s="1" t="str">
        <f>LEFT(aoc_02_input[[#This Row],[InputChar]],1)</f>
        <v>g</v>
      </c>
      <c r="H396" s="1" cm="1">
        <f t="array" ref="H396">CountChar(aoc_02_input[[#This Row],[Password]],aoc_02_input[[#This Row],[Char]])</f>
        <v>4</v>
      </c>
      <c r="I396" s="1">
        <f>IF(AND(aoc_02_input[[#This Row],[Int1]]&lt;=aoc_02_input[[#This Row],[CountOfChar]],aoc_02_input[[#This Row],[CountOfChar]]&lt;=aoc_02_input[[#This Row],[Int2]]),1,0)</f>
        <v>0</v>
      </c>
      <c r="J396" s="1" t="str">
        <f>MID(aoc_02_input[[#This Row],[Password]],aoc_02_input[[#This Row],[Int1]],1)</f>
        <v>n</v>
      </c>
      <c r="K396" s="1">
        <f>IF(aoc_02_input[[#This Row],[Pos1]]=aoc_02_input[[#This Row],[Char]],1,0)</f>
        <v>0</v>
      </c>
      <c r="L396" s="1" t="str">
        <f>MID(aoc_02_input[[#This Row],[Password]],aoc_02_input[[#This Row],[Int2]],1)</f>
        <v>g</v>
      </c>
      <c r="M396" s="1">
        <f>IF(aoc_02_input[[#This Row],[Pos2]]=aoc_02_input[[#This Row],[Char]],1,0)</f>
        <v>1</v>
      </c>
      <c r="N396" s="1">
        <f>IF(aoc_02_input[[#This Row],[Pos1Valid]]&lt;&gt;aoc_02_input[[#This Row],[Pos2Valid]],1,0)</f>
        <v>1</v>
      </c>
    </row>
    <row r="397" spans="1:14" x14ac:dyDescent="0.45">
      <c r="A397" s="1" t="s">
        <v>256</v>
      </c>
      <c r="B397" s="1" t="s">
        <v>216</v>
      </c>
      <c r="C397" s="1" t="s">
        <v>746</v>
      </c>
      <c r="D397" s="1">
        <f>FIND("-",aoc_02_input[[#This Row],[InputNumbers]])</f>
        <v>2</v>
      </c>
      <c r="E397" s="1">
        <f>_xlfn.NUMBERVALUE(LEFT(aoc_02_input[[#This Row],[InputNumbers]],aoc_02_input[[#This Row],[PosDash]]-1))</f>
        <v>5</v>
      </c>
      <c r="F397" s="1">
        <f>_xlfn.NUMBERVALUE(MID(aoc_02_input[[#This Row],[InputNumbers]],aoc_02_input[[#This Row],[PosDash]]+1,5))</f>
        <v>7</v>
      </c>
      <c r="G397" s="1" t="str">
        <f>LEFT(aoc_02_input[[#This Row],[InputChar]],1)</f>
        <v>z</v>
      </c>
      <c r="H397" s="1" cm="1">
        <f t="array" ref="H397">CountChar(aoc_02_input[[#This Row],[Password]],aoc_02_input[[#This Row],[Char]])</f>
        <v>1</v>
      </c>
      <c r="I397" s="1">
        <f>IF(AND(aoc_02_input[[#This Row],[Int1]]&lt;=aoc_02_input[[#This Row],[CountOfChar]],aoc_02_input[[#This Row],[CountOfChar]]&lt;=aoc_02_input[[#This Row],[Int2]]),1,0)</f>
        <v>0</v>
      </c>
      <c r="J397" s="1" t="str">
        <f>MID(aoc_02_input[[#This Row],[Password]],aoc_02_input[[#This Row],[Int1]],1)</f>
        <v>l</v>
      </c>
      <c r="K397" s="1">
        <f>IF(aoc_02_input[[#This Row],[Pos1]]=aoc_02_input[[#This Row],[Char]],1,0)</f>
        <v>0</v>
      </c>
      <c r="L397" s="1" t="str">
        <f>MID(aoc_02_input[[#This Row],[Password]],aoc_02_input[[#This Row],[Int2]],1)</f>
        <v>t</v>
      </c>
      <c r="M397" s="1">
        <f>IF(aoc_02_input[[#This Row],[Pos2]]=aoc_02_input[[#This Row],[Char]],1,0)</f>
        <v>0</v>
      </c>
      <c r="N397" s="1">
        <f>IF(aoc_02_input[[#This Row],[Pos1Valid]]&lt;&gt;aoc_02_input[[#This Row],[Pos2Valid]],1,0)</f>
        <v>0</v>
      </c>
    </row>
    <row r="398" spans="1:14" x14ac:dyDescent="0.45">
      <c r="A398" s="1" t="s">
        <v>747</v>
      </c>
      <c r="B398" s="1" t="s">
        <v>222</v>
      </c>
      <c r="C398" s="1" t="s">
        <v>748</v>
      </c>
      <c r="D398" s="1">
        <f>FIND("-",aoc_02_input[[#This Row],[InputNumbers]])</f>
        <v>2</v>
      </c>
      <c r="E398" s="1">
        <f>_xlfn.NUMBERVALUE(LEFT(aoc_02_input[[#This Row],[InputNumbers]],aoc_02_input[[#This Row],[PosDash]]-1))</f>
        <v>5</v>
      </c>
      <c r="F398" s="1">
        <f>_xlfn.NUMBERVALUE(MID(aoc_02_input[[#This Row],[InputNumbers]],aoc_02_input[[#This Row],[PosDash]]+1,5))</f>
        <v>11</v>
      </c>
      <c r="G398" s="1" t="str">
        <f>LEFT(aoc_02_input[[#This Row],[InputChar]],1)</f>
        <v>l</v>
      </c>
      <c r="H398" s="1" cm="1">
        <f t="array" ref="H398">CountChar(aoc_02_input[[#This Row],[Password]],aoc_02_input[[#This Row],[Char]])</f>
        <v>4</v>
      </c>
      <c r="I398" s="1">
        <f>IF(AND(aoc_02_input[[#This Row],[Int1]]&lt;=aoc_02_input[[#This Row],[CountOfChar]],aoc_02_input[[#This Row],[CountOfChar]]&lt;=aoc_02_input[[#This Row],[Int2]]),1,0)</f>
        <v>0</v>
      </c>
      <c r="J398" s="1" t="str">
        <f>MID(aoc_02_input[[#This Row],[Password]],aoc_02_input[[#This Row],[Int1]],1)</f>
        <v>l</v>
      </c>
      <c r="K398" s="1">
        <f>IF(aoc_02_input[[#This Row],[Pos1]]=aoc_02_input[[#This Row],[Char]],1,0)</f>
        <v>1</v>
      </c>
      <c r="L398" s="1" t="str">
        <f>MID(aoc_02_input[[#This Row],[Password]],aoc_02_input[[#This Row],[Int2]],1)</f>
        <v>l</v>
      </c>
      <c r="M398" s="1">
        <f>IF(aoc_02_input[[#This Row],[Pos2]]=aoc_02_input[[#This Row],[Char]],1,0)</f>
        <v>1</v>
      </c>
      <c r="N398" s="1">
        <f>IF(aoc_02_input[[#This Row],[Pos1Valid]]&lt;&gt;aoc_02_input[[#This Row],[Pos2Valid]],1,0)</f>
        <v>0</v>
      </c>
    </row>
    <row r="399" spans="1:14" x14ac:dyDescent="0.45">
      <c r="A399" s="1" t="s">
        <v>218</v>
      </c>
      <c r="B399" s="1" t="s">
        <v>246</v>
      </c>
      <c r="C399" s="1" t="s">
        <v>749</v>
      </c>
      <c r="D399" s="1">
        <f>FIND("-",aoc_02_input[[#This Row],[InputNumbers]])</f>
        <v>2</v>
      </c>
      <c r="E399" s="1">
        <f>_xlfn.NUMBERVALUE(LEFT(aoc_02_input[[#This Row],[InputNumbers]],aoc_02_input[[#This Row],[PosDash]]-1))</f>
        <v>6</v>
      </c>
      <c r="F399" s="1">
        <f>_xlfn.NUMBERVALUE(MID(aoc_02_input[[#This Row],[InputNumbers]],aoc_02_input[[#This Row],[PosDash]]+1,5))</f>
        <v>8</v>
      </c>
      <c r="G399" s="1" t="str">
        <f>LEFT(aoc_02_input[[#This Row],[InputChar]],1)</f>
        <v>n</v>
      </c>
      <c r="H399" s="1" cm="1">
        <f t="array" ref="H399">CountChar(aoc_02_input[[#This Row],[Password]],aoc_02_input[[#This Row],[Char]])</f>
        <v>5</v>
      </c>
      <c r="I399" s="1">
        <f>IF(AND(aoc_02_input[[#This Row],[Int1]]&lt;=aoc_02_input[[#This Row],[CountOfChar]],aoc_02_input[[#This Row],[CountOfChar]]&lt;=aoc_02_input[[#This Row],[Int2]]),1,0)</f>
        <v>0</v>
      </c>
      <c r="J399" s="1" t="str">
        <f>MID(aoc_02_input[[#This Row],[Password]],aoc_02_input[[#This Row],[Int1]],1)</f>
        <v>f</v>
      </c>
      <c r="K399" s="1">
        <f>IF(aoc_02_input[[#This Row],[Pos1]]=aoc_02_input[[#This Row],[Char]],1,0)</f>
        <v>0</v>
      </c>
      <c r="L399" s="1" t="str">
        <f>MID(aoc_02_input[[#This Row],[Password]],aoc_02_input[[#This Row],[Int2]],1)</f>
        <v>d</v>
      </c>
      <c r="M399" s="1">
        <f>IF(aoc_02_input[[#This Row],[Pos2]]=aoc_02_input[[#This Row],[Char]],1,0)</f>
        <v>0</v>
      </c>
      <c r="N399" s="1">
        <f>IF(aoc_02_input[[#This Row],[Pos1Valid]]&lt;&gt;aoc_02_input[[#This Row],[Pos2Valid]],1,0)</f>
        <v>0</v>
      </c>
    </row>
    <row r="400" spans="1:14" x14ac:dyDescent="0.45">
      <c r="A400" s="1" t="s">
        <v>747</v>
      </c>
      <c r="B400" s="1" t="s">
        <v>278</v>
      </c>
      <c r="C400" s="1" t="s">
        <v>750</v>
      </c>
      <c r="D400" s="1">
        <f>FIND("-",aoc_02_input[[#This Row],[InputNumbers]])</f>
        <v>2</v>
      </c>
      <c r="E400" s="1">
        <f>_xlfn.NUMBERVALUE(LEFT(aoc_02_input[[#This Row],[InputNumbers]],aoc_02_input[[#This Row],[PosDash]]-1))</f>
        <v>5</v>
      </c>
      <c r="F400" s="1">
        <f>_xlfn.NUMBERVALUE(MID(aoc_02_input[[#This Row],[InputNumbers]],aoc_02_input[[#This Row],[PosDash]]+1,5))</f>
        <v>11</v>
      </c>
      <c r="G400" s="1" t="str">
        <f>LEFT(aoc_02_input[[#This Row],[InputChar]],1)</f>
        <v>x</v>
      </c>
      <c r="H400" s="1" cm="1">
        <f t="array" ref="H400">CountChar(aoc_02_input[[#This Row],[Password]],aoc_02_input[[#This Row],[Char]])</f>
        <v>8</v>
      </c>
      <c r="I400" s="1">
        <f>IF(AND(aoc_02_input[[#This Row],[Int1]]&lt;=aoc_02_input[[#This Row],[CountOfChar]],aoc_02_input[[#This Row],[CountOfChar]]&lt;=aoc_02_input[[#This Row],[Int2]]),1,0)</f>
        <v>1</v>
      </c>
      <c r="J400" s="1" t="str">
        <f>MID(aoc_02_input[[#This Row],[Password]],aoc_02_input[[#This Row],[Int1]],1)</f>
        <v>x</v>
      </c>
      <c r="K400" s="1">
        <f>IF(aoc_02_input[[#This Row],[Pos1]]=aoc_02_input[[#This Row],[Char]],1,0)</f>
        <v>1</v>
      </c>
      <c r="L400" s="1" t="str">
        <f>MID(aoc_02_input[[#This Row],[Password]],aoc_02_input[[#This Row],[Int2]],1)</f>
        <v>x</v>
      </c>
      <c r="M400" s="1">
        <f>IF(aoc_02_input[[#This Row],[Pos2]]=aoc_02_input[[#This Row],[Char]],1,0)</f>
        <v>1</v>
      </c>
      <c r="N400" s="1">
        <f>IF(aoc_02_input[[#This Row],[Pos1Valid]]&lt;&gt;aoc_02_input[[#This Row],[Pos2Valid]],1,0)</f>
        <v>0</v>
      </c>
    </row>
    <row r="401" spans="1:14" x14ac:dyDescent="0.45">
      <c r="A401" s="1" t="s">
        <v>230</v>
      </c>
      <c r="B401" s="1" t="s">
        <v>213</v>
      </c>
      <c r="C401" s="1" t="s">
        <v>751</v>
      </c>
      <c r="D401" s="1">
        <f>FIND("-",aoc_02_input[[#This Row],[InputNumbers]])</f>
        <v>2</v>
      </c>
      <c r="E401" s="1">
        <f>_xlfn.NUMBERVALUE(LEFT(aoc_02_input[[#This Row],[InputNumbers]],aoc_02_input[[#This Row],[PosDash]]-1))</f>
        <v>2</v>
      </c>
      <c r="F401" s="1">
        <f>_xlfn.NUMBERVALUE(MID(aoc_02_input[[#This Row],[InputNumbers]],aoc_02_input[[#This Row],[PosDash]]+1,5))</f>
        <v>4</v>
      </c>
      <c r="G401" s="1" t="str">
        <f>LEFT(aoc_02_input[[#This Row],[InputChar]],1)</f>
        <v>m</v>
      </c>
      <c r="H401" s="1" cm="1">
        <f t="array" ref="H401">CountChar(aoc_02_input[[#This Row],[Password]],aoc_02_input[[#This Row],[Char]])</f>
        <v>3</v>
      </c>
      <c r="I401" s="1">
        <f>IF(AND(aoc_02_input[[#This Row],[Int1]]&lt;=aoc_02_input[[#This Row],[CountOfChar]],aoc_02_input[[#This Row],[CountOfChar]]&lt;=aoc_02_input[[#This Row],[Int2]]),1,0)</f>
        <v>1</v>
      </c>
      <c r="J401" s="1" t="str">
        <f>MID(aoc_02_input[[#This Row],[Password]],aoc_02_input[[#This Row],[Int1]],1)</f>
        <v>m</v>
      </c>
      <c r="K401" s="1">
        <f>IF(aoc_02_input[[#This Row],[Pos1]]=aoc_02_input[[#This Row],[Char]],1,0)</f>
        <v>1</v>
      </c>
      <c r="L401" s="1" t="str">
        <f>MID(aoc_02_input[[#This Row],[Password]],aoc_02_input[[#This Row],[Int2]],1)</f>
        <v>m</v>
      </c>
      <c r="M401" s="1">
        <f>IF(aoc_02_input[[#This Row],[Pos2]]=aoc_02_input[[#This Row],[Char]],1,0)</f>
        <v>1</v>
      </c>
      <c r="N401" s="1">
        <f>IF(aoc_02_input[[#This Row],[Pos1Valid]]&lt;&gt;aoc_02_input[[#This Row],[Pos2Valid]],1,0)</f>
        <v>0</v>
      </c>
    </row>
    <row r="402" spans="1:14" x14ac:dyDescent="0.45">
      <c r="A402" s="1" t="s">
        <v>333</v>
      </c>
      <c r="B402" s="1" t="s">
        <v>265</v>
      </c>
      <c r="C402" s="1" t="s">
        <v>752</v>
      </c>
      <c r="D402" s="1">
        <f>FIND("-",aoc_02_input[[#This Row],[InputNumbers]])</f>
        <v>2</v>
      </c>
      <c r="E402" s="1">
        <f>_xlfn.NUMBERVALUE(LEFT(aoc_02_input[[#This Row],[InputNumbers]],aoc_02_input[[#This Row],[PosDash]]-1))</f>
        <v>1</v>
      </c>
      <c r="F402" s="1">
        <f>_xlfn.NUMBERVALUE(MID(aoc_02_input[[#This Row],[InputNumbers]],aoc_02_input[[#This Row],[PosDash]]+1,5))</f>
        <v>8</v>
      </c>
      <c r="G402" s="1" t="str">
        <f>LEFT(aoc_02_input[[#This Row],[InputChar]],1)</f>
        <v>r</v>
      </c>
      <c r="H402" s="1" cm="1">
        <f t="array" ref="H402">CountChar(aoc_02_input[[#This Row],[Password]],aoc_02_input[[#This Row],[Char]])</f>
        <v>7</v>
      </c>
      <c r="I402" s="1">
        <f>IF(AND(aoc_02_input[[#This Row],[Int1]]&lt;=aoc_02_input[[#This Row],[CountOfChar]],aoc_02_input[[#This Row],[CountOfChar]]&lt;=aoc_02_input[[#This Row],[Int2]]),1,0)</f>
        <v>1</v>
      </c>
      <c r="J402" s="1" t="str">
        <f>MID(aoc_02_input[[#This Row],[Password]],aoc_02_input[[#This Row],[Int1]],1)</f>
        <v>r</v>
      </c>
      <c r="K402" s="1">
        <f>IF(aoc_02_input[[#This Row],[Pos1]]=aoc_02_input[[#This Row],[Char]],1,0)</f>
        <v>1</v>
      </c>
      <c r="L402" s="1" t="str">
        <f>MID(aoc_02_input[[#This Row],[Password]],aoc_02_input[[#This Row],[Int2]],1)</f>
        <v>r</v>
      </c>
      <c r="M402" s="1">
        <f>IF(aoc_02_input[[#This Row],[Pos2]]=aoc_02_input[[#This Row],[Char]],1,0)</f>
        <v>1</v>
      </c>
      <c r="N402" s="1">
        <f>IF(aoc_02_input[[#This Row],[Pos1Valid]]&lt;&gt;aoc_02_input[[#This Row],[Pos2Valid]],1,0)</f>
        <v>0</v>
      </c>
    </row>
    <row r="403" spans="1:14" x14ac:dyDescent="0.45">
      <c r="A403" s="1" t="s">
        <v>230</v>
      </c>
      <c r="B403" s="1" t="s">
        <v>305</v>
      </c>
      <c r="C403" s="1" t="s">
        <v>753</v>
      </c>
      <c r="D403" s="1">
        <f>FIND("-",aoc_02_input[[#This Row],[InputNumbers]])</f>
        <v>2</v>
      </c>
      <c r="E403" s="1">
        <f>_xlfn.NUMBERVALUE(LEFT(aoc_02_input[[#This Row],[InputNumbers]],aoc_02_input[[#This Row],[PosDash]]-1))</f>
        <v>2</v>
      </c>
      <c r="F403" s="1">
        <f>_xlfn.NUMBERVALUE(MID(aoc_02_input[[#This Row],[InputNumbers]],aoc_02_input[[#This Row],[PosDash]]+1,5))</f>
        <v>4</v>
      </c>
      <c r="G403" s="1" t="str">
        <f>LEFT(aoc_02_input[[#This Row],[InputChar]],1)</f>
        <v>s</v>
      </c>
      <c r="H403" s="1" cm="1">
        <f t="array" ref="H403">CountChar(aoc_02_input[[#This Row],[Password]],aoc_02_input[[#This Row],[Char]])</f>
        <v>3</v>
      </c>
      <c r="I403" s="1">
        <f>IF(AND(aoc_02_input[[#This Row],[Int1]]&lt;=aoc_02_input[[#This Row],[CountOfChar]],aoc_02_input[[#This Row],[CountOfChar]]&lt;=aoc_02_input[[#This Row],[Int2]]),1,0)</f>
        <v>1</v>
      </c>
      <c r="J403" s="1" t="str">
        <f>MID(aoc_02_input[[#This Row],[Password]],aoc_02_input[[#This Row],[Int1]],1)</f>
        <v>s</v>
      </c>
      <c r="K403" s="1">
        <f>IF(aoc_02_input[[#This Row],[Pos1]]=aoc_02_input[[#This Row],[Char]],1,0)</f>
        <v>1</v>
      </c>
      <c r="L403" s="1" t="str">
        <f>MID(aoc_02_input[[#This Row],[Password]],aoc_02_input[[#This Row],[Int2]],1)</f>
        <v>s</v>
      </c>
      <c r="M403" s="1">
        <f>IF(aoc_02_input[[#This Row],[Pos2]]=aoc_02_input[[#This Row],[Char]],1,0)</f>
        <v>1</v>
      </c>
      <c r="N403" s="1">
        <f>IF(aoc_02_input[[#This Row],[Pos1Valid]]&lt;&gt;aoc_02_input[[#This Row],[Pos2Valid]],1,0)</f>
        <v>0</v>
      </c>
    </row>
    <row r="404" spans="1:14" x14ac:dyDescent="0.45">
      <c r="A404" s="1" t="s">
        <v>271</v>
      </c>
      <c r="B404" s="1" t="s">
        <v>235</v>
      </c>
      <c r="C404" s="1" t="s">
        <v>754</v>
      </c>
      <c r="D404" s="1">
        <f>FIND("-",aoc_02_input[[#This Row],[InputNumbers]])</f>
        <v>2</v>
      </c>
      <c r="E404" s="1">
        <f>_xlfn.NUMBERVALUE(LEFT(aoc_02_input[[#This Row],[InputNumbers]],aoc_02_input[[#This Row],[PosDash]]-1))</f>
        <v>9</v>
      </c>
      <c r="F404" s="1">
        <f>_xlfn.NUMBERVALUE(MID(aoc_02_input[[#This Row],[InputNumbers]],aoc_02_input[[#This Row],[PosDash]]+1,5))</f>
        <v>10</v>
      </c>
      <c r="G404" s="1" t="str">
        <f>LEFT(aoc_02_input[[#This Row],[InputChar]],1)</f>
        <v>d</v>
      </c>
      <c r="H404" s="1" cm="1">
        <f t="array" ref="H404">CountChar(aoc_02_input[[#This Row],[Password]],aoc_02_input[[#This Row],[Char]])</f>
        <v>9</v>
      </c>
      <c r="I404" s="1">
        <f>IF(AND(aoc_02_input[[#This Row],[Int1]]&lt;=aoc_02_input[[#This Row],[CountOfChar]],aoc_02_input[[#This Row],[CountOfChar]]&lt;=aoc_02_input[[#This Row],[Int2]]),1,0)</f>
        <v>1</v>
      </c>
      <c r="J404" s="1" t="str">
        <f>MID(aoc_02_input[[#This Row],[Password]],aoc_02_input[[#This Row],[Int1]],1)</f>
        <v>d</v>
      </c>
      <c r="K404" s="1">
        <f>IF(aoc_02_input[[#This Row],[Pos1]]=aoc_02_input[[#This Row],[Char]],1,0)</f>
        <v>1</v>
      </c>
      <c r="L404" s="1" t="str">
        <f>MID(aoc_02_input[[#This Row],[Password]],aoc_02_input[[#This Row],[Int2]],1)</f>
        <v>d</v>
      </c>
      <c r="M404" s="1">
        <f>IF(aoc_02_input[[#This Row],[Pos2]]=aoc_02_input[[#This Row],[Char]],1,0)</f>
        <v>1</v>
      </c>
      <c r="N404" s="1">
        <f>IF(aoc_02_input[[#This Row],[Pos1Valid]]&lt;&gt;aoc_02_input[[#This Row],[Pos2Valid]],1,0)</f>
        <v>0</v>
      </c>
    </row>
    <row r="405" spans="1:14" x14ac:dyDescent="0.45">
      <c r="A405" s="1" t="s">
        <v>755</v>
      </c>
      <c r="B405" s="1" t="s">
        <v>249</v>
      </c>
      <c r="C405" s="1" t="s">
        <v>756</v>
      </c>
      <c r="D405" s="1">
        <f>FIND("-",aoc_02_input[[#This Row],[InputNumbers]])</f>
        <v>2</v>
      </c>
      <c r="E405" s="1">
        <f>_xlfn.NUMBERVALUE(LEFT(aoc_02_input[[#This Row],[InputNumbers]],aoc_02_input[[#This Row],[PosDash]]-1))</f>
        <v>3</v>
      </c>
      <c r="F405" s="1">
        <f>_xlfn.NUMBERVALUE(MID(aoc_02_input[[#This Row],[InputNumbers]],aoc_02_input[[#This Row],[PosDash]]+1,5))</f>
        <v>10</v>
      </c>
      <c r="G405" s="1" t="str">
        <f>LEFT(aoc_02_input[[#This Row],[InputChar]],1)</f>
        <v>q</v>
      </c>
      <c r="H405" s="1" cm="1">
        <f t="array" ref="H405">CountChar(aoc_02_input[[#This Row],[Password]],aoc_02_input[[#This Row],[Char]])</f>
        <v>9</v>
      </c>
      <c r="I405" s="1">
        <f>IF(AND(aoc_02_input[[#This Row],[Int1]]&lt;=aoc_02_input[[#This Row],[CountOfChar]],aoc_02_input[[#This Row],[CountOfChar]]&lt;=aoc_02_input[[#This Row],[Int2]]),1,0)</f>
        <v>1</v>
      </c>
      <c r="J405" s="1" t="str">
        <f>MID(aoc_02_input[[#This Row],[Password]],aoc_02_input[[#This Row],[Int1]],1)</f>
        <v>q</v>
      </c>
      <c r="K405" s="1">
        <f>IF(aoc_02_input[[#This Row],[Pos1]]=aoc_02_input[[#This Row],[Char]],1,0)</f>
        <v>1</v>
      </c>
      <c r="L405" s="1" t="str">
        <f>MID(aoc_02_input[[#This Row],[Password]],aoc_02_input[[#This Row],[Int2]],1)</f>
        <v>q</v>
      </c>
      <c r="M405" s="1">
        <f>IF(aoc_02_input[[#This Row],[Pos2]]=aoc_02_input[[#This Row],[Char]],1,0)</f>
        <v>1</v>
      </c>
      <c r="N405" s="1">
        <f>IF(aoc_02_input[[#This Row],[Pos1Valid]]&lt;&gt;aoc_02_input[[#This Row],[Pos2Valid]],1,0)</f>
        <v>0</v>
      </c>
    </row>
    <row r="406" spans="1:14" x14ac:dyDescent="0.45">
      <c r="A406" s="1" t="s">
        <v>251</v>
      </c>
      <c r="B406" s="1" t="s">
        <v>295</v>
      </c>
      <c r="C406" s="1" t="s">
        <v>757</v>
      </c>
      <c r="D406" s="1">
        <f>FIND("-",aoc_02_input[[#This Row],[InputNumbers]])</f>
        <v>2</v>
      </c>
      <c r="E406" s="1">
        <f>_xlfn.NUMBERVALUE(LEFT(aoc_02_input[[#This Row],[InputNumbers]],aoc_02_input[[#This Row],[PosDash]]-1))</f>
        <v>5</v>
      </c>
      <c r="F406" s="1">
        <f>_xlfn.NUMBERVALUE(MID(aoc_02_input[[#This Row],[InputNumbers]],aoc_02_input[[#This Row],[PosDash]]+1,5))</f>
        <v>6</v>
      </c>
      <c r="G406" s="1" t="str">
        <f>LEFT(aoc_02_input[[#This Row],[InputChar]],1)</f>
        <v>c</v>
      </c>
      <c r="H406" s="1" cm="1">
        <f t="array" ref="H406">CountChar(aoc_02_input[[#This Row],[Password]],aoc_02_input[[#This Row],[Char]])</f>
        <v>8</v>
      </c>
      <c r="I406" s="1">
        <f>IF(AND(aoc_02_input[[#This Row],[Int1]]&lt;=aoc_02_input[[#This Row],[CountOfChar]],aoc_02_input[[#This Row],[CountOfChar]]&lt;=aoc_02_input[[#This Row],[Int2]]),1,0)</f>
        <v>0</v>
      </c>
      <c r="J406" s="1" t="str">
        <f>MID(aoc_02_input[[#This Row],[Password]],aoc_02_input[[#This Row],[Int1]],1)</f>
        <v>s</v>
      </c>
      <c r="K406" s="1">
        <f>IF(aoc_02_input[[#This Row],[Pos1]]=aoc_02_input[[#This Row],[Char]],1,0)</f>
        <v>0</v>
      </c>
      <c r="L406" s="1" t="str">
        <f>MID(aoc_02_input[[#This Row],[Password]],aoc_02_input[[#This Row],[Int2]],1)</f>
        <v>h</v>
      </c>
      <c r="M406" s="1">
        <f>IF(aoc_02_input[[#This Row],[Pos2]]=aoc_02_input[[#This Row],[Char]],1,0)</f>
        <v>0</v>
      </c>
      <c r="N406" s="1">
        <f>IF(aoc_02_input[[#This Row],[Pos1Valid]]&lt;&gt;aoc_02_input[[#This Row],[Pos2Valid]],1,0)</f>
        <v>0</v>
      </c>
    </row>
    <row r="407" spans="1:14" x14ac:dyDescent="0.45">
      <c r="A407" s="1" t="s">
        <v>631</v>
      </c>
      <c r="B407" s="1" t="s">
        <v>238</v>
      </c>
      <c r="C407" s="1" t="s">
        <v>758</v>
      </c>
      <c r="D407" s="1">
        <f>FIND("-",aoc_02_input[[#This Row],[InputNumbers]])</f>
        <v>2</v>
      </c>
      <c r="E407" s="1">
        <f>_xlfn.NUMBERVALUE(LEFT(aoc_02_input[[#This Row],[InputNumbers]],aoc_02_input[[#This Row],[PosDash]]-1))</f>
        <v>6</v>
      </c>
      <c r="F407" s="1">
        <f>_xlfn.NUMBERVALUE(MID(aoc_02_input[[#This Row],[InputNumbers]],aoc_02_input[[#This Row],[PosDash]]+1,5))</f>
        <v>15</v>
      </c>
      <c r="G407" s="1" t="str">
        <f>LEFT(aoc_02_input[[#This Row],[InputChar]],1)</f>
        <v>w</v>
      </c>
      <c r="H407" s="1" cm="1">
        <f t="array" ref="H407">CountChar(aoc_02_input[[#This Row],[Password]],aoc_02_input[[#This Row],[Char]])</f>
        <v>12</v>
      </c>
      <c r="I407" s="1">
        <f>IF(AND(aoc_02_input[[#This Row],[Int1]]&lt;=aoc_02_input[[#This Row],[CountOfChar]],aoc_02_input[[#This Row],[CountOfChar]]&lt;=aoc_02_input[[#This Row],[Int2]]),1,0)</f>
        <v>1</v>
      </c>
      <c r="J407" s="1" t="str">
        <f>MID(aoc_02_input[[#This Row],[Password]],aoc_02_input[[#This Row],[Int1]],1)</f>
        <v>w</v>
      </c>
      <c r="K407" s="1">
        <f>IF(aoc_02_input[[#This Row],[Pos1]]=aoc_02_input[[#This Row],[Char]],1,0)</f>
        <v>1</v>
      </c>
      <c r="L407" s="1" t="str">
        <f>MID(aoc_02_input[[#This Row],[Password]],aoc_02_input[[#This Row],[Int2]],1)</f>
        <v>w</v>
      </c>
      <c r="M407" s="1">
        <f>IF(aoc_02_input[[#This Row],[Pos2]]=aoc_02_input[[#This Row],[Char]],1,0)</f>
        <v>1</v>
      </c>
      <c r="N407" s="1">
        <f>IF(aoc_02_input[[#This Row],[Pos1Valid]]&lt;&gt;aoc_02_input[[#This Row],[Pos2Valid]],1,0)</f>
        <v>0</v>
      </c>
    </row>
    <row r="408" spans="1:14" x14ac:dyDescent="0.45">
      <c r="A408" s="1" t="s">
        <v>458</v>
      </c>
      <c r="B408" s="1" t="s">
        <v>225</v>
      </c>
      <c r="C408" s="1" t="s">
        <v>759</v>
      </c>
      <c r="D408" s="1">
        <f>FIND("-",aoc_02_input[[#This Row],[InputNumbers]])</f>
        <v>2</v>
      </c>
      <c r="E408" s="1">
        <f>_xlfn.NUMBERVALUE(LEFT(aoc_02_input[[#This Row],[InputNumbers]],aoc_02_input[[#This Row],[PosDash]]-1))</f>
        <v>9</v>
      </c>
      <c r="F408" s="1">
        <f>_xlfn.NUMBERVALUE(MID(aoc_02_input[[#This Row],[InputNumbers]],aoc_02_input[[#This Row],[PosDash]]+1,5))</f>
        <v>12</v>
      </c>
      <c r="G408" s="1" t="str">
        <f>LEFT(aoc_02_input[[#This Row],[InputChar]],1)</f>
        <v>j</v>
      </c>
      <c r="H408" s="1" cm="1">
        <f t="array" ref="H408">CountChar(aoc_02_input[[#This Row],[Password]],aoc_02_input[[#This Row],[Char]])</f>
        <v>13</v>
      </c>
      <c r="I408" s="1">
        <f>IF(AND(aoc_02_input[[#This Row],[Int1]]&lt;=aoc_02_input[[#This Row],[CountOfChar]],aoc_02_input[[#This Row],[CountOfChar]]&lt;=aoc_02_input[[#This Row],[Int2]]),1,0)</f>
        <v>0</v>
      </c>
      <c r="J408" s="1" t="str">
        <f>MID(aoc_02_input[[#This Row],[Password]],aoc_02_input[[#This Row],[Int1]],1)</f>
        <v>j</v>
      </c>
      <c r="K408" s="1">
        <f>IF(aoc_02_input[[#This Row],[Pos1]]=aoc_02_input[[#This Row],[Char]],1,0)</f>
        <v>1</v>
      </c>
      <c r="L408" s="1" t="str">
        <f>MID(aoc_02_input[[#This Row],[Password]],aoc_02_input[[#This Row],[Int2]],1)</f>
        <v>j</v>
      </c>
      <c r="M408" s="1">
        <f>IF(aoc_02_input[[#This Row],[Pos2]]=aoc_02_input[[#This Row],[Char]],1,0)</f>
        <v>1</v>
      </c>
      <c r="N408" s="1">
        <f>IF(aoc_02_input[[#This Row],[Pos1Valid]]&lt;&gt;aoc_02_input[[#This Row],[Pos2Valid]],1,0)</f>
        <v>0</v>
      </c>
    </row>
    <row r="409" spans="1:14" x14ac:dyDescent="0.45">
      <c r="A409" s="1" t="s">
        <v>262</v>
      </c>
      <c r="B409" s="1" t="s">
        <v>246</v>
      </c>
      <c r="C409" s="1" t="s">
        <v>760</v>
      </c>
      <c r="D409" s="1">
        <f>FIND("-",aoc_02_input[[#This Row],[InputNumbers]])</f>
        <v>2</v>
      </c>
      <c r="E409" s="1">
        <f>_xlfn.NUMBERVALUE(LEFT(aoc_02_input[[#This Row],[InputNumbers]],aoc_02_input[[#This Row],[PosDash]]-1))</f>
        <v>8</v>
      </c>
      <c r="F409" s="1">
        <f>_xlfn.NUMBERVALUE(MID(aoc_02_input[[#This Row],[InputNumbers]],aoc_02_input[[#This Row],[PosDash]]+1,5))</f>
        <v>16</v>
      </c>
      <c r="G409" s="1" t="str">
        <f>LEFT(aoc_02_input[[#This Row],[InputChar]],1)</f>
        <v>n</v>
      </c>
      <c r="H409" s="1" cm="1">
        <f t="array" ref="H409">CountChar(aoc_02_input[[#This Row],[Password]],aoc_02_input[[#This Row],[Char]])</f>
        <v>7</v>
      </c>
      <c r="I409" s="1">
        <f>IF(AND(aoc_02_input[[#This Row],[Int1]]&lt;=aoc_02_input[[#This Row],[CountOfChar]],aoc_02_input[[#This Row],[CountOfChar]]&lt;=aoc_02_input[[#This Row],[Int2]]),1,0)</f>
        <v>0</v>
      </c>
      <c r="J409" s="1" t="str">
        <f>MID(aoc_02_input[[#This Row],[Password]],aoc_02_input[[#This Row],[Int1]],1)</f>
        <v>g</v>
      </c>
      <c r="K409" s="1">
        <f>IF(aoc_02_input[[#This Row],[Pos1]]=aoc_02_input[[#This Row],[Char]],1,0)</f>
        <v>0</v>
      </c>
      <c r="L409" s="1" t="str">
        <f>MID(aoc_02_input[[#This Row],[Password]],aoc_02_input[[#This Row],[Int2]],1)</f>
        <v>n</v>
      </c>
      <c r="M409" s="1">
        <f>IF(aoc_02_input[[#This Row],[Pos2]]=aoc_02_input[[#This Row],[Char]],1,0)</f>
        <v>1</v>
      </c>
      <c r="N409" s="1">
        <f>IF(aoc_02_input[[#This Row],[Pos1Valid]]&lt;&gt;aoc_02_input[[#This Row],[Pos2Valid]],1,0)</f>
        <v>1</v>
      </c>
    </row>
    <row r="410" spans="1:14" x14ac:dyDescent="0.45">
      <c r="A410" s="1" t="s">
        <v>452</v>
      </c>
      <c r="B410" s="1" t="s">
        <v>216</v>
      </c>
      <c r="C410" s="1" t="s">
        <v>761</v>
      </c>
      <c r="D410" s="1">
        <f>FIND("-",aoc_02_input[[#This Row],[InputNumbers]])</f>
        <v>3</v>
      </c>
      <c r="E410" s="1">
        <f>_xlfn.NUMBERVALUE(LEFT(aoc_02_input[[#This Row],[InputNumbers]],aoc_02_input[[#This Row],[PosDash]]-1))</f>
        <v>14</v>
      </c>
      <c r="F410" s="1">
        <f>_xlfn.NUMBERVALUE(MID(aoc_02_input[[#This Row],[InputNumbers]],aoc_02_input[[#This Row],[PosDash]]+1,5))</f>
        <v>15</v>
      </c>
      <c r="G410" s="1" t="str">
        <f>LEFT(aoc_02_input[[#This Row],[InputChar]],1)</f>
        <v>z</v>
      </c>
      <c r="H410" s="1" cm="1">
        <f t="array" ref="H410">CountChar(aoc_02_input[[#This Row],[Password]],aoc_02_input[[#This Row],[Char]])</f>
        <v>12</v>
      </c>
      <c r="I410" s="1">
        <f>IF(AND(aoc_02_input[[#This Row],[Int1]]&lt;=aoc_02_input[[#This Row],[CountOfChar]],aoc_02_input[[#This Row],[CountOfChar]]&lt;=aoc_02_input[[#This Row],[Int2]]),1,0)</f>
        <v>0</v>
      </c>
      <c r="J410" s="1" t="str">
        <f>MID(aoc_02_input[[#This Row],[Password]],aoc_02_input[[#This Row],[Int1]],1)</f>
        <v>s</v>
      </c>
      <c r="K410" s="1">
        <f>IF(aoc_02_input[[#This Row],[Pos1]]=aoc_02_input[[#This Row],[Char]],1,0)</f>
        <v>0</v>
      </c>
      <c r="L410" s="1" t="str">
        <f>MID(aoc_02_input[[#This Row],[Password]],aoc_02_input[[#This Row],[Int2]],1)</f>
        <v>j</v>
      </c>
      <c r="M410" s="1">
        <f>IF(aoc_02_input[[#This Row],[Pos2]]=aoc_02_input[[#This Row],[Char]],1,0)</f>
        <v>0</v>
      </c>
      <c r="N410" s="1">
        <f>IF(aoc_02_input[[#This Row],[Pos1Valid]]&lt;&gt;aoc_02_input[[#This Row],[Pos2Valid]],1,0)</f>
        <v>0</v>
      </c>
    </row>
    <row r="411" spans="1:14" x14ac:dyDescent="0.45">
      <c r="A411" s="1" t="s">
        <v>462</v>
      </c>
      <c r="B411" s="1" t="s">
        <v>314</v>
      </c>
      <c r="C411" s="1" t="s">
        <v>762</v>
      </c>
      <c r="D411" s="1">
        <f>FIND("-",aoc_02_input[[#This Row],[InputNumbers]])</f>
        <v>2</v>
      </c>
      <c r="E411" s="1">
        <f>_xlfn.NUMBERVALUE(LEFT(aoc_02_input[[#This Row],[InputNumbers]],aoc_02_input[[#This Row],[PosDash]]-1))</f>
        <v>4</v>
      </c>
      <c r="F411" s="1">
        <f>_xlfn.NUMBERVALUE(MID(aoc_02_input[[#This Row],[InputNumbers]],aoc_02_input[[#This Row],[PosDash]]+1,5))</f>
        <v>8</v>
      </c>
      <c r="G411" s="1" t="str">
        <f>LEFT(aoc_02_input[[#This Row],[InputChar]],1)</f>
        <v>h</v>
      </c>
      <c r="H411" s="1" cm="1">
        <f t="array" ref="H411">CountChar(aoc_02_input[[#This Row],[Password]],aoc_02_input[[#This Row],[Char]])</f>
        <v>4</v>
      </c>
      <c r="I411" s="1">
        <f>IF(AND(aoc_02_input[[#This Row],[Int1]]&lt;=aoc_02_input[[#This Row],[CountOfChar]],aoc_02_input[[#This Row],[CountOfChar]]&lt;=aoc_02_input[[#This Row],[Int2]]),1,0)</f>
        <v>1</v>
      </c>
      <c r="J411" s="1" t="str">
        <f>MID(aoc_02_input[[#This Row],[Password]],aoc_02_input[[#This Row],[Int1]],1)</f>
        <v>q</v>
      </c>
      <c r="K411" s="1">
        <f>IF(aoc_02_input[[#This Row],[Pos1]]=aoc_02_input[[#This Row],[Char]],1,0)</f>
        <v>0</v>
      </c>
      <c r="L411" s="1" t="str">
        <f>MID(aoc_02_input[[#This Row],[Password]],aoc_02_input[[#This Row],[Int2]],1)</f>
        <v>q</v>
      </c>
      <c r="M411" s="1">
        <f>IF(aoc_02_input[[#This Row],[Pos2]]=aoc_02_input[[#This Row],[Char]],1,0)</f>
        <v>0</v>
      </c>
      <c r="N411" s="1">
        <f>IF(aoc_02_input[[#This Row],[Pos1Valid]]&lt;&gt;aoc_02_input[[#This Row],[Pos2Valid]],1,0)</f>
        <v>0</v>
      </c>
    </row>
    <row r="412" spans="1:14" x14ac:dyDescent="0.45">
      <c r="A412" s="1" t="s">
        <v>724</v>
      </c>
      <c r="B412" s="1" t="s">
        <v>249</v>
      </c>
      <c r="C412" s="1" t="s">
        <v>763</v>
      </c>
      <c r="D412" s="1">
        <f>FIND("-",aoc_02_input[[#This Row],[InputNumbers]])</f>
        <v>3</v>
      </c>
      <c r="E412" s="1">
        <f>_xlfn.NUMBERVALUE(LEFT(aoc_02_input[[#This Row],[InputNumbers]],aoc_02_input[[#This Row],[PosDash]]-1))</f>
        <v>12</v>
      </c>
      <c r="F412" s="1">
        <f>_xlfn.NUMBERVALUE(MID(aoc_02_input[[#This Row],[InputNumbers]],aoc_02_input[[#This Row],[PosDash]]+1,5))</f>
        <v>14</v>
      </c>
      <c r="G412" s="1" t="str">
        <f>LEFT(aoc_02_input[[#This Row],[InputChar]],1)</f>
        <v>q</v>
      </c>
      <c r="H412" s="1" cm="1">
        <f t="array" ref="H412">CountChar(aoc_02_input[[#This Row],[Password]],aoc_02_input[[#This Row],[Char]])</f>
        <v>12</v>
      </c>
      <c r="I412" s="1">
        <f>IF(AND(aoc_02_input[[#This Row],[Int1]]&lt;=aoc_02_input[[#This Row],[CountOfChar]],aoc_02_input[[#This Row],[CountOfChar]]&lt;=aoc_02_input[[#This Row],[Int2]]),1,0)</f>
        <v>1</v>
      </c>
      <c r="J412" s="1" t="str">
        <f>MID(aoc_02_input[[#This Row],[Password]],aoc_02_input[[#This Row],[Int1]],1)</f>
        <v>s</v>
      </c>
      <c r="K412" s="1">
        <f>IF(aoc_02_input[[#This Row],[Pos1]]=aoc_02_input[[#This Row],[Char]],1,0)</f>
        <v>0</v>
      </c>
      <c r="L412" s="1" t="str">
        <f>MID(aoc_02_input[[#This Row],[Password]],aoc_02_input[[#This Row],[Int2]],1)</f>
        <v>p</v>
      </c>
      <c r="M412" s="1">
        <f>IF(aoc_02_input[[#This Row],[Pos2]]=aoc_02_input[[#This Row],[Char]],1,0)</f>
        <v>0</v>
      </c>
      <c r="N412" s="1">
        <f>IF(aoc_02_input[[#This Row],[Pos1Valid]]&lt;&gt;aoc_02_input[[#This Row],[Pos2Valid]],1,0)</f>
        <v>0</v>
      </c>
    </row>
    <row r="413" spans="1:14" x14ac:dyDescent="0.45">
      <c r="A413" s="1" t="s">
        <v>232</v>
      </c>
      <c r="B413" s="1" t="s">
        <v>222</v>
      </c>
      <c r="C413" s="1" t="s">
        <v>764</v>
      </c>
      <c r="D413" s="1">
        <f>FIND("-",aoc_02_input[[#This Row],[InputNumbers]])</f>
        <v>2</v>
      </c>
      <c r="E413" s="1">
        <f>_xlfn.NUMBERVALUE(LEFT(aoc_02_input[[#This Row],[InputNumbers]],aoc_02_input[[#This Row],[PosDash]]-1))</f>
        <v>4</v>
      </c>
      <c r="F413" s="1">
        <f>_xlfn.NUMBERVALUE(MID(aoc_02_input[[#This Row],[InputNumbers]],aoc_02_input[[#This Row],[PosDash]]+1,5))</f>
        <v>6</v>
      </c>
      <c r="G413" s="1" t="str">
        <f>LEFT(aoc_02_input[[#This Row],[InputChar]],1)</f>
        <v>l</v>
      </c>
      <c r="H413" s="1" cm="1">
        <f t="array" ref="H413">CountChar(aoc_02_input[[#This Row],[Password]],aoc_02_input[[#This Row],[Char]])</f>
        <v>0</v>
      </c>
      <c r="I413" s="1">
        <f>IF(AND(aoc_02_input[[#This Row],[Int1]]&lt;=aoc_02_input[[#This Row],[CountOfChar]],aoc_02_input[[#This Row],[CountOfChar]]&lt;=aoc_02_input[[#This Row],[Int2]]),1,0)</f>
        <v>0</v>
      </c>
      <c r="J413" s="1" t="str">
        <f>MID(aoc_02_input[[#This Row],[Password]],aoc_02_input[[#This Row],[Int1]],1)</f>
        <v>r</v>
      </c>
      <c r="K413" s="1">
        <f>IF(aoc_02_input[[#This Row],[Pos1]]=aoc_02_input[[#This Row],[Char]],1,0)</f>
        <v>0</v>
      </c>
      <c r="L413" s="1" t="str">
        <f>MID(aoc_02_input[[#This Row],[Password]],aoc_02_input[[#This Row],[Int2]],1)</f>
        <v>j</v>
      </c>
      <c r="M413" s="1">
        <f>IF(aoc_02_input[[#This Row],[Pos2]]=aoc_02_input[[#This Row],[Char]],1,0)</f>
        <v>0</v>
      </c>
      <c r="N413" s="1">
        <f>IF(aoc_02_input[[#This Row],[Pos1Valid]]&lt;&gt;aoc_02_input[[#This Row],[Pos2Valid]],1,0)</f>
        <v>0</v>
      </c>
    </row>
    <row r="414" spans="1:14" x14ac:dyDescent="0.45">
      <c r="A414" s="1" t="s">
        <v>227</v>
      </c>
      <c r="B414" s="1" t="s">
        <v>314</v>
      </c>
      <c r="C414" s="1" t="s">
        <v>765</v>
      </c>
      <c r="D414" s="1">
        <f>FIND("-",aoc_02_input[[#This Row],[InputNumbers]])</f>
        <v>2</v>
      </c>
      <c r="E414" s="1">
        <f>_xlfn.NUMBERVALUE(LEFT(aoc_02_input[[#This Row],[InputNumbers]],aoc_02_input[[#This Row],[PosDash]]-1))</f>
        <v>4</v>
      </c>
      <c r="F414" s="1">
        <f>_xlfn.NUMBERVALUE(MID(aoc_02_input[[#This Row],[InputNumbers]],aoc_02_input[[#This Row],[PosDash]]+1,5))</f>
        <v>5</v>
      </c>
      <c r="G414" s="1" t="str">
        <f>LEFT(aoc_02_input[[#This Row],[InputChar]],1)</f>
        <v>h</v>
      </c>
      <c r="H414" s="1" cm="1">
        <f t="array" ref="H414">CountChar(aoc_02_input[[#This Row],[Password]],aoc_02_input[[#This Row],[Char]])</f>
        <v>7</v>
      </c>
      <c r="I414" s="1">
        <f>IF(AND(aoc_02_input[[#This Row],[Int1]]&lt;=aoc_02_input[[#This Row],[CountOfChar]],aoc_02_input[[#This Row],[CountOfChar]]&lt;=aoc_02_input[[#This Row],[Int2]]),1,0)</f>
        <v>0</v>
      </c>
      <c r="J414" s="1" t="str">
        <f>MID(aoc_02_input[[#This Row],[Password]],aoc_02_input[[#This Row],[Int1]],1)</f>
        <v>f</v>
      </c>
      <c r="K414" s="1">
        <f>IF(aoc_02_input[[#This Row],[Pos1]]=aoc_02_input[[#This Row],[Char]],1,0)</f>
        <v>0</v>
      </c>
      <c r="L414" s="1" t="str">
        <f>MID(aoc_02_input[[#This Row],[Password]],aoc_02_input[[#This Row],[Int2]],1)</f>
        <v>j</v>
      </c>
      <c r="M414" s="1">
        <f>IF(aoc_02_input[[#This Row],[Pos2]]=aoc_02_input[[#This Row],[Char]],1,0)</f>
        <v>0</v>
      </c>
      <c r="N414" s="1">
        <f>IF(aoc_02_input[[#This Row],[Pos1Valid]]&lt;&gt;aoc_02_input[[#This Row],[Pos2Valid]],1,0)</f>
        <v>0</v>
      </c>
    </row>
    <row r="415" spans="1:14" x14ac:dyDescent="0.45">
      <c r="A415" s="1" t="s">
        <v>766</v>
      </c>
      <c r="B415" s="1" t="s">
        <v>278</v>
      </c>
      <c r="C415" s="1" t="s">
        <v>767</v>
      </c>
      <c r="D415" s="1">
        <f>FIND("-",aoc_02_input[[#This Row],[InputNumbers]])</f>
        <v>2</v>
      </c>
      <c r="E415" s="1">
        <f>_xlfn.NUMBERVALUE(LEFT(aoc_02_input[[#This Row],[InputNumbers]],aoc_02_input[[#This Row],[PosDash]]-1))</f>
        <v>9</v>
      </c>
      <c r="F415" s="1">
        <f>_xlfn.NUMBERVALUE(MID(aoc_02_input[[#This Row],[InputNumbers]],aoc_02_input[[#This Row],[PosDash]]+1,5))</f>
        <v>13</v>
      </c>
      <c r="G415" s="1" t="str">
        <f>LEFT(aoc_02_input[[#This Row],[InputChar]],1)</f>
        <v>x</v>
      </c>
      <c r="H415" s="1" cm="1">
        <f t="array" ref="H415">CountChar(aoc_02_input[[#This Row],[Password]],aoc_02_input[[#This Row],[Char]])</f>
        <v>12</v>
      </c>
      <c r="I415" s="1">
        <f>IF(AND(aoc_02_input[[#This Row],[Int1]]&lt;=aoc_02_input[[#This Row],[CountOfChar]],aoc_02_input[[#This Row],[CountOfChar]]&lt;=aoc_02_input[[#This Row],[Int2]]),1,0)</f>
        <v>1</v>
      </c>
      <c r="J415" s="1" t="str">
        <f>MID(aoc_02_input[[#This Row],[Password]],aoc_02_input[[#This Row],[Int1]],1)</f>
        <v>x</v>
      </c>
      <c r="K415" s="1">
        <f>IF(aoc_02_input[[#This Row],[Pos1]]=aoc_02_input[[#This Row],[Char]],1,0)</f>
        <v>1</v>
      </c>
      <c r="L415" s="1" t="str">
        <f>MID(aoc_02_input[[#This Row],[Password]],aoc_02_input[[#This Row],[Int2]],1)</f>
        <v>x</v>
      </c>
      <c r="M415" s="1">
        <f>IF(aoc_02_input[[#This Row],[Pos2]]=aoc_02_input[[#This Row],[Char]],1,0)</f>
        <v>1</v>
      </c>
      <c r="N415" s="1">
        <f>IF(aoc_02_input[[#This Row],[Pos1Valid]]&lt;&gt;aoc_02_input[[#This Row],[Pos2Valid]],1,0)</f>
        <v>0</v>
      </c>
    </row>
    <row r="416" spans="1:14" x14ac:dyDescent="0.45">
      <c r="A416" s="1" t="s">
        <v>283</v>
      </c>
      <c r="B416" s="1" t="s">
        <v>228</v>
      </c>
      <c r="C416" s="1" t="s">
        <v>768</v>
      </c>
      <c r="D416" s="1">
        <f>FIND("-",aoc_02_input[[#This Row],[InputNumbers]])</f>
        <v>2</v>
      </c>
      <c r="E416" s="1">
        <f>_xlfn.NUMBERVALUE(LEFT(aoc_02_input[[#This Row],[InputNumbers]],aoc_02_input[[#This Row],[PosDash]]-1))</f>
        <v>3</v>
      </c>
      <c r="F416" s="1">
        <f>_xlfn.NUMBERVALUE(MID(aoc_02_input[[#This Row],[InputNumbers]],aoc_02_input[[#This Row],[PosDash]]+1,5))</f>
        <v>4</v>
      </c>
      <c r="G416" s="1" t="str">
        <f>LEFT(aoc_02_input[[#This Row],[InputChar]],1)</f>
        <v>t</v>
      </c>
      <c r="H416" s="1" cm="1">
        <f t="array" ref="H416">CountChar(aoc_02_input[[#This Row],[Password]],aoc_02_input[[#This Row],[Char]])</f>
        <v>2</v>
      </c>
      <c r="I416" s="1">
        <f>IF(AND(aoc_02_input[[#This Row],[Int1]]&lt;=aoc_02_input[[#This Row],[CountOfChar]],aoc_02_input[[#This Row],[CountOfChar]]&lt;=aoc_02_input[[#This Row],[Int2]]),1,0)</f>
        <v>0</v>
      </c>
      <c r="J416" s="1" t="str">
        <f>MID(aoc_02_input[[#This Row],[Password]],aoc_02_input[[#This Row],[Int1]],1)</f>
        <v>w</v>
      </c>
      <c r="K416" s="1">
        <f>IF(aoc_02_input[[#This Row],[Pos1]]=aoc_02_input[[#This Row],[Char]],1,0)</f>
        <v>0</v>
      </c>
      <c r="L416" s="1" t="str">
        <f>MID(aoc_02_input[[#This Row],[Password]],aoc_02_input[[#This Row],[Int2]],1)</f>
        <v>t</v>
      </c>
      <c r="M416" s="1">
        <f>IF(aoc_02_input[[#This Row],[Pos2]]=aoc_02_input[[#This Row],[Char]],1,0)</f>
        <v>1</v>
      </c>
      <c r="N416" s="1">
        <f>IF(aoc_02_input[[#This Row],[Pos1Valid]]&lt;&gt;aoc_02_input[[#This Row],[Pos2Valid]],1,0)</f>
        <v>1</v>
      </c>
    </row>
    <row r="417" spans="1:14" x14ac:dyDescent="0.45">
      <c r="A417" s="1" t="s">
        <v>345</v>
      </c>
      <c r="B417" s="1" t="s">
        <v>305</v>
      </c>
      <c r="C417" s="1" t="s">
        <v>769</v>
      </c>
      <c r="D417" s="1">
        <f>FIND("-",aoc_02_input[[#This Row],[InputNumbers]])</f>
        <v>2</v>
      </c>
      <c r="E417" s="1">
        <f>_xlfn.NUMBERVALUE(LEFT(aoc_02_input[[#This Row],[InputNumbers]],aoc_02_input[[#This Row],[PosDash]]-1))</f>
        <v>8</v>
      </c>
      <c r="F417" s="1">
        <f>_xlfn.NUMBERVALUE(MID(aoc_02_input[[#This Row],[InputNumbers]],aoc_02_input[[#This Row],[PosDash]]+1,5))</f>
        <v>15</v>
      </c>
      <c r="G417" s="1" t="str">
        <f>LEFT(aoc_02_input[[#This Row],[InputChar]],1)</f>
        <v>s</v>
      </c>
      <c r="H417" s="1" cm="1">
        <f t="array" ref="H417">CountChar(aoc_02_input[[#This Row],[Password]],aoc_02_input[[#This Row],[Char]])</f>
        <v>15</v>
      </c>
      <c r="I417" s="1">
        <f>IF(AND(aoc_02_input[[#This Row],[Int1]]&lt;=aoc_02_input[[#This Row],[CountOfChar]],aoc_02_input[[#This Row],[CountOfChar]]&lt;=aoc_02_input[[#This Row],[Int2]]),1,0)</f>
        <v>1</v>
      </c>
      <c r="J417" s="1" t="str">
        <f>MID(aoc_02_input[[#This Row],[Password]],aoc_02_input[[#This Row],[Int1]],1)</f>
        <v>d</v>
      </c>
      <c r="K417" s="1">
        <f>IF(aoc_02_input[[#This Row],[Pos1]]=aoc_02_input[[#This Row],[Char]],1,0)</f>
        <v>0</v>
      </c>
      <c r="L417" s="1" t="str">
        <f>MID(aoc_02_input[[#This Row],[Password]],aoc_02_input[[#This Row],[Int2]],1)</f>
        <v>s</v>
      </c>
      <c r="M417" s="1">
        <f>IF(aoc_02_input[[#This Row],[Pos2]]=aoc_02_input[[#This Row],[Char]],1,0)</f>
        <v>1</v>
      </c>
      <c r="N417" s="1">
        <f>IF(aoc_02_input[[#This Row],[Pos1Valid]]&lt;&gt;aoc_02_input[[#This Row],[Pos2Valid]],1,0)</f>
        <v>1</v>
      </c>
    </row>
    <row r="418" spans="1:14" x14ac:dyDescent="0.45">
      <c r="A418" s="1" t="s">
        <v>427</v>
      </c>
      <c r="B418" s="1" t="s">
        <v>265</v>
      </c>
      <c r="C418" s="1" t="s">
        <v>770</v>
      </c>
      <c r="D418" s="1">
        <f>FIND("-",aoc_02_input[[#This Row],[InputNumbers]])</f>
        <v>2</v>
      </c>
      <c r="E418" s="1">
        <f>_xlfn.NUMBERVALUE(LEFT(aoc_02_input[[#This Row],[InputNumbers]],aoc_02_input[[#This Row],[PosDash]]-1))</f>
        <v>3</v>
      </c>
      <c r="F418" s="1">
        <f>_xlfn.NUMBERVALUE(MID(aoc_02_input[[#This Row],[InputNumbers]],aoc_02_input[[#This Row],[PosDash]]+1,5))</f>
        <v>8</v>
      </c>
      <c r="G418" s="1" t="str">
        <f>LEFT(aoc_02_input[[#This Row],[InputChar]],1)</f>
        <v>r</v>
      </c>
      <c r="H418" s="1" cm="1">
        <f t="array" ref="H418">CountChar(aoc_02_input[[#This Row],[Password]],aoc_02_input[[#This Row],[Char]])</f>
        <v>5</v>
      </c>
      <c r="I418" s="1">
        <f>IF(AND(aoc_02_input[[#This Row],[Int1]]&lt;=aoc_02_input[[#This Row],[CountOfChar]],aoc_02_input[[#This Row],[CountOfChar]]&lt;=aoc_02_input[[#This Row],[Int2]]),1,0)</f>
        <v>1</v>
      </c>
      <c r="J418" s="1" t="str">
        <f>MID(aoc_02_input[[#This Row],[Password]],aoc_02_input[[#This Row],[Int1]],1)</f>
        <v>d</v>
      </c>
      <c r="K418" s="1">
        <f>IF(aoc_02_input[[#This Row],[Pos1]]=aoc_02_input[[#This Row],[Char]],1,0)</f>
        <v>0</v>
      </c>
      <c r="L418" s="1" t="str">
        <f>MID(aoc_02_input[[#This Row],[Password]],aoc_02_input[[#This Row],[Int2]],1)</f>
        <v>s</v>
      </c>
      <c r="M418" s="1">
        <f>IF(aoc_02_input[[#This Row],[Pos2]]=aoc_02_input[[#This Row],[Char]],1,0)</f>
        <v>0</v>
      </c>
      <c r="N418" s="1">
        <f>IF(aoc_02_input[[#This Row],[Pos1Valid]]&lt;&gt;aoc_02_input[[#This Row],[Pos2Valid]],1,0)</f>
        <v>0</v>
      </c>
    </row>
    <row r="419" spans="1:14" x14ac:dyDescent="0.45">
      <c r="A419" s="1" t="s">
        <v>283</v>
      </c>
      <c r="B419" s="1" t="s">
        <v>238</v>
      </c>
      <c r="C419" s="1" t="s">
        <v>771</v>
      </c>
      <c r="D419" s="1">
        <f>FIND("-",aoc_02_input[[#This Row],[InputNumbers]])</f>
        <v>2</v>
      </c>
      <c r="E419" s="1">
        <f>_xlfn.NUMBERVALUE(LEFT(aoc_02_input[[#This Row],[InputNumbers]],aoc_02_input[[#This Row],[PosDash]]-1))</f>
        <v>3</v>
      </c>
      <c r="F419" s="1">
        <f>_xlfn.NUMBERVALUE(MID(aoc_02_input[[#This Row],[InputNumbers]],aoc_02_input[[#This Row],[PosDash]]+1,5))</f>
        <v>4</v>
      </c>
      <c r="G419" s="1" t="str">
        <f>LEFT(aoc_02_input[[#This Row],[InputChar]],1)</f>
        <v>w</v>
      </c>
      <c r="H419" s="1" cm="1">
        <f t="array" ref="H419">CountChar(aoc_02_input[[#This Row],[Password]],aoc_02_input[[#This Row],[Char]])</f>
        <v>3</v>
      </c>
      <c r="I419" s="1">
        <f>IF(AND(aoc_02_input[[#This Row],[Int1]]&lt;=aoc_02_input[[#This Row],[CountOfChar]],aoc_02_input[[#This Row],[CountOfChar]]&lt;=aoc_02_input[[#This Row],[Int2]]),1,0)</f>
        <v>1</v>
      </c>
      <c r="J419" s="1" t="str">
        <f>MID(aoc_02_input[[#This Row],[Password]],aoc_02_input[[#This Row],[Int1]],1)</f>
        <v>z</v>
      </c>
      <c r="K419" s="1">
        <f>IF(aoc_02_input[[#This Row],[Pos1]]=aoc_02_input[[#This Row],[Char]],1,0)</f>
        <v>0</v>
      </c>
      <c r="L419" s="1" t="str">
        <f>MID(aoc_02_input[[#This Row],[Password]],aoc_02_input[[#This Row],[Int2]],1)</f>
        <v>w</v>
      </c>
      <c r="M419" s="1">
        <f>IF(aoc_02_input[[#This Row],[Pos2]]=aoc_02_input[[#This Row],[Char]],1,0)</f>
        <v>1</v>
      </c>
      <c r="N419" s="1">
        <f>IF(aoc_02_input[[#This Row],[Pos1Valid]]&lt;&gt;aoc_02_input[[#This Row],[Pos2Valid]],1,0)</f>
        <v>1</v>
      </c>
    </row>
    <row r="420" spans="1:14" x14ac:dyDescent="0.45">
      <c r="A420" s="1" t="s">
        <v>294</v>
      </c>
      <c r="B420" s="1" t="s">
        <v>295</v>
      </c>
      <c r="C420" s="1" t="s">
        <v>772</v>
      </c>
      <c r="D420" s="1">
        <f>FIND("-",aoc_02_input[[#This Row],[InputNumbers]])</f>
        <v>2</v>
      </c>
      <c r="E420" s="1">
        <f>_xlfn.NUMBERVALUE(LEFT(aoc_02_input[[#This Row],[InputNumbers]],aoc_02_input[[#This Row],[PosDash]]-1))</f>
        <v>7</v>
      </c>
      <c r="F420" s="1">
        <f>_xlfn.NUMBERVALUE(MID(aoc_02_input[[#This Row],[InputNumbers]],aoc_02_input[[#This Row],[PosDash]]+1,5))</f>
        <v>11</v>
      </c>
      <c r="G420" s="1" t="str">
        <f>LEFT(aoc_02_input[[#This Row],[InputChar]],1)</f>
        <v>c</v>
      </c>
      <c r="H420" s="1" cm="1">
        <f t="array" ref="H420">CountChar(aoc_02_input[[#This Row],[Password]],aoc_02_input[[#This Row],[Char]])</f>
        <v>0</v>
      </c>
      <c r="I420" s="1">
        <f>IF(AND(aoc_02_input[[#This Row],[Int1]]&lt;=aoc_02_input[[#This Row],[CountOfChar]],aoc_02_input[[#This Row],[CountOfChar]]&lt;=aoc_02_input[[#This Row],[Int2]]),1,0)</f>
        <v>0</v>
      </c>
      <c r="J420" s="1" t="str">
        <f>MID(aoc_02_input[[#This Row],[Password]],aoc_02_input[[#This Row],[Int1]],1)</f>
        <v>p</v>
      </c>
      <c r="K420" s="1">
        <f>IF(aoc_02_input[[#This Row],[Pos1]]=aoc_02_input[[#This Row],[Char]],1,0)</f>
        <v>0</v>
      </c>
      <c r="L420" s="1" t="str">
        <f>MID(aoc_02_input[[#This Row],[Password]],aoc_02_input[[#This Row],[Int2]],1)</f>
        <v>s</v>
      </c>
      <c r="M420" s="1">
        <f>IF(aoc_02_input[[#This Row],[Pos2]]=aoc_02_input[[#This Row],[Char]],1,0)</f>
        <v>0</v>
      </c>
      <c r="N420" s="1">
        <f>IF(aoc_02_input[[#This Row],[Pos1Valid]]&lt;&gt;aoc_02_input[[#This Row],[Pos2Valid]],1,0)</f>
        <v>0</v>
      </c>
    </row>
    <row r="421" spans="1:14" x14ac:dyDescent="0.45">
      <c r="A421" s="1" t="s">
        <v>412</v>
      </c>
      <c r="B421" s="1" t="s">
        <v>207</v>
      </c>
      <c r="C421" s="1" t="s">
        <v>773</v>
      </c>
      <c r="D421" s="1">
        <f>FIND("-",aoc_02_input[[#This Row],[InputNumbers]])</f>
        <v>3</v>
      </c>
      <c r="E421" s="1">
        <f>_xlfn.NUMBERVALUE(LEFT(aoc_02_input[[#This Row],[InputNumbers]],aoc_02_input[[#This Row],[PosDash]]-1))</f>
        <v>16</v>
      </c>
      <c r="F421" s="1">
        <f>_xlfn.NUMBERVALUE(MID(aoc_02_input[[#This Row],[InputNumbers]],aoc_02_input[[#This Row],[PosDash]]+1,5))</f>
        <v>17</v>
      </c>
      <c r="G421" s="1" t="str">
        <f>LEFT(aoc_02_input[[#This Row],[InputChar]],1)</f>
        <v>b</v>
      </c>
      <c r="H421" s="1" cm="1">
        <f t="array" ref="H421">CountChar(aoc_02_input[[#This Row],[Password]],aoc_02_input[[#This Row],[Char]])</f>
        <v>7</v>
      </c>
      <c r="I421" s="1">
        <f>IF(AND(aoc_02_input[[#This Row],[Int1]]&lt;=aoc_02_input[[#This Row],[CountOfChar]],aoc_02_input[[#This Row],[CountOfChar]]&lt;=aoc_02_input[[#This Row],[Int2]]),1,0)</f>
        <v>0</v>
      </c>
      <c r="J421" s="1" t="str">
        <f>MID(aoc_02_input[[#This Row],[Password]],aoc_02_input[[#This Row],[Int1]],1)</f>
        <v>v</v>
      </c>
      <c r="K421" s="1">
        <f>IF(aoc_02_input[[#This Row],[Pos1]]=aoc_02_input[[#This Row],[Char]],1,0)</f>
        <v>0</v>
      </c>
      <c r="L421" s="1" t="str">
        <f>MID(aoc_02_input[[#This Row],[Password]],aoc_02_input[[#This Row],[Int2]],1)</f>
        <v>t</v>
      </c>
      <c r="M421" s="1">
        <f>IF(aoc_02_input[[#This Row],[Pos2]]=aoc_02_input[[#This Row],[Char]],1,0)</f>
        <v>0</v>
      </c>
      <c r="N421" s="1">
        <f>IF(aoc_02_input[[#This Row],[Pos1Valid]]&lt;&gt;aoc_02_input[[#This Row],[Pos2Valid]],1,0)</f>
        <v>0</v>
      </c>
    </row>
    <row r="422" spans="1:14" x14ac:dyDescent="0.45">
      <c r="A422" s="1" t="s">
        <v>330</v>
      </c>
      <c r="B422" s="1" t="s">
        <v>219</v>
      </c>
      <c r="C422" s="1" t="s">
        <v>774</v>
      </c>
      <c r="D422" s="1">
        <f>FIND("-",aoc_02_input[[#This Row],[InputNumbers]])</f>
        <v>3</v>
      </c>
      <c r="E422" s="1">
        <f>_xlfn.NUMBERVALUE(LEFT(aoc_02_input[[#This Row],[InputNumbers]],aoc_02_input[[#This Row],[PosDash]]-1))</f>
        <v>13</v>
      </c>
      <c r="F422" s="1">
        <f>_xlfn.NUMBERVALUE(MID(aoc_02_input[[#This Row],[InputNumbers]],aoc_02_input[[#This Row],[PosDash]]+1,5))</f>
        <v>14</v>
      </c>
      <c r="G422" s="1" t="str">
        <f>LEFT(aoc_02_input[[#This Row],[InputChar]],1)</f>
        <v>g</v>
      </c>
      <c r="H422" s="1" cm="1">
        <f t="array" ref="H422">CountChar(aoc_02_input[[#This Row],[Password]],aoc_02_input[[#This Row],[Char]])</f>
        <v>10</v>
      </c>
      <c r="I422" s="1">
        <f>IF(AND(aoc_02_input[[#This Row],[Int1]]&lt;=aoc_02_input[[#This Row],[CountOfChar]],aoc_02_input[[#This Row],[CountOfChar]]&lt;=aoc_02_input[[#This Row],[Int2]]),1,0)</f>
        <v>0</v>
      </c>
      <c r="J422" s="1" t="str">
        <f>MID(aoc_02_input[[#This Row],[Password]],aoc_02_input[[#This Row],[Int1]],1)</f>
        <v>g</v>
      </c>
      <c r="K422" s="1">
        <f>IF(aoc_02_input[[#This Row],[Pos1]]=aoc_02_input[[#This Row],[Char]],1,0)</f>
        <v>1</v>
      </c>
      <c r="L422" s="1" t="str">
        <f>MID(aoc_02_input[[#This Row],[Password]],aoc_02_input[[#This Row],[Int2]],1)</f>
        <v>g</v>
      </c>
      <c r="M422" s="1">
        <f>IF(aoc_02_input[[#This Row],[Pos2]]=aoc_02_input[[#This Row],[Char]],1,0)</f>
        <v>1</v>
      </c>
      <c r="N422" s="1">
        <f>IF(aoc_02_input[[#This Row],[Pos1Valid]]&lt;&gt;aoc_02_input[[#This Row],[Pos2Valid]],1,0)</f>
        <v>0</v>
      </c>
    </row>
    <row r="423" spans="1:14" x14ac:dyDescent="0.45">
      <c r="A423" s="1" t="s">
        <v>435</v>
      </c>
      <c r="B423" s="1" t="s">
        <v>210</v>
      </c>
      <c r="C423" s="1" t="s">
        <v>775</v>
      </c>
      <c r="D423" s="1">
        <f>FIND("-",aoc_02_input[[#This Row],[InputNumbers]])</f>
        <v>2</v>
      </c>
      <c r="E423" s="1">
        <f>_xlfn.NUMBERVALUE(LEFT(aoc_02_input[[#This Row],[InputNumbers]],aoc_02_input[[#This Row],[PosDash]]-1))</f>
        <v>2</v>
      </c>
      <c r="F423" s="1">
        <f>_xlfn.NUMBERVALUE(MID(aoc_02_input[[#This Row],[InputNumbers]],aoc_02_input[[#This Row],[PosDash]]+1,5))</f>
        <v>10</v>
      </c>
      <c r="G423" s="1" t="str">
        <f>LEFT(aoc_02_input[[#This Row],[InputChar]],1)</f>
        <v>v</v>
      </c>
      <c r="H423" s="1" cm="1">
        <f t="array" ref="H423">CountChar(aoc_02_input[[#This Row],[Password]],aoc_02_input[[#This Row],[Char]])</f>
        <v>2</v>
      </c>
      <c r="I423" s="1">
        <f>IF(AND(aoc_02_input[[#This Row],[Int1]]&lt;=aoc_02_input[[#This Row],[CountOfChar]],aoc_02_input[[#This Row],[CountOfChar]]&lt;=aoc_02_input[[#This Row],[Int2]]),1,0)</f>
        <v>1</v>
      </c>
      <c r="J423" s="1" t="str">
        <f>MID(aoc_02_input[[#This Row],[Password]],aoc_02_input[[#This Row],[Int1]],1)</f>
        <v>v</v>
      </c>
      <c r="K423" s="1">
        <f>IF(aoc_02_input[[#This Row],[Pos1]]=aoc_02_input[[#This Row],[Char]],1,0)</f>
        <v>1</v>
      </c>
      <c r="L423" s="1" t="str">
        <f>MID(aoc_02_input[[#This Row],[Password]],aoc_02_input[[#This Row],[Int2]],1)</f>
        <v>v</v>
      </c>
      <c r="M423" s="1">
        <f>IF(aoc_02_input[[#This Row],[Pos2]]=aoc_02_input[[#This Row],[Char]],1,0)</f>
        <v>1</v>
      </c>
      <c r="N423" s="1">
        <f>IF(aoc_02_input[[#This Row],[Pos1Valid]]&lt;&gt;aoc_02_input[[#This Row],[Pos2Valid]],1,0)</f>
        <v>0</v>
      </c>
    </row>
    <row r="424" spans="1:14" x14ac:dyDescent="0.45">
      <c r="A424" s="1" t="s">
        <v>283</v>
      </c>
      <c r="B424" s="1" t="s">
        <v>305</v>
      </c>
      <c r="C424" s="1" t="s">
        <v>776</v>
      </c>
      <c r="D424" s="1">
        <f>FIND("-",aoc_02_input[[#This Row],[InputNumbers]])</f>
        <v>2</v>
      </c>
      <c r="E424" s="1">
        <f>_xlfn.NUMBERVALUE(LEFT(aoc_02_input[[#This Row],[InputNumbers]],aoc_02_input[[#This Row],[PosDash]]-1))</f>
        <v>3</v>
      </c>
      <c r="F424" s="1">
        <f>_xlfn.NUMBERVALUE(MID(aoc_02_input[[#This Row],[InputNumbers]],aoc_02_input[[#This Row],[PosDash]]+1,5))</f>
        <v>4</v>
      </c>
      <c r="G424" s="1" t="str">
        <f>LEFT(aoc_02_input[[#This Row],[InputChar]],1)</f>
        <v>s</v>
      </c>
      <c r="H424" s="1" cm="1">
        <f t="array" ref="H424">CountChar(aoc_02_input[[#This Row],[Password]],aoc_02_input[[#This Row],[Char]])</f>
        <v>5</v>
      </c>
      <c r="I424" s="1">
        <f>IF(AND(aoc_02_input[[#This Row],[Int1]]&lt;=aoc_02_input[[#This Row],[CountOfChar]],aoc_02_input[[#This Row],[CountOfChar]]&lt;=aoc_02_input[[#This Row],[Int2]]),1,0)</f>
        <v>0</v>
      </c>
      <c r="J424" s="1" t="str">
        <f>MID(aoc_02_input[[#This Row],[Password]],aoc_02_input[[#This Row],[Int1]],1)</f>
        <v>w</v>
      </c>
      <c r="K424" s="1">
        <f>IF(aoc_02_input[[#This Row],[Pos1]]=aoc_02_input[[#This Row],[Char]],1,0)</f>
        <v>0</v>
      </c>
      <c r="L424" s="1" t="str">
        <f>MID(aoc_02_input[[#This Row],[Password]],aoc_02_input[[#This Row],[Int2]],1)</f>
        <v>s</v>
      </c>
      <c r="M424" s="1">
        <f>IF(aoc_02_input[[#This Row],[Pos2]]=aoc_02_input[[#This Row],[Char]],1,0)</f>
        <v>1</v>
      </c>
      <c r="N424" s="1">
        <f>IF(aoc_02_input[[#This Row],[Pos1Valid]]&lt;&gt;aoc_02_input[[#This Row],[Pos2Valid]],1,0)</f>
        <v>1</v>
      </c>
    </row>
    <row r="425" spans="1:14" x14ac:dyDescent="0.45">
      <c r="A425" s="1" t="s">
        <v>290</v>
      </c>
      <c r="B425" s="1" t="s">
        <v>305</v>
      </c>
      <c r="C425" s="1" t="s">
        <v>777</v>
      </c>
      <c r="D425" s="1">
        <f>FIND("-",aoc_02_input[[#This Row],[InputNumbers]])</f>
        <v>2</v>
      </c>
      <c r="E425" s="1">
        <f>_xlfn.NUMBERVALUE(LEFT(aoc_02_input[[#This Row],[InputNumbers]],aoc_02_input[[#This Row],[PosDash]]-1))</f>
        <v>8</v>
      </c>
      <c r="F425" s="1">
        <f>_xlfn.NUMBERVALUE(MID(aoc_02_input[[#This Row],[InputNumbers]],aoc_02_input[[#This Row],[PosDash]]+1,5))</f>
        <v>10</v>
      </c>
      <c r="G425" s="1" t="str">
        <f>LEFT(aoc_02_input[[#This Row],[InputChar]],1)</f>
        <v>s</v>
      </c>
      <c r="H425" s="1" cm="1">
        <f t="array" ref="H425">CountChar(aoc_02_input[[#This Row],[Password]],aoc_02_input[[#This Row],[Char]])</f>
        <v>9</v>
      </c>
      <c r="I425" s="1">
        <f>IF(AND(aoc_02_input[[#This Row],[Int1]]&lt;=aoc_02_input[[#This Row],[CountOfChar]],aoc_02_input[[#This Row],[CountOfChar]]&lt;=aoc_02_input[[#This Row],[Int2]]),1,0)</f>
        <v>1</v>
      </c>
      <c r="J425" s="1" t="str">
        <f>MID(aoc_02_input[[#This Row],[Password]],aoc_02_input[[#This Row],[Int1]],1)</f>
        <v>l</v>
      </c>
      <c r="K425" s="1">
        <f>IF(aoc_02_input[[#This Row],[Pos1]]=aoc_02_input[[#This Row],[Char]],1,0)</f>
        <v>0</v>
      </c>
      <c r="L425" s="1" t="str">
        <f>MID(aoc_02_input[[#This Row],[Password]],aoc_02_input[[#This Row],[Int2]],1)</f>
        <v>s</v>
      </c>
      <c r="M425" s="1">
        <f>IF(aoc_02_input[[#This Row],[Pos2]]=aoc_02_input[[#This Row],[Char]],1,0)</f>
        <v>1</v>
      </c>
      <c r="N425" s="1">
        <f>IF(aoc_02_input[[#This Row],[Pos1Valid]]&lt;&gt;aoc_02_input[[#This Row],[Pos2Valid]],1,0)</f>
        <v>1</v>
      </c>
    </row>
    <row r="426" spans="1:14" x14ac:dyDescent="0.45">
      <c r="A426" s="1" t="s">
        <v>468</v>
      </c>
      <c r="B426" s="1" t="s">
        <v>265</v>
      </c>
      <c r="C426" s="1" t="s">
        <v>778</v>
      </c>
      <c r="D426" s="1">
        <f>FIND("-",aoc_02_input[[#This Row],[InputNumbers]])</f>
        <v>3</v>
      </c>
      <c r="E426" s="1">
        <f>_xlfn.NUMBERVALUE(LEFT(aoc_02_input[[#This Row],[InputNumbers]],aoc_02_input[[#This Row],[PosDash]]-1))</f>
        <v>14</v>
      </c>
      <c r="F426" s="1">
        <f>_xlfn.NUMBERVALUE(MID(aoc_02_input[[#This Row],[InputNumbers]],aoc_02_input[[#This Row],[PosDash]]+1,5))</f>
        <v>16</v>
      </c>
      <c r="G426" s="1" t="str">
        <f>LEFT(aoc_02_input[[#This Row],[InputChar]],1)</f>
        <v>r</v>
      </c>
      <c r="H426" s="1" cm="1">
        <f t="array" ref="H426">CountChar(aoc_02_input[[#This Row],[Password]],aoc_02_input[[#This Row],[Char]])</f>
        <v>13</v>
      </c>
      <c r="I426" s="1">
        <f>IF(AND(aoc_02_input[[#This Row],[Int1]]&lt;=aoc_02_input[[#This Row],[CountOfChar]],aoc_02_input[[#This Row],[CountOfChar]]&lt;=aoc_02_input[[#This Row],[Int2]]),1,0)</f>
        <v>0</v>
      </c>
      <c r="J426" s="1" t="str">
        <f>MID(aoc_02_input[[#This Row],[Password]],aoc_02_input[[#This Row],[Int1]],1)</f>
        <v>l</v>
      </c>
      <c r="K426" s="1">
        <f>IF(aoc_02_input[[#This Row],[Pos1]]=aoc_02_input[[#This Row],[Char]],1,0)</f>
        <v>0</v>
      </c>
      <c r="L426" s="1" t="str">
        <f>MID(aoc_02_input[[#This Row],[Password]],aoc_02_input[[#This Row],[Int2]],1)</f>
        <v>r</v>
      </c>
      <c r="M426" s="1">
        <f>IF(aoc_02_input[[#This Row],[Pos2]]=aoc_02_input[[#This Row],[Char]],1,0)</f>
        <v>1</v>
      </c>
      <c r="N426" s="1">
        <f>IF(aoc_02_input[[#This Row],[Pos1Valid]]&lt;&gt;aoc_02_input[[#This Row],[Pos2Valid]],1,0)</f>
        <v>1</v>
      </c>
    </row>
    <row r="427" spans="1:14" x14ac:dyDescent="0.45">
      <c r="A427" s="1" t="s">
        <v>269</v>
      </c>
      <c r="B427" s="1" t="s">
        <v>252</v>
      </c>
      <c r="C427" s="1" t="s">
        <v>779</v>
      </c>
      <c r="D427" s="1">
        <f>FIND("-",aoc_02_input[[#This Row],[InputNumbers]])</f>
        <v>2</v>
      </c>
      <c r="E427" s="1">
        <f>_xlfn.NUMBERVALUE(LEFT(aoc_02_input[[#This Row],[InputNumbers]],aoc_02_input[[#This Row],[PosDash]]-1))</f>
        <v>4</v>
      </c>
      <c r="F427" s="1">
        <f>_xlfn.NUMBERVALUE(MID(aoc_02_input[[#This Row],[InputNumbers]],aoc_02_input[[#This Row],[PosDash]]+1,5))</f>
        <v>9</v>
      </c>
      <c r="G427" s="1" t="str">
        <f>LEFT(aoc_02_input[[#This Row],[InputChar]],1)</f>
        <v>p</v>
      </c>
      <c r="H427" s="1" cm="1">
        <f t="array" ref="H427">CountChar(aoc_02_input[[#This Row],[Password]],aoc_02_input[[#This Row],[Char]])</f>
        <v>9</v>
      </c>
      <c r="I427" s="1">
        <f>IF(AND(aoc_02_input[[#This Row],[Int1]]&lt;=aoc_02_input[[#This Row],[CountOfChar]],aoc_02_input[[#This Row],[CountOfChar]]&lt;=aoc_02_input[[#This Row],[Int2]]),1,0)</f>
        <v>1</v>
      </c>
      <c r="J427" s="1" t="str">
        <f>MID(aoc_02_input[[#This Row],[Password]],aoc_02_input[[#This Row],[Int1]],1)</f>
        <v>p</v>
      </c>
      <c r="K427" s="1">
        <f>IF(aoc_02_input[[#This Row],[Pos1]]=aoc_02_input[[#This Row],[Char]],1,0)</f>
        <v>1</v>
      </c>
      <c r="L427" s="1" t="str">
        <f>MID(aoc_02_input[[#This Row],[Password]],aoc_02_input[[#This Row],[Int2]],1)</f>
        <v>r</v>
      </c>
      <c r="M427" s="1">
        <f>IF(aoc_02_input[[#This Row],[Pos2]]=aoc_02_input[[#This Row],[Char]],1,0)</f>
        <v>0</v>
      </c>
      <c r="N427" s="1">
        <f>IF(aoc_02_input[[#This Row],[Pos1Valid]]&lt;&gt;aoc_02_input[[#This Row],[Pos2Valid]],1,0)</f>
        <v>1</v>
      </c>
    </row>
    <row r="428" spans="1:14" x14ac:dyDescent="0.45">
      <c r="A428" s="1" t="s">
        <v>427</v>
      </c>
      <c r="B428" s="1" t="s">
        <v>213</v>
      </c>
      <c r="C428" s="1" t="s">
        <v>780</v>
      </c>
      <c r="D428" s="1">
        <f>FIND("-",aoc_02_input[[#This Row],[InputNumbers]])</f>
        <v>2</v>
      </c>
      <c r="E428" s="1">
        <f>_xlfn.NUMBERVALUE(LEFT(aoc_02_input[[#This Row],[InputNumbers]],aoc_02_input[[#This Row],[PosDash]]-1))</f>
        <v>3</v>
      </c>
      <c r="F428" s="1">
        <f>_xlfn.NUMBERVALUE(MID(aoc_02_input[[#This Row],[InputNumbers]],aoc_02_input[[#This Row],[PosDash]]+1,5))</f>
        <v>8</v>
      </c>
      <c r="G428" s="1" t="str">
        <f>LEFT(aoc_02_input[[#This Row],[InputChar]],1)</f>
        <v>m</v>
      </c>
      <c r="H428" s="1" cm="1">
        <f t="array" ref="H428">CountChar(aoc_02_input[[#This Row],[Password]],aoc_02_input[[#This Row],[Char]])</f>
        <v>4</v>
      </c>
      <c r="I428" s="1">
        <f>IF(AND(aoc_02_input[[#This Row],[Int1]]&lt;=aoc_02_input[[#This Row],[CountOfChar]],aoc_02_input[[#This Row],[CountOfChar]]&lt;=aoc_02_input[[#This Row],[Int2]]),1,0)</f>
        <v>1</v>
      </c>
      <c r="J428" s="1" t="str">
        <f>MID(aoc_02_input[[#This Row],[Password]],aoc_02_input[[#This Row],[Int1]],1)</f>
        <v>m</v>
      </c>
      <c r="K428" s="1">
        <f>IF(aoc_02_input[[#This Row],[Pos1]]=aoc_02_input[[#This Row],[Char]],1,0)</f>
        <v>1</v>
      </c>
      <c r="L428" s="1" t="str">
        <f>MID(aoc_02_input[[#This Row],[Password]],aoc_02_input[[#This Row],[Int2]],1)</f>
        <v>d</v>
      </c>
      <c r="M428" s="1">
        <f>IF(aoc_02_input[[#This Row],[Pos2]]=aoc_02_input[[#This Row],[Char]],1,0)</f>
        <v>0</v>
      </c>
      <c r="N428" s="1">
        <f>IF(aoc_02_input[[#This Row],[Pos1Valid]]&lt;&gt;aoc_02_input[[#This Row],[Pos2Valid]],1,0)</f>
        <v>1</v>
      </c>
    </row>
    <row r="429" spans="1:14" x14ac:dyDescent="0.45">
      <c r="A429" s="1" t="s">
        <v>445</v>
      </c>
      <c r="B429" s="1" t="s">
        <v>207</v>
      </c>
      <c r="C429" s="1" t="s">
        <v>781</v>
      </c>
      <c r="D429" s="1">
        <f>FIND("-",aoc_02_input[[#This Row],[InputNumbers]])</f>
        <v>3</v>
      </c>
      <c r="E429" s="1">
        <f>_xlfn.NUMBERVALUE(LEFT(aoc_02_input[[#This Row],[InputNumbers]],aoc_02_input[[#This Row],[PosDash]]-1))</f>
        <v>17</v>
      </c>
      <c r="F429" s="1">
        <f>_xlfn.NUMBERVALUE(MID(aoc_02_input[[#This Row],[InputNumbers]],aoc_02_input[[#This Row],[PosDash]]+1,5))</f>
        <v>18</v>
      </c>
      <c r="G429" s="1" t="str">
        <f>LEFT(aoc_02_input[[#This Row],[InputChar]],1)</f>
        <v>b</v>
      </c>
      <c r="H429" s="1" cm="1">
        <f t="array" ref="H429">CountChar(aoc_02_input[[#This Row],[Password]],aoc_02_input[[#This Row],[Char]])</f>
        <v>17</v>
      </c>
      <c r="I429" s="1">
        <f>IF(AND(aoc_02_input[[#This Row],[Int1]]&lt;=aoc_02_input[[#This Row],[CountOfChar]],aoc_02_input[[#This Row],[CountOfChar]]&lt;=aoc_02_input[[#This Row],[Int2]]),1,0)</f>
        <v>1</v>
      </c>
      <c r="J429" s="1" t="str">
        <f>MID(aoc_02_input[[#This Row],[Password]],aoc_02_input[[#This Row],[Int1]],1)</f>
        <v>b</v>
      </c>
      <c r="K429" s="1">
        <f>IF(aoc_02_input[[#This Row],[Pos1]]=aoc_02_input[[#This Row],[Char]],1,0)</f>
        <v>1</v>
      </c>
      <c r="L429" s="1" t="str">
        <f>MID(aoc_02_input[[#This Row],[Password]],aoc_02_input[[#This Row],[Int2]],1)</f>
        <v>b</v>
      </c>
      <c r="M429" s="1">
        <f>IF(aoc_02_input[[#This Row],[Pos2]]=aoc_02_input[[#This Row],[Char]],1,0)</f>
        <v>1</v>
      </c>
      <c r="N429" s="1">
        <f>IF(aoc_02_input[[#This Row],[Pos1Valid]]&lt;&gt;aoc_02_input[[#This Row],[Pos2Valid]],1,0)</f>
        <v>0</v>
      </c>
    </row>
    <row r="430" spans="1:14" x14ac:dyDescent="0.45">
      <c r="A430" s="1" t="s">
        <v>256</v>
      </c>
      <c r="B430" s="1" t="s">
        <v>252</v>
      </c>
      <c r="C430" s="1" t="s">
        <v>782</v>
      </c>
      <c r="D430" s="1">
        <f>FIND("-",aoc_02_input[[#This Row],[InputNumbers]])</f>
        <v>2</v>
      </c>
      <c r="E430" s="1">
        <f>_xlfn.NUMBERVALUE(LEFT(aoc_02_input[[#This Row],[InputNumbers]],aoc_02_input[[#This Row],[PosDash]]-1))</f>
        <v>5</v>
      </c>
      <c r="F430" s="1">
        <f>_xlfn.NUMBERVALUE(MID(aoc_02_input[[#This Row],[InputNumbers]],aoc_02_input[[#This Row],[PosDash]]+1,5))</f>
        <v>7</v>
      </c>
      <c r="G430" s="1" t="str">
        <f>LEFT(aoc_02_input[[#This Row],[InputChar]],1)</f>
        <v>p</v>
      </c>
      <c r="H430" s="1" cm="1">
        <f t="array" ref="H430">CountChar(aoc_02_input[[#This Row],[Password]],aoc_02_input[[#This Row],[Char]])</f>
        <v>11</v>
      </c>
      <c r="I430" s="1">
        <f>IF(AND(aoc_02_input[[#This Row],[Int1]]&lt;=aoc_02_input[[#This Row],[CountOfChar]],aoc_02_input[[#This Row],[CountOfChar]]&lt;=aoc_02_input[[#This Row],[Int2]]),1,0)</f>
        <v>0</v>
      </c>
      <c r="J430" s="1" t="str">
        <f>MID(aoc_02_input[[#This Row],[Password]],aoc_02_input[[#This Row],[Int1]],1)</f>
        <v>v</v>
      </c>
      <c r="K430" s="1">
        <f>IF(aoc_02_input[[#This Row],[Pos1]]=aoc_02_input[[#This Row],[Char]],1,0)</f>
        <v>0</v>
      </c>
      <c r="L430" s="1" t="str">
        <f>MID(aoc_02_input[[#This Row],[Password]],aoc_02_input[[#This Row],[Int2]],1)</f>
        <v>p</v>
      </c>
      <c r="M430" s="1">
        <f>IF(aoc_02_input[[#This Row],[Pos2]]=aoc_02_input[[#This Row],[Char]],1,0)</f>
        <v>1</v>
      </c>
      <c r="N430" s="1">
        <f>IF(aoc_02_input[[#This Row],[Pos1Valid]]&lt;&gt;aoc_02_input[[#This Row],[Pos2Valid]],1,0)</f>
        <v>1</v>
      </c>
    </row>
    <row r="431" spans="1:14" x14ac:dyDescent="0.45">
      <c r="A431" s="1" t="s">
        <v>230</v>
      </c>
      <c r="B431" s="1" t="s">
        <v>219</v>
      </c>
      <c r="C431" s="1" t="s">
        <v>783</v>
      </c>
      <c r="D431" s="1">
        <f>FIND("-",aoc_02_input[[#This Row],[InputNumbers]])</f>
        <v>2</v>
      </c>
      <c r="E431" s="1">
        <f>_xlfn.NUMBERVALUE(LEFT(aoc_02_input[[#This Row],[InputNumbers]],aoc_02_input[[#This Row],[PosDash]]-1))</f>
        <v>2</v>
      </c>
      <c r="F431" s="1">
        <f>_xlfn.NUMBERVALUE(MID(aoc_02_input[[#This Row],[InputNumbers]],aoc_02_input[[#This Row],[PosDash]]+1,5))</f>
        <v>4</v>
      </c>
      <c r="G431" s="1" t="str">
        <f>LEFT(aoc_02_input[[#This Row],[InputChar]],1)</f>
        <v>g</v>
      </c>
      <c r="H431" s="1" cm="1">
        <f t="array" ref="H431">CountChar(aoc_02_input[[#This Row],[Password]],aoc_02_input[[#This Row],[Char]])</f>
        <v>2</v>
      </c>
      <c r="I431" s="1">
        <f>IF(AND(aoc_02_input[[#This Row],[Int1]]&lt;=aoc_02_input[[#This Row],[CountOfChar]],aoc_02_input[[#This Row],[CountOfChar]]&lt;=aoc_02_input[[#This Row],[Int2]]),1,0)</f>
        <v>1</v>
      </c>
      <c r="J431" s="1" t="str">
        <f>MID(aoc_02_input[[#This Row],[Password]],aoc_02_input[[#This Row],[Int1]],1)</f>
        <v>g</v>
      </c>
      <c r="K431" s="1">
        <f>IF(aoc_02_input[[#This Row],[Pos1]]=aoc_02_input[[#This Row],[Char]],1,0)</f>
        <v>1</v>
      </c>
      <c r="L431" s="1" t="str">
        <f>MID(aoc_02_input[[#This Row],[Password]],aoc_02_input[[#This Row],[Int2]],1)</f>
        <v>g</v>
      </c>
      <c r="M431" s="1">
        <f>IF(aoc_02_input[[#This Row],[Pos2]]=aoc_02_input[[#This Row],[Char]],1,0)</f>
        <v>1</v>
      </c>
      <c r="N431" s="1">
        <f>IF(aoc_02_input[[#This Row],[Pos1Valid]]&lt;&gt;aoc_02_input[[#This Row],[Pos2Valid]],1,0)</f>
        <v>0</v>
      </c>
    </row>
    <row r="432" spans="1:14" x14ac:dyDescent="0.45">
      <c r="A432" s="1" t="s">
        <v>635</v>
      </c>
      <c r="B432" s="1" t="s">
        <v>305</v>
      </c>
      <c r="C432" s="1" t="s">
        <v>784</v>
      </c>
      <c r="D432" s="1">
        <f>FIND("-",aoc_02_input[[#This Row],[InputNumbers]])</f>
        <v>2</v>
      </c>
      <c r="E432" s="1">
        <f>_xlfn.NUMBERVALUE(LEFT(aoc_02_input[[#This Row],[InputNumbers]],aoc_02_input[[#This Row],[PosDash]]-1))</f>
        <v>1</v>
      </c>
      <c r="F432" s="1">
        <f>_xlfn.NUMBERVALUE(MID(aoc_02_input[[#This Row],[InputNumbers]],aoc_02_input[[#This Row],[PosDash]]+1,5))</f>
        <v>7</v>
      </c>
      <c r="G432" s="1" t="str">
        <f>LEFT(aoc_02_input[[#This Row],[InputChar]],1)</f>
        <v>s</v>
      </c>
      <c r="H432" s="1" cm="1">
        <f t="array" ref="H432">CountChar(aoc_02_input[[#This Row],[Password]],aoc_02_input[[#This Row],[Char]])</f>
        <v>3</v>
      </c>
      <c r="I432" s="1">
        <f>IF(AND(aoc_02_input[[#This Row],[Int1]]&lt;=aoc_02_input[[#This Row],[CountOfChar]],aoc_02_input[[#This Row],[CountOfChar]]&lt;=aoc_02_input[[#This Row],[Int2]]),1,0)</f>
        <v>1</v>
      </c>
      <c r="J432" s="1" t="str">
        <f>MID(aoc_02_input[[#This Row],[Password]],aoc_02_input[[#This Row],[Int1]],1)</f>
        <v>s</v>
      </c>
      <c r="K432" s="1">
        <f>IF(aoc_02_input[[#This Row],[Pos1]]=aoc_02_input[[#This Row],[Char]],1,0)</f>
        <v>1</v>
      </c>
      <c r="L432" s="1" t="str">
        <f>MID(aoc_02_input[[#This Row],[Password]],aoc_02_input[[#This Row],[Int2]],1)</f>
        <v>l</v>
      </c>
      <c r="M432" s="1">
        <f>IF(aoc_02_input[[#This Row],[Pos2]]=aoc_02_input[[#This Row],[Char]],1,0)</f>
        <v>0</v>
      </c>
      <c r="N432" s="1">
        <f>IF(aoc_02_input[[#This Row],[Pos1Valid]]&lt;&gt;aoc_02_input[[#This Row],[Pos2Valid]],1,0)</f>
        <v>1</v>
      </c>
    </row>
    <row r="433" spans="1:14" x14ac:dyDescent="0.45">
      <c r="A433" s="1" t="s">
        <v>283</v>
      </c>
      <c r="B433" s="1" t="s">
        <v>305</v>
      </c>
      <c r="C433" s="1" t="s">
        <v>785</v>
      </c>
      <c r="D433" s="1">
        <f>FIND("-",aoc_02_input[[#This Row],[InputNumbers]])</f>
        <v>2</v>
      </c>
      <c r="E433" s="1">
        <f>_xlfn.NUMBERVALUE(LEFT(aoc_02_input[[#This Row],[InputNumbers]],aoc_02_input[[#This Row],[PosDash]]-1))</f>
        <v>3</v>
      </c>
      <c r="F433" s="1">
        <f>_xlfn.NUMBERVALUE(MID(aoc_02_input[[#This Row],[InputNumbers]],aoc_02_input[[#This Row],[PosDash]]+1,5))</f>
        <v>4</v>
      </c>
      <c r="G433" s="1" t="str">
        <f>LEFT(aoc_02_input[[#This Row],[InputChar]],1)</f>
        <v>s</v>
      </c>
      <c r="H433" s="1" cm="1">
        <f t="array" ref="H433">CountChar(aoc_02_input[[#This Row],[Password]],aoc_02_input[[#This Row],[Char]])</f>
        <v>0</v>
      </c>
      <c r="I433" s="1">
        <f>IF(AND(aoc_02_input[[#This Row],[Int1]]&lt;=aoc_02_input[[#This Row],[CountOfChar]],aoc_02_input[[#This Row],[CountOfChar]]&lt;=aoc_02_input[[#This Row],[Int2]]),1,0)</f>
        <v>0</v>
      </c>
      <c r="J433" s="1" t="str">
        <f>MID(aoc_02_input[[#This Row],[Password]],aoc_02_input[[#This Row],[Int1]],1)</f>
        <v>x</v>
      </c>
      <c r="K433" s="1">
        <f>IF(aoc_02_input[[#This Row],[Pos1]]=aoc_02_input[[#This Row],[Char]],1,0)</f>
        <v>0</v>
      </c>
      <c r="L433" s="1" t="str">
        <f>MID(aoc_02_input[[#This Row],[Password]],aoc_02_input[[#This Row],[Int2]],1)</f>
        <v>k</v>
      </c>
      <c r="M433" s="1">
        <f>IF(aoc_02_input[[#This Row],[Pos2]]=aoc_02_input[[#This Row],[Char]],1,0)</f>
        <v>0</v>
      </c>
      <c r="N433" s="1">
        <f>IF(aoc_02_input[[#This Row],[Pos1Valid]]&lt;&gt;aoc_02_input[[#This Row],[Pos2Valid]],1,0)</f>
        <v>0</v>
      </c>
    </row>
    <row r="434" spans="1:14" x14ac:dyDescent="0.45">
      <c r="A434" s="1" t="s">
        <v>337</v>
      </c>
      <c r="B434" s="1" t="s">
        <v>265</v>
      </c>
      <c r="C434" s="1" t="s">
        <v>786</v>
      </c>
      <c r="D434" s="1">
        <f>FIND("-",aoc_02_input[[#This Row],[InputNumbers]])</f>
        <v>3</v>
      </c>
      <c r="E434" s="1">
        <f>_xlfn.NUMBERVALUE(LEFT(aoc_02_input[[#This Row],[InputNumbers]],aoc_02_input[[#This Row],[PosDash]]-1))</f>
        <v>10</v>
      </c>
      <c r="F434" s="1">
        <f>_xlfn.NUMBERVALUE(MID(aoc_02_input[[#This Row],[InputNumbers]],aoc_02_input[[#This Row],[PosDash]]+1,5))</f>
        <v>13</v>
      </c>
      <c r="G434" s="1" t="str">
        <f>LEFT(aoc_02_input[[#This Row],[InputChar]],1)</f>
        <v>r</v>
      </c>
      <c r="H434" s="1" cm="1">
        <f t="array" ref="H434">CountChar(aoc_02_input[[#This Row],[Password]],aoc_02_input[[#This Row],[Char]])</f>
        <v>12</v>
      </c>
      <c r="I434" s="1">
        <f>IF(AND(aoc_02_input[[#This Row],[Int1]]&lt;=aoc_02_input[[#This Row],[CountOfChar]],aoc_02_input[[#This Row],[CountOfChar]]&lt;=aoc_02_input[[#This Row],[Int2]]),1,0)</f>
        <v>1</v>
      </c>
      <c r="J434" s="1" t="str">
        <f>MID(aoc_02_input[[#This Row],[Password]],aoc_02_input[[#This Row],[Int1]],1)</f>
        <v>j</v>
      </c>
      <c r="K434" s="1">
        <f>IF(aoc_02_input[[#This Row],[Pos1]]=aoc_02_input[[#This Row],[Char]],1,0)</f>
        <v>0</v>
      </c>
      <c r="L434" s="1" t="str">
        <f>MID(aoc_02_input[[#This Row],[Password]],aoc_02_input[[#This Row],[Int2]],1)</f>
        <v>t</v>
      </c>
      <c r="M434" s="1">
        <f>IF(aoc_02_input[[#This Row],[Pos2]]=aoc_02_input[[#This Row],[Char]],1,0)</f>
        <v>0</v>
      </c>
      <c r="N434" s="1">
        <f>IF(aoc_02_input[[#This Row],[Pos1Valid]]&lt;&gt;aoc_02_input[[#This Row],[Pos2Valid]],1,0)</f>
        <v>0</v>
      </c>
    </row>
    <row r="435" spans="1:14" x14ac:dyDescent="0.45">
      <c r="A435" s="1" t="s">
        <v>324</v>
      </c>
      <c r="B435" s="1" t="s">
        <v>295</v>
      </c>
      <c r="C435" s="1" t="s">
        <v>787</v>
      </c>
      <c r="D435" s="1">
        <f>FIND("-",aoc_02_input[[#This Row],[InputNumbers]])</f>
        <v>2</v>
      </c>
      <c r="E435" s="1">
        <f>_xlfn.NUMBERVALUE(LEFT(aoc_02_input[[#This Row],[InputNumbers]],aoc_02_input[[#This Row],[PosDash]]-1))</f>
        <v>1</v>
      </c>
      <c r="F435" s="1">
        <f>_xlfn.NUMBERVALUE(MID(aoc_02_input[[#This Row],[InputNumbers]],aoc_02_input[[#This Row],[PosDash]]+1,5))</f>
        <v>3</v>
      </c>
      <c r="G435" s="1" t="str">
        <f>LEFT(aoc_02_input[[#This Row],[InputChar]],1)</f>
        <v>c</v>
      </c>
      <c r="H435" s="1" cm="1">
        <f t="array" ref="H435">CountChar(aoc_02_input[[#This Row],[Password]],aoc_02_input[[#This Row],[Char]])</f>
        <v>3</v>
      </c>
      <c r="I435" s="1">
        <f>IF(AND(aoc_02_input[[#This Row],[Int1]]&lt;=aoc_02_input[[#This Row],[CountOfChar]],aoc_02_input[[#This Row],[CountOfChar]]&lt;=aoc_02_input[[#This Row],[Int2]]),1,0)</f>
        <v>1</v>
      </c>
      <c r="J435" s="1" t="str">
        <f>MID(aoc_02_input[[#This Row],[Password]],aoc_02_input[[#This Row],[Int1]],1)</f>
        <v>c</v>
      </c>
      <c r="K435" s="1">
        <f>IF(aoc_02_input[[#This Row],[Pos1]]=aoc_02_input[[#This Row],[Char]],1,0)</f>
        <v>1</v>
      </c>
      <c r="L435" s="1" t="str">
        <f>MID(aoc_02_input[[#This Row],[Password]],aoc_02_input[[#This Row],[Int2]],1)</f>
        <v>k</v>
      </c>
      <c r="M435" s="1">
        <f>IF(aoc_02_input[[#This Row],[Pos2]]=aoc_02_input[[#This Row],[Char]],1,0)</f>
        <v>0</v>
      </c>
      <c r="N435" s="1">
        <f>IF(aoc_02_input[[#This Row],[Pos1Valid]]&lt;&gt;aoc_02_input[[#This Row],[Pos2Valid]],1,0)</f>
        <v>1</v>
      </c>
    </row>
    <row r="436" spans="1:14" x14ac:dyDescent="0.45">
      <c r="A436" s="1" t="s">
        <v>242</v>
      </c>
      <c r="B436" s="1" t="s">
        <v>222</v>
      </c>
      <c r="C436" s="1" t="s">
        <v>788</v>
      </c>
      <c r="D436" s="1">
        <f>FIND("-",aoc_02_input[[#This Row],[InputNumbers]])</f>
        <v>3</v>
      </c>
      <c r="E436" s="1">
        <f>_xlfn.NUMBERVALUE(LEFT(aoc_02_input[[#This Row],[InputNumbers]],aoc_02_input[[#This Row],[PosDash]]-1))</f>
        <v>10</v>
      </c>
      <c r="F436" s="1">
        <f>_xlfn.NUMBERVALUE(MID(aoc_02_input[[#This Row],[InputNumbers]],aoc_02_input[[#This Row],[PosDash]]+1,5))</f>
        <v>11</v>
      </c>
      <c r="G436" s="1" t="str">
        <f>LEFT(aoc_02_input[[#This Row],[InputChar]],1)</f>
        <v>l</v>
      </c>
      <c r="H436" s="1" cm="1">
        <f t="array" ref="H436">CountChar(aoc_02_input[[#This Row],[Password]],aoc_02_input[[#This Row],[Char]])</f>
        <v>9</v>
      </c>
      <c r="I436" s="1">
        <f>IF(AND(aoc_02_input[[#This Row],[Int1]]&lt;=aoc_02_input[[#This Row],[CountOfChar]],aoc_02_input[[#This Row],[CountOfChar]]&lt;=aoc_02_input[[#This Row],[Int2]]),1,0)</f>
        <v>0</v>
      </c>
      <c r="J436" s="1" t="str">
        <f>MID(aoc_02_input[[#This Row],[Password]],aoc_02_input[[#This Row],[Int1]],1)</f>
        <v>l</v>
      </c>
      <c r="K436" s="1">
        <f>IF(aoc_02_input[[#This Row],[Pos1]]=aoc_02_input[[#This Row],[Char]],1,0)</f>
        <v>1</v>
      </c>
      <c r="L436" s="1" t="str">
        <f>MID(aoc_02_input[[#This Row],[Password]],aoc_02_input[[#This Row],[Int2]],1)</f>
        <v>d</v>
      </c>
      <c r="M436" s="1">
        <f>IF(aoc_02_input[[#This Row],[Pos2]]=aoc_02_input[[#This Row],[Char]],1,0)</f>
        <v>0</v>
      </c>
      <c r="N436" s="1">
        <f>IF(aoc_02_input[[#This Row],[Pos1Valid]]&lt;&gt;aoc_02_input[[#This Row],[Pos2Valid]],1,0)</f>
        <v>1</v>
      </c>
    </row>
    <row r="437" spans="1:14" x14ac:dyDescent="0.45">
      <c r="A437" s="1" t="s">
        <v>337</v>
      </c>
      <c r="B437" s="1" t="s">
        <v>305</v>
      </c>
      <c r="C437" s="1" t="s">
        <v>789</v>
      </c>
      <c r="D437" s="1">
        <f>FIND("-",aoc_02_input[[#This Row],[InputNumbers]])</f>
        <v>3</v>
      </c>
      <c r="E437" s="1">
        <f>_xlfn.NUMBERVALUE(LEFT(aoc_02_input[[#This Row],[InputNumbers]],aoc_02_input[[#This Row],[PosDash]]-1))</f>
        <v>10</v>
      </c>
      <c r="F437" s="1">
        <f>_xlfn.NUMBERVALUE(MID(aoc_02_input[[#This Row],[InputNumbers]],aoc_02_input[[#This Row],[PosDash]]+1,5))</f>
        <v>13</v>
      </c>
      <c r="G437" s="1" t="str">
        <f>LEFT(aoc_02_input[[#This Row],[InputChar]],1)</f>
        <v>s</v>
      </c>
      <c r="H437" s="1" cm="1">
        <f t="array" ref="H437">CountChar(aoc_02_input[[#This Row],[Password]],aoc_02_input[[#This Row],[Char]])</f>
        <v>10</v>
      </c>
      <c r="I437" s="1">
        <f>IF(AND(aoc_02_input[[#This Row],[Int1]]&lt;=aoc_02_input[[#This Row],[CountOfChar]],aoc_02_input[[#This Row],[CountOfChar]]&lt;=aoc_02_input[[#This Row],[Int2]]),1,0)</f>
        <v>1</v>
      </c>
      <c r="J437" s="1" t="str">
        <f>MID(aoc_02_input[[#This Row],[Password]],aoc_02_input[[#This Row],[Int1]],1)</f>
        <v>s</v>
      </c>
      <c r="K437" s="1">
        <f>IF(aoc_02_input[[#This Row],[Pos1]]=aoc_02_input[[#This Row],[Char]],1,0)</f>
        <v>1</v>
      </c>
      <c r="L437" s="1" t="str">
        <f>MID(aoc_02_input[[#This Row],[Password]],aoc_02_input[[#This Row],[Int2]],1)</f>
        <v>s</v>
      </c>
      <c r="M437" s="1">
        <f>IF(aoc_02_input[[#This Row],[Pos2]]=aoc_02_input[[#This Row],[Char]],1,0)</f>
        <v>1</v>
      </c>
      <c r="N437" s="1">
        <f>IF(aoc_02_input[[#This Row],[Pos1Valid]]&lt;&gt;aoc_02_input[[#This Row],[Pos2Valid]],1,0)</f>
        <v>0</v>
      </c>
    </row>
    <row r="438" spans="1:14" x14ac:dyDescent="0.45">
      <c r="A438" s="1" t="s">
        <v>361</v>
      </c>
      <c r="B438" s="1" t="s">
        <v>210</v>
      </c>
      <c r="C438" s="1" t="s">
        <v>790</v>
      </c>
      <c r="D438" s="1">
        <f>FIND("-",aoc_02_input[[#This Row],[InputNumbers]])</f>
        <v>2</v>
      </c>
      <c r="E438" s="1">
        <f>_xlfn.NUMBERVALUE(LEFT(aoc_02_input[[#This Row],[InputNumbers]],aoc_02_input[[#This Row],[PosDash]]-1))</f>
        <v>2</v>
      </c>
      <c r="F438" s="1">
        <f>_xlfn.NUMBERVALUE(MID(aoc_02_input[[#This Row],[InputNumbers]],aoc_02_input[[#This Row],[PosDash]]+1,5))</f>
        <v>7</v>
      </c>
      <c r="G438" s="1" t="str">
        <f>LEFT(aoc_02_input[[#This Row],[InputChar]],1)</f>
        <v>v</v>
      </c>
      <c r="H438" s="1" cm="1">
        <f t="array" ref="H438">CountChar(aoc_02_input[[#This Row],[Password]],aoc_02_input[[#This Row],[Char]])</f>
        <v>2</v>
      </c>
      <c r="I438" s="1">
        <f>IF(AND(aoc_02_input[[#This Row],[Int1]]&lt;=aoc_02_input[[#This Row],[CountOfChar]],aoc_02_input[[#This Row],[CountOfChar]]&lt;=aoc_02_input[[#This Row],[Int2]]),1,0)</f>
        <v>1</v>
      </c>
      <c r="J438" s="1" t="str">
        <f>MID(aoc_02_input[[#This Row],[Password]],aoc_02_input[[#This Row],[Int1]],1)</f>
        <v>v</v>
      </c>
      <c r="K438" s="1">
        <f>IF(aoc_02_input[[#This Row],[Pos1]]=aoc_02_input[[#This Row],[Char]],1,0)</f>
        <v>1</v>
      </c>
      <c r="L438" s="1" t="str">
        <f>MID(aoc_02_input[[#This Row],[Password]],aoc_02_input[[#This Row],[Int2]],1)</f>
        <v>c</v>
      </c>
      <c r="M438" s="1">
        <f>IF(aoc_02_input[[#This Row],[Pos2]]=aoc_02_input[[#This Row],[Char]],1,0)</f>
        <v>0</v>
      </c>
      <c r="N438" s="1">
        <f>IF(aoc_02_input[[#This Row],[Pos1Valid]]&lt;&gt;aoc_02_input[[#This Row],[Pos2Valid]],1,0)</f>
        <v>1</v>
      </c>
    </row>
    <row r="439" spans="1:14" x14ac:dyDescent="0.45">
      <c r="A439" s="1" t="s">
        <v>307</v>
      </c>
      <c r="B439" s="1" t="s">
        <v>254</v>
      </c>
      <c r="C439" s="1" t="s">
        <v>791</v>
      </c>
      <c r="D439" s="1">
        <f>FIND("-",aoc_02_input[[#This Row],[InputNumbers]])</f>
        <v>2</v>
      </c>
      <c r="E439" s="1">
        <f>_xlfn.NUMBERVALUE(LEFT(aoc_02_input[[#This Row],[InputNumbers]],aoc_02_input[[#This Row],[PosDash]]-1))</f>
        <v>3</v>
      </c>
      <c r="F439" s="1">
        <f>_xlfn.NUMBERVALUE(MID(aoc_02_input[[#This Row],[InputNumbers]],aoc_02_input[[#This Row],[PosDash]]+1,5))</f>
        <v>5</v>
      </c>
      <c r="G439" s="1" t="str">
        <f>LEFT(aoc_02_input[[#This Row],[InputChar]],1)</f>
        <v>k</v>
      </c>
      <c r="H439" s="1" cm="1">
        <f t="array" ref="H439">CountChar(aoc_02_input[[#This Row],[Password]],aoc_02_input[[#This Row],[Char]])</f>
        <v>6</v>
      </c>
      <c r="I439" s="1">
        <f>IF(AND(aoc_02_input[[#This Row],[Int1]]&lt;=aoc_02_input[[#This Row],[CountOfChar]],aoc_02_input[[#This Row],[CountOfChar]]&lt;=aoc_02_input[[#This Row],[Int2]]),1,0)</f>
        <v>0</v>
      </c>
      <c r="J439" s="1" t="str">
        <f>MID(aoc_02_input[[#This Row],[Password]],aoc_02_input[[#This Row],[Int1]],1)</f>
        <v>k</v>
      </c>
      <c r="K439" s="1">
        <f>IF(aoc_02_input[[#This Row],[Pos1]]=aoc_02_input[[#This Row],[Char]],1,0)</f>
        <v>1</v>
      </c>
      <c r="L439" s="1" t="str">
        <f>MID(aoc_02_input[[#This Row],[Password]],aoc_02_input[[#This Row],[Int2]],1)</f>
        <v>k</v>
      </c>
      <c r="M439" s="1">
        <f>IF(aoc_02_input[[#This Row],[Pos2]]=aoc_02_input[[#This Row],[Char]],1,0)</f>
        <v>1</v>
      </c>
      <c r="N439" s="1">
        <f>IF(aoc_02_input[[#This Row],[Pos1Valid]]&lt;&gt;aoc_02_input[[#This Row],[Pos2Valid]],1,0)</f>
        <v>0</v>
      </c>
    </row>
    <row r="440" spans="1:14" x14ac:dyDescent="0.45">
      <c r="A440" s="1" t="s">
        <v>224</v>
      </c>
      <c r="B440" s="1" t="s">
        <v>207</v>
      </c>
      <c r="C440" s="1" t="s">
        <v>792</v>
      </c>
      <c r="D440" s="1">
        <f>FIND("-",aoc_02_input[[#This Row],[InputNumbers]])</f>
        <v>2</v>
      </c>
      <c r="E440" s="1">
        <f>_xlfn.NUMBERVALUE(LEFT(aoc_02_input[[#This Row],[InputNumbers]],aoc_02_input[[#This Row],[PosDash]]-1))</f>
        <v>1</v>
      </c>
      <c r="F440" s="1">
        <f>_xlfn.NUMBERVALUE(MID(aoc_02_input[[#This Row],[InputNumbers]],aoc_02_input[[#This Row],[PosDash]]+1,5))</f>
        <v>5</v>
      </c>
      <c r="G440" s="1" t="str">
        <f>LEFT(aoc_02_input[[#This Row],[InputChar]],1)</f>
        <v>b</v>
      </c>
      <c r="H440" s="1" cm="1">
        <f t="array" ref="H440">CountChar(aoc_02_input[[#This Row],[Password]],aoc_02_input[[#This Row],[Char]])</f>
        <v>4</v>
      </c>
      <c r="I440" s="1">
        <f>IF(AND(aoc_02_input[[#This Row],[Int1]]&lt;=aoc_02_input[[#This Row],[CountOfChar]],aoc_02_input[[#This Row],[CountOfChar]]&lt;=aoc_02_input[[#This Row],[Int2]]),1,0)</f>
        <v>1</v>
      </c>
      <c r="J440" s="1" t="str">
        <f>MID(aoc_02_input[[#This Row],[Password]],aoc_02_input[[#This Row],[Int1]],1)</f>
        <v>x</v>
      </c>
      <c r="K440" s="1">
        <f>IF(aoc_02_input[[#This Row],[Pos1]]=aoc_02_input[[#This Row],[Char]],1,0)</f>
        <v>0</v>
      </c>
      <c r="L440" s="1" t="str">
        <f>MID(aoc_02_input[[#This Row],[Password]],aoc_02_input[[#This Row],[Int2]],1)</f>
        <v>t</v>
      </c>
      <c r="M440" s="1">
        <f>IF(aoc_02_input[[#This Row],[Pos2]]=aoc_02_input[[#This Row],[Char]],1,0)</f>
        <v>0</v>
      </c>
      <c r="N440" s="1">
        <f>IF(aoc_02_input[[#This Row],[Pos1Valid]]&lt;&gt;aoc_02_input[[#This Row],[Pos2Valid]],1,0)</f>
        <v>0</v>
      </c>
    </row>
    <row r="441" spans="1:14" x14ac:dyDescent="0.45">
      <c r="A441" s="1" t="s">
        <v>392</v>
      </c>
      <c r="B441" s="1" t="s">
        <v>207</v>
      </c>
      <c r="C441" s="1" t="s">
        <v>793</v>
      </c>
      <c r="D441" s="1">
        <f>FIND("-",aoc_02_input[[#This Row],[InputNumbers]])</f>
        <v>2</v>
      </c>
      <c r="E441" s="1">
        <f>_xlfn.NUMBERVALUE(LEFT(aoc_02_input[[#This Row],[InputNumbers]],aoc_02_input[[#This Row],[PosDash]]-1))</f>
        <v>8</v>
      </c>
      <c r="F441" s="1">
        <f>_xlfn.NUMBERVALUE(MID(aoc_02_input[[#This Row],[InputNumbers]],aoc_02_input[[#This Row],[PosDash]]+1,5))</f>
        <v>9</v>
      </c>
      <c r="G441" s="1" t="str">
        <f>LEFT(aoc_02_input[[#This Row],[InputChar]],1)</f>
        <v>b</v>
      </c>
      <c r="H441" s="1" cm="1">
        <f t="array" ref="H441">CountChar(aoc_02_input[[#This Row],[Password]],aoc_02_input[[#This Row],[Char]])</f>
        <v>8</v>
      </c>
      <c r="I441" s="1">
        <f>IF(AND(aoc_02_input[[#This Row],[Int1]]&lt;=aoc_02_input[[#This Row],[CountOfChar]],aoc_02_input[[#This Row],[CountOfChar]]&lt;=aoc_02_input[[#This Row],[Int2]]),1,0)</f>
        <v>1</v>
      </c>
      <c r="J441" s="1" t="str">
        <f>MID(aoc_02_input[[#This Row],[Password]],aoc_02_input[[#This Row],[Int1]],1)</f>
        <v>b</v>
      </c>
      <c r="K441" s="1">
        <f>IF(aoc_02_input[[#This Row],[Pos1]]=aoc_02_input[[#This Row],[Char]],1,0)</f>
        <v>1</v>
      </c>
      <c r="L441" s="1" t="str">
        <f>MID(aoc_02_input[[#This Row],[Password]],aoc_02_input[[#This Row],[Int2]],1)</f>
        <v>h</v>
      </c>
      <c r="M441" s="1">
        <f>IF(aoc_02_input[[#This Row],[Pos2]]=aoc_02_input[[#This Row],[Char]],1,0)</f>
        <v>0</v>
      </c>
      <c r="N441" s="1">
        <f>IF(aoc_02_input[[#This Row],[Pos1Valid]]&lt;&gt;aoc_02_input[[#This Row],[Pos2Valid]],1,0)</f>
        <v>1</v>
      </c>
    </row>
    <row r="442" spans="1:14" x14ac:dyDescent="0.45">
      <c r="A442" s="1" t="s">
        <v>452</v>
      </c>
      <c r="B442" s="1" t="s">
        <v>305</v>
      </c>
      <c r="C442" s="1" t="s">
        <v>794</v>
      </c>
      <c r="D442" s="1">
        <f>FIND("-",aoc_02_input[[#This Row],[InputNumbers]])</f>
        <v>3</v>
      </c>
      <c r="E442" s="1">
        <f>_xlfn.NUMBERVALUE(LEFT(aoc_02_input[[#This Row],[InputNumbers]],aoc_02_input[[#This Row],[PosDash]]-1))</f>
        <v>14</v>
      </c>
      <c r="F442" s="1">
        <f>_xlfn.NUMBERVALUE(MID(aoc_02_input[[#This Row],[InputNumbers]],aoc_02_input[[#This Row],[PosDash]]+1,5))</f>
        <v>15</v>
      </c>
      <c r="G442" s="1" t="str">
        <f>LEFT(aoc_02_input[[#This Row],[InputChar]],1)</f>
        <v>s</v>
      </c>
      <c r="H442" s="1" cm="1">
        <f t="array" ref="H442">CountChar(aoc_02_input[[#This Row],[Password]],aoc_02_input[[#This Row],[Char]])</f>
        <v>13</v>
      </c>
      <c r="I442" s="1">
        <f>IF(AND(aoc_02_input[[#This Row],[Int1]]&lt;=aoc_02_input[[#This Row],[CountOfChar]],aoc_02_input[[#This Row],[CountOfChar]]&lt;=aoc_02_input[[#This Row],[Int2]]),1,0)</f>
        <v>0</v>
      </c>
      <c r="J442" s="1" t="str">
        <f>MID(aoc_02_input[[#This Row],[Password]],aoc_02_input[[#This Row],[Int1]],1)</f>
        <v>l</v>
      </c>
      <c r="K442" s="1">
        <f>IF(aoc_02_input[[#This Row],[Pos1]]=aoc_02_input[[#This Row],[Char]],1,0)</f>
        <v>0</v>
      </c>
      <c r="L442" s="1" t="str">
        <f>MID(aoc_02_input[[#This Row],[Password]],aoc_02_input[[#This Row],[Int2]],1)</f>
        <v>s</v>
      </c>
      <c r="M442" s="1">
        <f>IF(aoc_02_input[[#This Row],[Pos2]]=aoc_02_input[[#This Row],[Char]],1,0)</f>
        <v>1</v>
      </c>
      <c r="N442" s="1">
        <f>IF(aoc_02_input[[#This Row],[Pos1Valid]]&lt;&gt;aoc_02_input[[#This Row],[Pos2Valid]],1,0)</f>
        <v>1</v>
      </c>
    </row>
    <row r="443" spans="1:14" x14ac:dyDescent="0.45">
      <c r="A443" s="1" t="s">
        <v>256</v>
      </c>
      <c r="B443" s="1" t="s">
        <v>243</v>
      </c>
      <c r="C443" s="1" t="s">
        <v>795</v>
      </c>
      <c r="D443" s="1">
        <f>FIND("-",aoc_02_input[[#This Row],[InputNumbers]])</f>
        <v>2</v>
      </c>
      <c r="E443" s="1">
        <f>_xlfn.NUMBERVALUE(LEFT(aoc_02_input[[#This Row],[InputNumbers]],aoc_02_input[[#This Row],[PosDash]]-1))</f>
        <v>5</v>
      </c>
      <c r="F443" s="1">
        <f>_xlfn.NUMBERVALUE(MID(aoc_02_input[[#This Row],[InputNumbers]],aoc_02_input[[#This Row],[PosDash]]+1,5))</f>
        <v>7</v>
      </c>
      <c r="G443" s="1" t="str">
        <f>LEFT(aoc_02_input[[#This Row],[InputChar]],1)</f>
        <v>f</v>
      </c>
      <c r="H443" s="1" cm="1">
        <f t="array" ref="H443">CountChar(aoc_02_input[[#This Row],[Password]],aoc_02_input[[#This Row],[Char]])</f>
        <v>12</v>
      </c>
      <c r="I443" s="1">
        <f>IF(AND(aoc_02_input[[#This Row],[Int1]]&lt;=aoc_02_input[[#This Row],[CountOfChar]],aoc_02_input[[#This Row],[CountOfChar]]&lt;=aoc_02_input[[#This Row],[Int2]]),1,0)</f>
        <v>0</v>
      </c>
      <c r="J443" s="1" t="str">
        <f>MID(aoc_02_input[[#This Row],[Password]],aoc_02_input[[#This Row],[Int1]],1)</f>
        <v>g</v>
      </c>
      <c r="K443" s="1">
        <f>IF(aoc_02_input[[#This Row],[Pos1]]=aoc_02_input[[#This Row],[Char]],1,0)</f>
        <v>0</v>
      </c>
      <c r="L443" s="1" t="str">
        <f>MID(aoc_02_input[[#This Row],[Password]],aoc_02_input[[#This Row],[Int2]],1)</f>
        <v>w</v>
      </c>
      <c r="M443" s="1">
        <f>IF(aoc_02_input[[#This Row],[Pos2]]=aoc_02_input[[#This Row],[Char]],1,0)</f>
        <v>0</v>
      </c>
      <c r="N443" s="1">
        <f>IF(aoc_02_input[[#This Row],[Pos1Valid]]&lt;&gt;aoc_02_input[[#This Row],[Pos2Valid]],1,0)</f>
        <v>0</v>
      </c>
    </row>
    <row r="444" spans="1:14" x14ac:dyDescent="0.45">
      <c r="A444" s="1" t="s">
        <v>271</v>
      </c>
      <c r="B444" s="1" t="s">
        <v>243</v>
      </c>
      <c r="C444" s="1" t="s">
        <v>796</v>
      </c>
      <c r="D444" s="1">
        <f>FIND("-",aoc_02_input[[#This Row],[InputNumbers]])</f>
        <v>2</v>
      </c>
      <c r="E444" s="1">
        <f>_xlfn.NUMBERVALUE(LEFT(aoc_02_input[[#This Row],[InputNumbers]],aoc_02_input[[#This Row],[PosDash]]-1))</f>
        <v>9</v>
      </c>
      <c r="F444" s="1">
        <f>_xlfn.NUMBERVALUE(MID(aoc_02_input[[#This Row],[InputNumbers]],aoc_02_input[[#This Row],[PosDash]]+1,5))</f>
        <v>10</v>
      </c>
      <c r="G444" s="1" t="str">
        <f>LEFT(aoc_02_input[[#This Row],[InputChar]],1)</f>
        <v>f</v>
      </c>
      <c r="H444" s="1" cm="1">
        <f t="array" ref="H444">CountChar(aoc_02_input[[#This Row],[Password]],aoc_02_input[[#This Row],[Char]])</f>
        <v>7</v>
      </c>
      <c r="I444" s="1">
        <f>IF(AND(aoc_02_input[[#This Row],[Int1]]&lt;=aoc_02_input[[#This Row],[CountOfChar]],aoc_02_input[[#This Row],[CountOfChar]]&lt;=aoc_02_input[[#This Row],[Int2]]),1,0)</f>
        <v>0</v>
      </c>
      <c r="J444" s="1" t="str">
        <f>MID(aoc_02_input[[#This Row],[Password]],aoc_02_input[[#This Row],[Int1]],1)</f>
        <v>h</v>
      </c>
      <c r="K444" s="1">
        <f>IF(aoc_02_input[[#This Row],[Pos1]]=aoc_02_input[[#This Row],[Char]],1,0)</f>
        <v>0</v>
      </c>
      <c r="L444" s="1" t="str">
        <f>MID(aoc_02_input[[#This Row],[Password]],aoc_02_input[[#This Row],[Int2]],1)</f>
        <v>b</v>
      </c>
      <c r="M444" s="1">
        <f>IF(aoc_02_input[[#This Row],[Pos2]]=aoc_02_input[[#This Row],[Char]],1,0)</f>
        <v>0</v>
      </c>
      <c r="N444" s="1">
        <f>IF(aoc_02_input[[#This Row],[Pos1Valid]]&lt;&gt;aoc_02_input[[#This Row],[Pos2Valid]],1,0)</f>
        <v>0</v>
      </c>
    </row>
    <row r="445" spans="1:14" x14ac:dyDescent="0.45">
      <c r="A445" s="1" t="s">
        <v>352</v>
      </c>
      <c r="B445" s="1" t="s">
        <v>265</v>
      </c>
      <c r="C445" s="1" t="s">
        <v>797</v>
      </c>
      <c r="D445" s="1">
        <f>FIND("-",aoc_02_input[[#This Row],[InputNumbers]])</f>
        <v>3</v>
      </c>
      <c r="E445" s="1">
        <f>_xlfn.NUMBERVALUE(LEFT(aoc_02_input[[#This Row],[InputNumbers]],aoc_02_input[[#This Row],[PosDash]]-1))</f>
        <v>15</v>
      </c>
      <c r="F445" s="1">
        <f>_xlfn.NUMBERVALUE(MID(aoc_02_input[[#This Row],[InputNumbers]],aoc_02_input[[#This Row],[PosDash]]+1,5))</f>
        <v>16</v>
      </c>
      <c r="G445" s="1" t="str">
        <f>LEFT(aoc_02_input[[#This Row],[InputChar]],1)</f>
        <v>r</v>
      </c>
      <c r="H445" s="1" cm="1">
        <f t="array" ref="H445">CountChar(aoc_02_input[[#This Row],[Password]],aoc_02_input[[#This Row],[Char]])</f>
        <v>12</v>
      </c>
      <c r="I445" s="1">
        <f>IF(AND(aoc_02_input[[#This Row],[Int1]]&lt;=aoc_02_input[[#This Row],[CountOfChar]],aoc_02_input[[#This Row],[CountOfChar]]&lt;=aoc_02_input[[#This Row],[Int2]]),1,0)</f>
        <v>0</v>
      </c>
      <c r="J445" s="1" t="str">
        <f>MID(aoc_02_input[[#This Row],[Password]],aoc_02_input[[#This Row],[Int1]],1)</f>
        <v>r</v>
      </c>
      <c r="K445" s="1">
        <f>IF(aoc_02_input[[#This Row],[Pos1]]=aoc_02_input[[#This Row],[Char]],1,0)</f>
        <v>1</v>
      </c>
      <c r="L445" s="1" t="str">
        <f>MID(aoc_02_input[[#This Row],[Password]],aoc_02_input[[#This Row],[Int2]],1)</f>
        <v>d</v>
      </c>
      <c r="M445" s="1">
        <f>IF(aoc_02_input[[#This Row],[Pos2]]=aoc_02_input[[#This Row],[Char]],1,0)</f>
        <v>0</v>
      </c>
      <c r="N445" s="1">
        <f>IF(aoc_02_input[[#This Row],[Pos1Valid]]&lt;&gt;aoc_02_input[[#This Row],[Pos2Valid]],1,0)</f>
        <v>1</v>
      </c>
    </row>
    <row r="446" spans="1:14" x14ac:dyDescent="0.45">
      <c r="A446" s="1" t="s">
        <v>307</v>
      </c>
      <c r="B446" s="1" t="s">
        <v>210</v>
      </c>
      <c r="C446" s="1" t="s">
        <v>798</v>
      </c>
      <c r="D446" s="1">
        <f>FIND("-",aoc_02_input[[#This Row],[InputNumbers]])</f>
        <v>2</v>
      </c>
      <c r="E446" s="1">
        <f>_xlfn.NUMBERVALUE(LEFT(aoc_02_input[[#This Row],[InputNumbers]],aoc_02_input[[#This Row],[PosDash]]-1))</f>
        <v>3</v>
      </c>
      <c r="F446" s="1">
        <f>_xlfn.NUMBERVALUE(MID(aoc_02_input[[#This Row],[InputNumbers]],aoc_02_input[[#This Row],[PosDash]]+1,5))</f>
        <v>5</v>
      </c>
      <c r="G446" s="1" t="str">
        <f>LEFT(aoc_02_input[[#This Row],[InputChar]],1)</f>
        <v>v</v>
      </c>
      <c r="H446" s="1" cm="1">
        <f t="array" ref="H446">CountChar(aoc_02_input[[#This Row],[Password]],aoc_02_input[[#This Row],[Char]])</f>
        <v>4</v>
      </c>
      <c r="I446" s="1">
        <f>IF(AND(aoc_02_input[[#This Row],[Int1]]&lt;=aoc_02_input[[#This Row],[CountOfChar]],aoc_02_input[[#This Row],[CountOfChar]]&lt;=aoc_02_input[[#This Row],[Int2]]),1,0)</f>
        <v>1</v>
      </c>
      <c r="J446" s="1" t="str">
        <f>MID(aoc_02_input[[#This Row],[Password]],aoc_02_input[[#This Row],[Int1]],1)</f>
        <v>h</v>
      </c>
      <c r="K446" s="1">
        <f>IF(aoc_02_input[[#This Row],[Pos1]]=aoc_02_input[[#This Row],[Char]],1,0)</f>
        <v>0</v>
      </c>
      <c r="L446" s="1" t="str">
        <f>MID(aoc_02_input[[#This Row],[Password]],aoc_02_input[[#This Row],[Int2]],1)</f>
        <v>j</v>
      </c>
      <c r="M446" s="1">
        <f>IF(aoc_02_input[[#This Row],[Pos2]]=aoc_02_input[[#This Row],[Char]],1,0)</f>
        <v>0</v>
      </c>
      <c r="N446" s="1">
        <f>IF(aoc_02_input[[#This Row],[Pos1Valid]]&lt;&gt;aoc_02_input[[#This Row],[Pos2Valid]],1,0)</f>
        <v>0</v>
      </c>
    </row>
    <row r="447" spans="1:14" x14ac:dyDescent="0.45">
      <c r="A447" s="1" t="s">
        <v>212</v>
      </c>
      <c r="B447" s="1" t="s">
        <v>219</v>
      </c>
      <c r="C447" s="1" t="s">
        <v>799</v>
      </c>
      <c r="D447" s="1">
        <f>FIND("-",aoc_02_input[[#This Row],[InputNumbers]])</f>
        <v>2</v>
      </c>
      <c r="E447" s="1">
        <f>_xlfn.NUMBERVALUE(LEFT(aoc_02_input[[#This Row],[InputNumbers]],aoc_02_input[[#This Row],[PosDash]]-1))</f>
        <v>2</v>
      </c>
      <c r="F447" s="1">
        <f>_xlfn.NUMBERVALUE(MID(aoc_02_input[[#This Row],[InputNumbers]],aoc_02_input[[#This Row],[PosDash]]+1,5))</f>
        <v>5</v>
      </c>
      <c r="G447" s="1" t="str">
        <f>LEFT(aoc_02_input[[#This Row],[InputChar]],1)</f>
        <v>g</v>
      </c>
      <c r="H447" s="1" cm="1">
        <f t="array" ref="H447">CountChar(aoc_02_input[[#This Row],[Password]],aoc_02_input[[#This Row],[Char]])</f>
        <v>3</v>
      </c>
      <c r="I447" s="1">
        <f>IF(AND(aoc_02_input[[#This Row],[Int1]]&lt;=aoc_02_input[[#This Row],[CountOfChar]],aoc_02_input[[#This Row],[CountOfChar]]&lt;=aoc_02_input[[#This Row],[Int2]]),1,0)</f>
        <v>1</v>
      </c>
      <c r="J447" s="1" t="str">
        <f>MID(aoc_02_input[[#This Row],[Password]],aoc_02_input[[#This Row],[Int1]],1)</f>
        <v>g</v>
      </c>
      <c r="K447" s="1">
        <f>IF(aoc_02_input[[#This Row],[Pos1]]=aoc_02_input[[#This Row],[Char]],1,0)</f>
        <v>1</v>
      </c>
      <c r="L447" s="1" t="str">
        <f>MID(aoc_02_input[[#This Row],[Password]],aoc_02_input[[#This Row],[Int2]],1)</f>
        <v>f</v>
      </c>
      <c r="M447" s="1">
        <f>IF(aoc_02_input[[#This Row],[Pos2]]=aoc_02_input[[#This Row],[Char]],1,0)</f>
        <v>0</v>
      </c>
      <c r="N447" s="1">
        <f>IF(aoc_02_input[[#This Row],[Pos1Valid]]&lt;&gt;aoc_02_input[[#This Row],[Pos2Valid]],1,0)</f>
        <v>1</v>
      </c>
    </row>
    <row r="448" spans="1:14" x14ac:dyDescent="0.45">
      <c r="A448" s="1" t="s">
        <v>435</v>
      </c>
      <c r="B448" s="1" t="s">
        <v>225</v>
      </c>
      <c r="C448" s="1" t="s">
        <v>800</v>
      </c>
      <c r="D448" s="1">
        <f>FIND("-",aoc_02_input[[#This Row],[InputNumbers]])</f>
        <v>2</v>
      </c>
      <c r="E448" s="1">
        <f>_xlfn.NUMBERVALUE(LEFT(aoc_02_input[[#This Row],[InputNumbers]],aoc_02_input[[#This Row],[PosDash]]-1))</f>
        <v>2</v>
      </c>
      <c r="F448" s="1">
        <f>_xlfn.NUMBERVALUE(MID(aoc_02_input[[#This Row],[InputNumbers]],aoc_02_input[[#This Row],[PosDash]]+1,5))</f>
        <v>10</v>
      </c>
      <c r="G448" s="1" t="str">
        <f>LEFT(aoc_02_input[[#This Row],[InputChar]],1)</f>
        <v>j</v>
      </c>
      <c r="H448" s="1" cm="1">
        <f t="array" ref="H448">CountChar(aoc_02_input[[#This Row],[Password]],aoc_02_input[[#This Row],[Char]])</f>
        <v>6</v>
      </c>
      <c r="I448" s="1">
        <f>IF(AND(aoc_02_input[[#This Row],[Int1]]&lt;=aoc_02_input[[#This Row],[CountOfChar]],aoc_02_input[[#This Row],[CountOfChar]]&lt;=aoc_02_input[[#This Row],[Int2]]),1,0)</f>
        <v>1</v>
      </c>
      <c r="J448" s="1" t="str">
        <f>MID(aoc_02_input[[#This Row],[Password]],aoc_02_input[[#This Row],[Int1]],1)</f>
        <v>c</v>
      </c>
      <c r="K448" s="1">
        <f>IF(aoc_02_input[[#This Row],[Pos1]]=aoc_02_input[[#This Row],[Char]],1,0)</f>
        <v>0</v>
      </c>
      <c r="L448" s="1" t="str">
        <f>MID(aoc_02_input[[#This Row],[Password]],aoc_02_input[[#This Row],[Int2]],1)</f>
        <v>c</v>
      </c>
      <c r="M448" s="1">
        <f>IF(aoc_02_input[[#This Row],[Pos2]]=aoc_02_input[[#This Row],[Char]],1,0)</f>
        <v>0</v>
      </c>
      <c r="N448" s="1">
        <f>IF(aoc_02_input[[#This Row],[Pos1Valid]]&lt;&gt;aoc_02_input[[#This Row],[Pos2Valid]],1,0)</f>
        <v>0</v>
      </c>
    </row>
    <row r="449" spans="1:14" x14ac:dyDescent="0.45">
      <c r="A449" s="1" t="s">
        <v>230</v>
      </c>
      <c r="B449" s="1" t="s">
        <v>314</v>
      </c>
      <c r="C449" s="1" t="s">
        <v>801</v>
      </c>
      <c r="D449" s="1">
        <f>FIND("-",aoc_02_input[[#This Row],[InputNumbers]])</f>
        <v>2</v>
      </c>
      <c r="E449" s="1">
        <f>_xlfn.NUMBERVALUE(LEFT(aoc_02_input[[#This Row],[InputNumbers]],aoc_02_input[[#This Row],[PosDash]]-1))</f>
        <v>2</v>
      </c>
      <c r="F449" s="1">
        <f>_xlfn.NUMBERVALUE(MID(aoc_02_input[[#This Row],[InputNumbers]],aoc_02_input[[#This Row],[PosDash]]+1,5))</f>
        <v>4</v>
      </c>
      <c r="G449" s="1" t="str">
        <f>LEFT(aoc_02_input[[#This Row],[InputChar]],1)</f>
        <v>h</v>
      </c>
      <c r="H449" s="1" cm="1">
        <f t="array" ref="H449">CountChar(aoc_02_input[[#This Row],[Password]],aoc_02_input[[#This Row],[Char]])</f>
        <v>3</v>
      </c>
      <c r="I449" s="1">
        <f>IF(AND(aoc_02_input[[#This Row],[Int1]]&lt;=aoc_02_input[[#This Row],[CountOfChar]],aoc_02_input[[#This Row],[CountOfChar]]&lt;=aoc_02_input[[#This Row],[Int2]]),1,0)</f>
        <v>1</v>
      </c>
      <c r="J449" s="1" t="str">
        <f>MID(aoc_02_input[[#This Row],[Password]],aoc_02_input[[#This Row],[Int1]],1)</f>
        <v>c</v>
      </c>
      <c r="K449" s="1">
        <f>IF(aoc_02_input[[#This Row],[Pos1]]=aoc_02_input[[#This Row],[Char]],1,0)</f>
        <v>0</v>
      </c>
      <c r="L449" s="1" t="str">
        <f>MID(aoc_02_input[[#This Row],[Password]],aoc_02_input[[#This Row],[Int2]],1)</f>
        <v>h</v>
      </c>
      <c r="M449" s="1">
        <f>IF(aoc_02_input[[#This Row],[Pos2]]=aoc_02_input[[#This Row],[Char]],1,0)</f>
        <v>1</v>
      </c>
      <c r="N449" s="1">
        <f>IF(aoc_02_input[[#This Row],[Pos1Valid]]&lt;&gt;aoc_02_input[[#This Row],[Pos2Valid]],1,0)</f>
        <v>1</v>
      </c>
    </row>
    <row r="450" spans="1:14" x14ac:dyDescent="0.45">
      <c r="A450" s="1" t="s">
        <v>616</v>
      </c>
      <c r="B450" s="1" t="s">
        <v>207</v>
      </c>
      <c r="C450" s="1" t="s">
        <v>802</v>
      </c>
      <c r="D450" s="1">
        <f>FIND("-",aoc_02_input[[#This Row],[InputNumbers]])</f>
        <v>2</v>
      </c>
      <c r="E450" s="1">
        <f>_xlfn.NUMBERVALUE(LEFT(aoc_02_input[[#This Row],[InputNumbers]],aoc_02_input[[#This Row],[PosDash]]-1))</f>
        <v>8</v>
      </c>
      <c r="F450" s="1">
        <f>_xlfn.NUMBERVALUE(MID(aoc_02_input[[#This Row],[InputNumbers]],aoc_02_input[[#This Row],[PosDash]]+1,5))</f>
        <v>12</v>
      </c>
      <c r="G450" s="1" t="str">
        <f>LEFT(aoc_02_input[[#This Row],[InputChar]],1)</f>
        <v>b</v>
      </c>
      <c r="H450" s="1" cm="1">
        <f t="array" ref="H450">CountChar(aoc_02_input[[#This Row],[Password]],aoc_02_input[[#This Row],[Char]])</f>
        <v>1</v>
      </c>
      <c r="I450" s="1">
        <f>IF(AND(aoc_02_input[[#This Row],[Int1]]&lt;=aoc_02_input[[#This Row],[CountOfChar]],aoc_02_input[[#This Row],[CountOfChar]]&lt;=aoc_02_input[[#This Row],[Int2]]),1,0)</f>
        <v>0</v>
      </c>
      <c r="J450" s="1" t="str">
        <f>MID(aoc_02_input[[#This Row],[Password]],aoc_02_input[[#This Row],[Int1]],1)</f>
        <v>g</v>
      </c>
      <c r="K450" s="1">
        <f>IF(aoc_02_input[[#This Row],[Pos1]]=aoc_02_input[[#This Row],[Char]],1,0)</f>
        <v>0</v>
      </c>
      <c r="L450" s="1" t="str">
        <f>MID(aoc_02_input[[#This Row],[Password]],aoc_02_input[[#This Row],[Int2]],1)</f>
        <v>r</v>
      </c>
      <c r="M450" s="1">
        <f>IF(aoc_02_input[[#This Row],[Pos2]]=aoc_02_input[[#This Row],[Char]],1,0)</f>
        <v>0</v>
      </c>
      <c r="N450" s="1">
        <f>IF(aoc_02_input[[#This Row],[Pos1Valid]]&lt;&gt;aoc_02_input[[#This Row],[Pos2Valid]],1,0)</f>
        <v>0</v>
      </c>
    </row>
    <row r="451" spans="1:14" x14ac:dyDescent="0.45">
      <c r="A451" s="1" t="s">
        <v>248</v>
      </c>
      <c r="B451" s="1" t="s">
        <v>213</v>
      </c>
      <c r="C451" s="1" t="s">
        <v>803</v>
      </c>
      <c r="D451" s="1">
        <f>FIND("-",aoc_02_input[[#This Row],[InputNumbers]])</f>
        <v>3</v>
      </c>
      <c r="E451" s="1">
        <f>_xlfn.NUMBERVALUE(LEFT(aoc_02_input[[#This Row],[InputNumbers]],aoc_02_input[[#This Row],[PosDash]]-1))</f>
        <v>11</v>
      </c>
      <c r="F451" s="1">
        <f>_xlfn.NUMBERVALUE(MID(aoc_02_input[[#This Row],[InputNumbers]],aoc_02_input[[#This Row],[PosDash]]+1,5))</f>
        <v>12</v>
      </c>
      <c r="G451" s="1" t="str">
        <f>LEFT(aoc_02_input[[#This Row],[InputChar]],1)</f>
        <v>m</v>
      </c>
      <c r="H451" s="1" cm="1">
        <f t="array" ref="H451">CountChar(aoc_02_input[[#This Row],[Password]],aoc_02_input[[#This Row],[Char]])</f>
        <v>11</v>
      </c>
      <c r="I451" s="1">
        <f>IF(AND(aoc_02_input[[#This Row],[Int1]]&lt;=aoc_02_input[[#This Row],[CountOfChar]],aoc_02_input[[#This Row],[CountOfChar]]&lt;=aoc_02_input[[#This Row],[Int2]]),1,0)</f>
        <v>1</v>
      </c>
      <c r="J451" s="1" t="str">
        <f>MID(aoc_02_input[[#This Row],[Password]],aoc_02_input[[#This Row],[Int1]],1)</f>
        <v>l</v>
      </c>
      <c r="K451" s="1">
        <f>IF(aoc_02_input[[#This Row],[Pos1]]=aoc_02_input[[#This Row],[Char]],1,0)</f>
        <v>0</v>
      </c>
      <c r="L451" s="1" t="str">
        <f>MID(aoc_02_input[[#This Row],[Password]],aoc_02_input[[#This Row],[Int2]],1)</f>
        <v>m</v>
      </c>
      <c r="M451" s="1">
        <f>IF(aoc_02_input[[#This Row],[Pos2]]=aoc_02_input[[#This Row],[Char]],1,0)</f>
        <v>1</v>
      </c>
      <c r="N451" s="1">
        <f>IF(aoc_02_input[[#This Row],[Pos1Valid]]&lt;&gt;aoc_02_input[[#This Row],[Pos2Valid]],1,0)</f>
        <v>1</v>
      </c>
    </row>
    <row r="452" spans="1:14" x14ac:dyDescent="0.45">
      <c r="A452" s="1" t="s">
        <v>224</v>
      </c>
      <c r="B452" s="1" t="s">
        <v>295</v>
      </c>
      <c r="C452" s="1" t="s">
        <v>804</v>
      </c>
      <c r="D452" s="1">
        <f>FIND("-",aoc_02_input[[#This Row],[InputNumbers]])</f>
        <v>2</v>
      </c>
      <c r="E452" s="1">
        <f>_xlfn.NUMBERVALUE(LEFT(aoc_02_input[[#This Row],[InputNumbers]],aoc_02_input[[#This Row],[PosDash]]-1))</f>
        <v>1</v>
      </c>
      <c r="F452" s="1">
        <f>_xlfn.NUMBERVALUE(MID(aoc_02_input[[#This Row],[InputNumbers]],aoc_02_input[[#This Row],[PosDash]]+1,5))</f>
        <v>5</v>
      </c>
      <c r="G452" s="1" t="str">
        <f>LEFT(aoc_02_input[[#This Row],[InputChar]],1)</f>
        <v>c</v>
      </c>
      <c r="H452" s="1" cm="1">
        <f t="array" ref="H452">CountChar(aoc_02_input[[#This Row],[Password]],aoc_02_input[[#This Row],[Char]])</f>
        <v>4</v>
      </c>
      <c r="I452" s="1">
        <f>IF(AND(aoc_02_input[[#This Row],[Int1]]&lt;=aoc_02_input[[#This Row],[CountOfChar]],aoc_02_input[[#This Row],[CountOfChar]]&lt;=aoc_02_input[[#This Row],[Int2]]),1,0)</f>
        <v>1</v>
      </c>
      <c r="J452" s="1" t="str">
        <f>MID(aoc_02_input[[#This Row],[Password]],aoc_02_input[[#This Row],[Int1]],1)</f>
        <v>p</v>
      </c>
      <c r="K452" s="1">
        <f>IF(aoc_02_input[[#This Row],[Pos1]]=aoc_02_input[[#This Row],[Char]],1,0)</f>
        <v>0</v>
      </c>
      <c r="L452" s="1" t="str">
        <f>MID(aoc_02_input[[#This Row],[Password]],aoc_02_input[[#This Row],[Int2]],1)</f>
        <v>c</v>
      </c>
      <c r="M452" s="1">
        <f>IF(aoc_02_input[[#This Row],[Pos2]]=aoc_02_input[[#This Row],[Char]],1,0)</f>
        <v>1</v>
      </c>
      <c r="N452" s="1">
        <f>IF(aoc_02_input[[#This Row],[Pos1Valid]]&lt;&gt;aoc_02_input[[#This Row],[Pos2Valid]],1,0)</f>
        <v>1</v>
      </c>
    </row>
    <row r="453" spans="1:14" x14ac:dyDescent="0.45">
      <c r="A453" s="1" t="s">
        <v>724</v>
      </c>
      <c r="B453" s="1" t="s">
        <v>219</v>
      </c>
      <c r="C453" s="1" t="s">
        <v>805</v>
      </c>
      <c r="D453" s="1">
        <f>FIND("-",aoc_02_input[[#This Row],[InputNumbers]])</f>
        <v>3</v>
      </c>
      <c r="E453" s="1">
        <f>_xlfn.NUMBERVALUE(LEFT(aoc_02_input[[#This Row],[InputNumbers]],aoc_02_input[[#This Row],[PosDash]]-1))</f>
        <v>12</v>
      </c>
      <c r="F453" s="1">
        <f>_xlfn.NUMBERVALUE(MID(aoc_02_input[[#This Row],[InputNumbers]],aoc_02_input[[#This Row],[PosDash]]+1,5))</f>
        <v>14</v>
      </c>
      <c r="G453" s="1" t="str">
        <f>LEFT(aoc_02_input[[#This Row],[InputChar]],1)</f>
        <v>g</v>
      </c>
      <c r="H453" s="1" cm="1">
        <f t="array" ref="H453">CountChar(aoc_02_input[[#This Row],[Password]],aoc_02_input[[#This Row],[Char]])</f>
        <v>5</v>
      </c>
      <c r="I453" s="1">
        <f>IF(AND(aoc_02_input[[#This Row],[Int1]]&lt;=aoc_02_input[[#This Row],[CountOfChar]],aoc_02_input[[#This Row],[CountOfChar]]&lt;=aoc_02_input[[#This Row],[Int2]]),1,0)</f>
        <v>0</v>
      </c>
      <c r="J453" s="1" t="str">
        <f>MID(aoc_02_input[[#This Row],[Password]],aoc_02_input[[#This Row],[Int1]],1)</f>
        <v>d</v>
      </c>
      <c r="K453" s="1">
        <f>IF(aoc_02_input[[#This Row],[Pos1]]=aoc_02_input[[#This Row],[Char]],1,0)</f>
        <v>0</v>
      </c>
      <c r="L453" s="1" t="str">
        <f>MID(aoc_02_input[[#This Row],[Password]],aoc_02_input[[#This Row],[Int2]],1)</f>
        <v>s</v>
      </c>
      <c r="M453" s="1">
        <f>IF(aoc_02_input[[#This Row],[Pos2]]=aoc_02_input[[#This Row],[Char]],1,0)</f>
        <v>0</v>
      </c>
      <c r="N453" s="1">
        <f>IF(aoc_02_input[[#This Row],[Pos1Valid]]&lt;&gt;aoc_02_input[[#This Row],[Pos2Valid]],1,0)</f>
        <v>0</v>
      </c>
    </row>
    <row r="454" spans="1:14" x14ac:dyDescent="0.45">
      <c r="A454" s="1" t="s">
        <v>232</v>
      </c>
      <c r="B454" s="1" t="s">
        <v>249</v>
      </c>
      <c r="C454" s="1" t="s">
        <v>806</v>
      </c>
      <c r="D454" s="1">
        <f>FIND("-",aoc_02_input[[#This Row],[InputNumbers]])</f>
        <v>2</v>
      </c>
      <c r="E454" s="1">
        <f>_xlfn.NUMBERVALUE(LEFT(aoc_02_input[[#This Row],[InputNumbers]],aoc_02_input[[#This Row],[PosDash]]-1))</f>
        <v>4</v>
      </c>
      <c r="F454" s="1">
        <f>_xlfn.NUMBERVALUE(MID(aoc_02_input[[#This Row],[InputNumbers]],aoc_02_input[[#This Row],[PosDash]]+1,5))</f>
        <v>6</v>
      </c>
      <c r="G454" s="1" t="str">
        <f>LEFT(aoc_02_input[[#This Row],[InputChar]],1)</f>
        <v>q</v>
      </c>
      <c r="H454" s="1" cm="1">
        <f t="array" ref="H454">CountChar(aoc_02_input[[#This Row],[Password]],aoc_02_input[[#This Row],[Char]])</f>
        <v>2</v>
      </c>
      <c r="I454" s="1">
        <f>IF(AND(aoc_02_input[[#This Row],[Int1]]&lt;=aoc_02_input[[#This Row],[CountOfChar]],aoc_02_input[[#This Row],[CountOfChar]]&lt;=aoc_02_input[[#This Row],[Int2]]),1,0)</f>
        <v>0</v>
      </c>
      <c r="J454" s="1" t="str">
        <f>MID(aoc_02_input[[#This Row],[Password]],aoc_02_input[[#This Row],[Int1]],1)</f>
        <v>h</v>
      </c>
      <c r="K454" s="1">
        <f>IF(aoc_02_input[[#This Row],[Pos1]]=aoc_02_input[[#This Row],[Char]],1,0)</f>
        <v>0</v>
      </c>
      <c r="L454" s="1" t="str">
        <f>MID(aoc_02_input[[#This Row],[Password]],aoc_02_input[[#This Row],[Int2]],1)</f>
        <v>r</v>
      </c>
      <c r="M454" s="1">
        <f>IF(aoc_02_input[[#This Row],[Pos2]]=aoc_02_input[[#This Row],[Char]],1,0)</f>
        <v>0</v>
      </c>
      <c r="N454" s="1">
        <f>IF(aoc_02_input[[#This Row],[Pos1Valid]]&lt;&gt;aoc_02_input[[#This Row],[Pos2Valid]],1,0)</f>
        <v>0</v>
      </c>
    </row>
    <row r="455" spans="1:14" x14ac:dyDescent="0.45">
      <c r="A455" s="1" t="s">
        <v>256</v>
      </c>
      <c r="B455" s="1" t="s">
        <v>254</v>
      </c>
      <c r="C455" s="1" t="s">
        <v>807</v>
      </c>
      <c r="D455" s="1">
        <f>FIND("-",aoc_02_input[[#This Row],[InputNumbers]])</f>
        <v>2</v>
      </c>
      <c r="E455" s="1">
        <f>_xlfn.NUMBERVALUE(LEFT(aoc_02_input[[#This Row],[InputNumbers]],aoc_02_input[[#This Row],[PosDash]]-1))</f>
        <v>5</v>
      </c>
      <c r="F455" s="1">
        <f>_xlfn.NUMBERVALUE(MID(aoc_02_input[[#This Row],[InputNumbers]],aoc_02_input[[#This Row],[PosDash]]+1,5))</f>
        <v>7</v>
      </c>
      <c r="G455" s="1" t="str">
        <f>LEFT(aoc_02_input[[#This Row],[InputChar]],1)</f>
        <v>k</v>
      </c>
      <c r="H455" s="1" cm="1">
        <f t="array" ref="H455">CountChar(aoc_02_input[[#This Row],[Password]],aoc_02_input[[#This Row],[Char]])</f>
        <v>5</v>
      </c>
      <c r="I455" s="1">
        <f>IF(AND(aoc_02_input[[#This Row],[Int1]]&lt;=aoc_02_input[[#This Row],[CountOfChar]],aoc_02_input[[#This Row],[CountOfChar]]&lt;=aoc_02_input[[#This Row],[Int2]]),1,0)</f>
        <v>1</v>
      </c>
      <c r="J455" s="1" t="str">
        <f>MID(aoc_02_input[[#This Row],[Password]],aoc_02_input[[#This Row],[Int1]],1)</f>
        <v>z</v>
      </c>
      <c r="K455" s="1">
        <f>IF(aoc_02_input[[#This Row],[Pos1]]=aoc_02_input[[#This Row],[Char]],1,0)</f>
        <v>0</v>
      </c>
      <c r="L455" s="1" t="str">
        <f>MID(aoc_02_input[[#This Row],[Password]],aoc_02_input[[#This Row],[Int2]],1)</f>
        <v>k</v>
      </c>
      <c r="M455" s="1">
        <f>IF(aoc_02_input[[#This Row],[Pos2]]=aoc_02_input[[#This Row],[Char]],1,0)</f>
        <v>1</v>
      </c>
      <c r="N455" s="1">
        <f>IF(aoc_02_input[[#This Row],[Pos1Valid]]&lt;&gt;aoc_02_input[[#This Row],[Pos2Valid]],1,0)</f>
        <v>1</v>
      </c>
    </row>
    <row r="456" spans="1:14" x14ac:dyDescent="0.45">
      <c r="A456" s="1" t="s">
        <v>288</v>
      </c>
      <c r="B456" s="1" t="s">
        <v>246</v>
      </c>
      <c r="C456" s="1" t="s">
        <v>808</v>
      </c>
      <c r="D456" s="1">
        <f>FIND("-",aoc_02_input[[#This Row],[InputNumbers]])</f>
        <v>2</v>
      </c>
      <c r="E456" s="1">
        <f>_xlfn.NUMBERVALUE(LEFT(aoc_02_input[[#This Row],[InputNumbers]],aoc_02_input[[#This Row],[PosDash]]-1))</f>
        <v>1</v>
      </c>
      <c r="F456" s="1">
        <f>_xlfn.NUMBERVALUE(MID(aoc_02_input[[#This Row],[InputNumbers]],aoc_02_input[[#This Row],[PosDash]]+1,5))</f>
        <v>4</v>
      </c>
      <c r="G456" s="1" t="str">
        <f>LEFT(aoc_02_input[[#This Row],[InputChar]],1)</f>
        <v>n</v>
      </c>
      <c r="H456" s="1" cm="1">
        <f t="array" ref="H456">CountChar(aoc_02_input[[#This Row],[Password]],aoc_02_input[[#This Row],[Char]])</f>
        <v>2</v>
      </c>
      <c r="I456" s="1">
        <f>IF(AND(aoc_02_input[[#This Row],[Int1]]&lt;=aoc_02_input[[#This Row],[CountOfChar]],aoc_02_input[[#This Row],[CountOfChar]]&lt;=aoc_02_input[[#This Row],[Int2]]),1,0)</f>
        <v>1</v>
      </c>
      <c r="J456" s="1" t="str">
        <f>MID(aoc_02_input[[#This Row],[Password]],aoc_02_input[[#This Row],[Int1]],1)</f>
        <v>n</v>
      </c>
      <c r="K456" s="1">
        <f>IF(aoc_02_input[[#This Row],[Pos1]]=aoc_02_input[[#This Row],[Char]],1,0)</f>
        <v>1</v>
      </c>
      <c r="L456" s="1" t="str">
        <f>MID(aoc_02_input[[#This Row],[Password]],aoc_02_input[[#This Row],[Int2]],1)</f>
        <v>m</v>
      </c>
      <c r="M456" s="1">
        <f>IF(aoc_02_input[[#This Row],[Pos2]]=aoc_02_input[[#This Row],[Char]],1,0)</f>
        <v>0</v>
      </c>
      <c r="N456" s="1">
        <f>IF(aoc_02_input[[#This Row],[Pos1Valid]]&lt;&gt;aoc_02_input[[#This Row],[Pos2Valid]],1,0)</f>
        <v>1</v>
      </c>
    </row>
    <row r="457" spans="1:14" x14ac:dyDescent="0.45">
      <c r="A457" s="1" t="s">
        <v>307</v>
      </c>
      <c r="B457" s="1" t="s">
        <v>213</v>
      </c>
      <c r="C457" s="1" t="s">
        <v>809</v>
      </c>
      <c r="D457" s="1">
        <f>FIND("-",aoc_02_input[[#This Row],[InputNumbers]])</f>
        <v>2</v>
      </c>
      <c r="E457" s="1">
        <f>_xlfn.NUMBERVALUE(LEFT(aoc_02_input[[#This Row],[InputNumbers]],aoc_02_input[[#This Row],[PosDash]]-1))</f>
        <v>3</v>
      </c>
      <c r="F457" s="1">
        <f>_xlfn.NUMBERVALUE(MID(aoc_02_input[[#This Row],[InputNumbers]],aoc_02_input[[#This Row],[PosDash]]+1,5))</f>
        <v>5</v>
      </c>
      <c r="G457" s="1" t="str">
        <f>LEFT(aoc_02_input[[#This Row],[InputChar]],1)</f>
        <v>m</v>
      </c>
      <c r="H457" s="1" cm="1">
        <f t="array" ref="H457">CountChar(aoc_02_input[[#This Row],[Password]],aoc_02_input[[#This Row],[Char]])</f>
        <v>5</v>
      </c>
      <c r="I457" s="1">
        <f>IF(AND(aoc_02_input[[#This Row],[Int1]]&lt;=aoc_02_input[[#This Row],[CountOfChar]],aoc_02_input[[#This Row],[CountOfChar]]&lt;=aoc_02_input[[#This Row],[Int2]]),1,0)</f>
        <v>1</v>
      </c>
      <c r="J457" s="1" t="str">
        <f>MID(aoc_02_input[[#This Row],[Password]],aoc_02_input[[#This Row],[Int1]],1)</f>
        <v>m</v>
      </c>
      <c r="K457" s="1">
        <f>IF(aoc_02_input[[#This Row],[Pos1]]=aoc_02_input[[#This Row],[Char]],1,0)</f>
        <v>1</v>
      </c>
      <c r="L457" s="1" t="str">
        <f>MID(aoc_02_input[[#This Row],[Password]],aoc_02_input[[#This Row],[Int2]],1)</f>
        <v>m</v>
      </c>
      <c r="M457" s="1">
        <f>IF(aoc_02_input[[#This Row],[Pos2]]=aoc_02_input[[#This Row],[Char]],1,0)</f>
        <v>1</v>
      </c>
      <c r="N457" s="1">
        <f>IF(aoc_02_input[[#This Row],[Pos1Valid]]&lt;&gt;aoc_02_input[[#This Row],[Pos2Valid]],1,0)</f>
        <v>0</v>
      </c>
    </row>
    <row r="458" spans="1:14" x14ac:dyDescent="0.45">
      <c r="A458" s="1" t="s">
        <v>365</v>
      </c>
      <c r="B458" s="1" t="s">
        <v>225</v>
      </c>
      <c r="C458" s="1" t="s">
        <v>810</v>
      </c>
      <c r="D458" s="1">
        <f>FIND("-",aoc_02_input[[#This Row],[InputNumbers]])</f>
        <v>2</v>
      </c>
      <c r="E458" s="1">
        <f>_xlfn.NUMBERVALUE(LEFT(aoc_02_input[[#This Row],[InputNumbers]],aoc_02_input[[#This Row],[PosDash]]-1))</f>
        <v>6</v>
      </c>
      <c r="F458" s="1">
        <f>_xlfn.NUMBERVALUE(MID(aoc_02_input[[#This Row],[InputNumbers]],aoc_02_input[[#This Row],[PosDash]]+1,5))</f>
        <v>9</v>
      </c>
      <c r="G458" s="1" t="str">
        <f>LEFT(aoc_02_input[[#This Row],[InputChar]],1)</f>
        <v>j</v>
      </c>
      <c r="H458" s="1" cm="1">
        <f t="array" ref="H458">CountChar(aoc_02_input[[#This Row],[Password]],aoc_02_input[[#This Row],[Char]])</f>
        <v>6</v>
      </c>
      <c r="I458" s="1">
        <f>IF(AND(aoc_02_input[[#This Row],[Int1]]&lt;=aoc_02_input[[#This Row],[CountOfChar]],aoc_02_input[[#This Row],[CountOfChar]]&lt;=aoc_02_input[[#This Row],[Int2]]),1,0)</f>
        <v>1</v>
      </c>
      <c r="J458" s="1" t="str">
        <f>MID(aoc_02_input[[#This Row],[Password]],aoc_02_input[[#This Row],[Int1]],1)</f>
        <v>j</v>
      </c>
      <c r="K458" s="1">
        <f>IF(aoc_02_input[[#This Row],[Pos1]]=aoc_02_input[[#This Row],[Char]],1,0)</f>
        <v>1</v>
      </c>
      <c r="L458" s="1" t="str">
        <f>MID(aoc_02_input[[#This Row],[Password]],aoc_02_input[[#This Row],[Int2]],1)</f>
        <v>v</v>
      </c>
      <c r="M458" s="1">
        <f>IF(aoc_02_input[[#This Row],[Pos2]]=aoc_02_input[[#This Row],[Char]],1,0)</f>
        <v>0</v>
      </c>
      <c r="N458" s="1">
        <f>IF(aoc_02_input[[#This Row],[Pos1Valid]]&lt;&gt;aoc_02_input[[#This Row],[Pos2Valid]],1,0)</f>
        <v>1</v>
      </c>
    </row>
    <row r="459" spans="1:14" x14ac:dyDescent="0.45">
      <c r="A459" s="1" t="s">
        <v>311</v>
      </c>
      <c r="B459" s="1" t="s">
        <v>278</v>
      </c>
      <c r="C459" s="1" t="s">
        <v>811</v>
      </c>
      <c r="D459" s="1">
        <f>FIND("-",aoc_02_input[[#This Row],[InputNumbers]])</f>
        <v>2</v>
      </c>
      <c r="E459" s="1">
        <f>_xlfn.NUMBERVALUE(LEFT(aoc_02_input[[#This Row],[InputNumbers]],aoc_02_input[[#This Row],[PosDash]]-1))</f>
        <v>3</v>
      </c>
      <c r="F459" s="1">
        <f>_xlfn.NUMBERVALUE(MID(aoc_02_input[[#This Row],[InputNumbers]],aoc_02_input[[#This Row],[PosDash]]+1,5))</f>
        <v>6</v>
      </c>
      <c r="G459" s="1" t="str">
        <f>LEFT(aoc_02_input[[#This Row],[InputChar]],1)</f>
        <v>x</v>
      </c>
      <c r="H459" s="1" cm="1">
        <f t="array" ref="H459">CountChar(aoc_02_input[[#This Row],[Password]],aoc_02_input[[#This Row],[Char]])</f>
        <v>7</v>
      </c>
      <c r="I459" s="1">
        <f>IF(AND(aoc_02_input[[#This Row],[Int1]]&lt;=aoc_02_input[[#This Row],[CountOfChar]],aoc_02_input[[#This Row],[CountOfChar]]&lt;=aoc_02_input[[#This Row],[Int2]]),1,0)</f>
        <v>0</v>
      </c>
      <c r="J459" s="1" t="str">
        <f>MID(aoc_02_input[[#This Row],[Password]],aoc_02_input[[#This Row],[Int1]],1)</f>
        <v>x</v>
      </c>
      <c r="K459" s="1">
        <f>IF(aoc_02_input[[#This Row],[Pos1]]=aoc_02_input[[#This Row],[Char]],1,0)</f>
        <v>1</v>
      </c>
      <c r="L459" s="1" t="str">
        <f>MID(aoc_02_input[[#This Row],[Password]],aoc_02_input[[#This Row],[Int2]],1)</f>
        <v>w</v>
      </c>
      <c r="M459" s="1">
        <f>IF(aoc_02_input[[#This Row],[Pos2]]=aoc_02_input[[#This Row],[Char]],1,0)</f>
        <v>0</v>
      </c>
      <c r="N459" s="1">
        <f>IF(aoc_02_input[[#This Row],[Pos1Valid]]&lt;&gt;aoc_02_input[[#This Row],[Pos2Valid]],1,0)</f>
        <v>1</v>
      </c>
    </row>
    <row r="460" spans="1:14" x14ac:dyDescent="0.45">
      <c r="A460" s="1" t="s">
        <v>443</v>
      </c>
      <c r="B460" s="1" t="s">
        <v>295</v>
      </c>
      <c r="C460" s="1" t="s">
        <v>812</v>
      </c>
      <c r="D460" s="1">
        <f>FIND("-",aoc_02_input[[#This Row],[InputNumbers]])</f>
        <v>3</v>
      </c>
      <c r="E460" s="1">
        <f>_xlfn.NUMBERVALUE(LEFT(aoc_02_input[[#This Row],[InputNumbers]],aoc_02_input[[#This Row],[PosDash]]-1))</f>
        <v>10</v>
      </c>
      <c r="F460" s="1">
        <f>_xlfn.NUMBERVALUE(MID(aoc_02_input[[#This Row],[InputNumbers]],aoc_02_input[[#This Row],[PosDash]]+1,5))</f>
        <v>16</v>
      </c>
      <c r="G460" s="1" t="str">
        <f>LEFT(aoc_02_input[[#This Row],[InputChar]],1)</f>
        <v>c</v>
      </c>
      <c r="H460" s="1" cm="1">
        <f t="array" ref="H460">CountChar(aoc_02_input[[#This Row],[Password]],aoc_02_input[[#This Row],[Char]])</f>
        <v>15</v>
      </c>
      <c r="I460" s="1">
        <f>IF(AND(aoc_02_input[[#This Row],[Int1]]&lt;=aoc_02_input[[#This Row],[CountOfChar]],aoc_02_input[[#This Row],[CountOfChar]]&lt;=aoc_02_input[[#This Row],[Int2]]),1,0)</f>
        <v>1</v>
      </c>
      <c r="J460" s="1" t="str">
        <f>MID(aoc_02_input[[#This Row],[Password]],aoc_02_input[[#This Row],[Int1]],1)</f>
        <v>c</v>
      </c>
      <c r="K460" s="1">
        <f>IF(aoc_02_input[[#This Row],[Pos1]]=aoc_02_input[[#This Row],[Char]],1,0)</f>
        <v>1</v>
      </c>
      <c r="L460" s="1" t="str">
        <f>MID(aoc_02_input[[#This Row],[Password]],aoc_02_input[[#This Row],[Int2]],1)</f>
        <v>c</v>
      </c>
      <c r="M460" s="1">
        <f>IF(aoc_02_input[[#This Row],[Pos2]]=aoc_02_input[[#This Row],[Char]],1,0)</f>
        <v>1</v>
      </c>
      <c r="N460" s="1">
        <f>IF(aoc_02_input[[#This Row],[Pos1Valid]]&lt;&gt;aoc_02_input[[#This Row],[Pos2Valid]],1,0)</f>
        <v>0</v>
      </c>
    </row>
    <row r="461" spans="1:14" x14ac:dyDescent="0.45">
      <c r="A461" s="1" t="s">
        <v>316</v>
      </c>
      <c r="B461" s="1" t="s">
        <v>246</v>
      </c>
      <c r="C461" s="1" t="s">
        <v>813</v>
      </c>
      <c r="D461" s="1">
        <f>FIND("-",aoc_02_input[[#This Row],[InputNumbers]])</f>
        <v>2</v>
      </c>
      <c r="E461" s="1">
        <f>_xlfn.NUMBERVALUE(LEFT(aoc_02_input[[#This Row],[InputNumbers]],aoc_02_input[[#This Row],[PosDash]]-1))</f>
        <v>1</v>
      </c>
      <c r="F461" s="1">
        <f>_xlfn.NUMBERVALUE(MID(aoc_02_input[[#This Row],[InputNumbers]],aoc_02_input[[#This Row],[PosDash]]+1,5))</f>
        <v>6</v>
      </c>
      <c r="G461" s="1" t="str">
        <f>LEFT(aoc_02_input[[#This Row],[InputChar]],1)</f>
        <v>n</v>
      </c>
      <c r="H461" s="1" cm="1">
        <f t="array" ref="H461">CountChar(aoc_02_input[[#This Row],[Password]],aoc_02_input[[#This Row],[Char]])</f>
        <v>1</v>
      </c>
      <c r="I461" s="1">
        <f>IF(AND(aoc_02_input[[#This Row],[Int1]]&lt;=aoc_02_input[[#This Row],[CountOfChar]],aoc_02_input[[#This Row],[CountOfChar]]&lt;=aoc_02_input[[#This Row],[Int2]]),1,0)</f>
        <v>1</v>
      </c>
      <c r="J461" s="1" t="str">
        <f>MID(aoc_02_input[[#This Row],[Password]],aoc_02_input[[#This Row],[Int1]],1)</f>
        <v>x</v>
      </c>
      <c r="K461" s="1">
        <f>IF(aoc_02_input[[#This Row],[Pos1]]=aoc_02_input[[#This Row],[Char]],1,0)</f>
        <v>0</v>
      </c>
      <c r="L461" s="1" t="str">
        <f>MID(aoc_02_input[[#This Row],[Password]],aoc_02_input[[#This Row],[Int2]],1)</f>
        <v>m</v>
      </c>
      <c r="M461" s="1">
        <f>IF(aoc_02_input[[#This Row],[Pos2]]=aoc_02_input[[#This Row],[Char]],1,0)</f>
        <v>0</v>
      </c>
      <c r="N461" s="1">
        <f>IF(aoc_02_input[[#This Row],[Pos1Valid]]&lt;&gt;aoc_02_input[[#This Row],[Pos2Valid]],1,0)</f>
        <v>0</v>
      </c>
    </row>
    <row r="462" spans="1:14" x14ac:dyDescent="0.45">
      <c r="A462" s="1" t="s">
        <v>392</v>
      </c>
      <c r="B462" s="1" t="s">
        <v>243</v>
      </c>
      <c r="C462" s="1" t="s">
        <v>814</v>
      </c>
      <c r="D462" s="1">
        <f>FIND("-",aoc_02_input[[#This Row],[InputNumbers]])</f>
        <v>2</v>
      </c>
      <c r="E462" s="1">
        <f>_xlfn.NUMBERVALUE(LEFT(aoc_02_input[[#This Row],[InputNumbers]],aoc_02_input[[#This Row],[PosDash]]-1))</f>
        <v>8</v>
      </c>
      <c r="F462" s="1">
        <f>_xlfn.NUMBERVALUE(MID(aoc_02_input[[#This Row],[InputNumbers]],aoc_02_input[[#This Row],[PosDash]]+1,5))</f>
        <v>9</v>
      </c>
      <c r="G462" s="1" t="str">
        <f>LEFT(aoc_02_input[[#This Row],[InputChar]],1)</f>
        <v>f</v>
      </c>
      <c r="H462" s="1" cm="1">
        <f t="array" ref="H462">CountChar(aoc_02_input[[#This Row],[Password]],aoc_02_input[[#This Row],[Char]])</f>
        <v>7</v>
      </c>
      <c r="I462" s="1">
        <f>IF(AND(aoc_02_input[[#This Row],[Int1]]&lt;=aoc_02_input[[#This Row],[CountOfChar]],aoc_02_input[[#This Row],[CountOfChar]]&lt;=aoc_02_input[[#This Row],[Int2]]),1,0)</f>
        <v>0</v>
      </c>
      <c r="J462" s="1" t="str">
        <f>MID(aoc_02_input[[#This Row],[Password]],aoc_02_input[[#This Row],[Int1]],1)</f>
        <v>h</v>
      </c>
      <c r="K462" s="1">
        <f>IF(aoc_02_input[[#This Row],[Pos1]]=aoc_02_input[[#This Row],[Char]],1,0)</f>
        <v>0</v>
      </c>
      <c r="L462" s="1" t="str">
        <f>MID(aoc_02_input[[#This Row],[Password]],aoc_02_input[[#This Row],[Int2]],1)</f>
        <v>v</v>
      </c>
      <c r="M462" s="1">
        <f>IF(aoc_02_input[[#This Row],[Pos2]]=aoc_02_input[[#This Row],[Char]],1,0)</f>
        <v>0</v>
      </c>
      <c r="N462" s="1">
        <f>IF(aoc_02_input[[#This Row],[Pos1Valid]]&lt;&gt;aoc_02_input[[#This Row],[Pos2Valid]],1,0)</f>
        <v>0</v>
      </c>
    </row>
    <row r="463" spans="1:14" x14ac:dyDescent="0.45">
      <c r="A463" s="1" t="s">
        <v>251</v>
      </c>
      <c r="B463" s="1" t="s">
        <v>252</v>
      </c>
      <c r="C463" s="1" t="s">
        <v>815</v>
      </c>
      <c r="D463" s="1">
        <f>FIND("-",aoc_02_input[[#This Row],[InputNumbers]])</f>
        <v>2</v>
      </c>
      <c r="E463" s="1">
        <f>_xlfn.NUMBERVALUE(LEFT(aoc_02_input[[#This Row],[InputNumbers]],aoc_02_input[[#This Row],[PosDash]]-1))</f>
        <v>5</v>
      </c>
      <c r="F463" s="1">
        <f>_xlfn.NUMBERVALUE(MID(aoc_02_input[[#This Row],[InputNumbers]],aoc_02_input[[#This Row],[PosDash]]+1,5))</f>
        <v>6</v>
      </c>
      <c r="G463" s="1" t="str">
        <f>LEFT(aoc_02_input[[#This Row],[InputChar]],1)</f>
        <v>p</v>
      </c>
      <c r="H463" s="1" cm="1">
        <f t="array" ref="H463">CountChar(aoc_02_input[[#This Row],[Password]],aoc_02_input[[#This Row],[Char]])</f>
        <v>4</v>
      </c>
      <c r="I463" s="1">
        <f>IF(AND(aoc_02_input[[#This Row],[Int1]]&lt;=aoc_02_input[[#This Row],[CountOfChar]],aoc_02_input[[#This Row],[CountOfChar]]&lt;=aoc_02_input[[#This Row],[Int2]]),1,0)</f>
        <v>0</v>
      </c>
      <c r="J463" s="1" t="str">
        <f>MID(aoc_02_input[[#This Row],[Password]],aoc_02_input[[#This Row],[Int1]],1)</f>
        <v>p</v>
      </c>
      <c r="K463" s="1">
        <f>IF(aoc_02_input[[#This Row],[Pos1]]=aoc_02_input[[#This Row],[Char]],1,0)</f>
        <v>1</v>
      </c>
      <c r="L463" s="1" t="str">
        <f>MID(aoc_02_input[[#This Row],[Password]],aoc_02_input[[#This Row],[Int2]],1)</f>
        <v>p</v>
      </c>
      <c r="M463" s="1">
        <f>IF(aoc_02_input[[#This Row],[Pos2]]=aoc_02_input[[#This Row],[Char]],1,0)</f>
        <v>1</v>
      </c>
      <c r="N463" s="1">
        <f>IF(aoc_02_input[[#This Row],[Pos1Valid]]&lt;&gt;aoc_02_input[[#This Row],[Pos2Valid]],1,0)</f>
        <v>0</v>
      </c>
    </row>
    <row r="464" spans="1:14" x14ac:dyDescent="0.45">
      <c r="A464" s="1" t="s">
        <v>458</v>
      </c>
      <c r="B464" s="1" t="s">
        <v>207</v>
      </c>
      <c r="C464" s="1" t="s">
        <v>816</v>
      </c>
      <c r="D464" s="1">
        <f>FIND("-",aoc_02_input[[#This Row],[InputNumbers]])</f>
        <v>2</v>
      </c>
      <c r="E464" s="1">
        <f>_xlfn.NUMBERVALUE(LEFT(aoc_02_input[[#This Row],[InputNumbers]],aoc_02_input[[#This Row],[PosDash]]-1))</f>
        <v>9</v>
      </c>
      <c r="F464" s="1">
        <f>_xlfn.NUMBERVALUE(MID(aoc_02_input[[#This Row],[InputNumbers]],aoc_02_input[[#This Row],[PosDash]]+1,5))</f>
        <v>12</v>
      </c>
      <c r="G464" s="1" t="str">
        <f>LEFT(aoc_02_input[[#This Row],[InputChar]],1)</f>
        <v>b</v>
      </c>
      <c r="H464" s="1" cm="1">
        <f t="array" ref="H464">CountChar(aoc_02_input[[#This Row],[Password]],aoc_02_input[[#This Row],[Char]])</f>
        <v>8</v>
      </c>
      <c r="I464" s="1">
        <f>IF(AND(aoc_02_input[[#This Row],[Int1]]&lt;=aoc_02_input[[#This Row],[CountOfChar]],aoc_02_input[[#This Row],[CountOfChar]]&lt;=aoc_02_input[[#This Row],[Int2]]),1,0)</f>
        <v>0</v>
      </c>
      <c r="J464" s="1" t="str">
        <f>MID(aoc_02_input[[#This Row],[Password]],aoc_02_input[[#This Row],[Int1]],1)</f>
        <v>p</v>
      </c>
      <c r="K464" s="1">
        <f>IF(aoc_02_input[[#This Row],[Pos1]]=aoc_02_input[[#This Row],[Char]],1,0)</f>
        <v>0</v>
      </c>
      <c r="L464" s="1" t="str">
        <f>MID(aoc_02_input[[#This Row],[Password]],aoc_02_input[[#This Row],[Int2]],1)</f>
        <v>b</v>
      </c>
      <c r="M464" s="1">
        <f>IF(aoc_02_input[[#This Row],[Pos2]]=aoc_02_input[[#This Row],[Char]],1,0)</f>
        <v>1</v>
      </c>
      <c r="N464" s="1">
        <f>IF(aoc_02_input[[#This Row],[Pos1Valid]]&lt;&gt;aoc_02_input[[#This Row],[Pos2Valid]],1,0)</f>
        <v>1</v>
      </c>
    </row>
    <row r="465" spans="1:14" x14ac:dyDescent="0.45">
      <c r="A465" s="1" t="s">
        <v>283</v>
      </c>
      <c r="B465" s="1" t="s">
        <v>265</v>
      </c>
      <c r="C465" s="1" t="s">
        <v>817</v>
      </c>
      <c r="D465" s="1">
        <f>FIND("-",aoc_02_input[[#This Row],[InputNumbers]])</f>
        <v>2</v>
      </c>
      <c r="E465" s="1">
        <f>_xlfn.NUMBERVALUE(LEFT(aoc_02_input[[#This Row],[InputNumbers]],aoc_02_input[[#This Row],[PosDash]]-1))</f>
        <v>3</v>
      </c>
      <c r="F465" s="1">
        <f>_xlfn.NUMBERVALUE(MID(aoc_02_input[[#This Row],[InputNumbers]],aoc_02_input[[#This Row],[PosDash]]+1,5))</f>
        <v>4</v>
      </c>
      <c r="G465" s="1" t="str">
        <f>LEFT(aoc_02_input[[#This Row],[InputChar]],1)</f>
        <v>r</v>
      </c>
      <c r="H465" s="1" cm="1">
        <f t="array" ref="H465">CountChar(aoc_02_input[[#This Row],[Password]],aoc_02_input[[#This Row],[Char]])</f>
        <v>1</v>
      </c>
      <c r="I465" s="1">
        <f>IF(AND(aoc_02_input[[#This Row],[Int1]]&lt;=aoc_02_input[[#This Row],[CountOfChar]],aoc_02_input[[#This Row],[CountOfChar]]&lt;=aoc_02_input[[#This Row],[Int2]]),1,0)</f>
        <v>0</v>
      </c>
      <c r="J465" s="1" t="str">
        <f>MID(aoc_02_input[[#This Row],[Password]],aoc_02_input[[#This Row],[Int1]],1)</f>
        <v>p</v>
      </c>
      <c r="K465" s="1">
        <f>IF(aoc_02_input[[#This Row],[Pos1]]=aoc_02_input[[#This Row],[Char]],1,0)</f>
        <v>0</v>
      </c>
      <c r="L465" s="1" t="str">
        <f>MID(aoc_02_input[[#This Row],[Password]],aoc_02_input[[#This Row],[Int2]],1)</f>
        <v>k</v>
      </c>
      <c r="M465" s="1">
        <f>IF(aoc_02_input[[#This Row],[Pos2]]=aoc_02_input[[#This Row],[Char]],1,0)</f>
        <v>0</v>
      </c>
      <c r="N465" s="1">
        <f>IF(aoc_02_input[[#This Row],[Pos1Valid]]&lt;&gt;aoc_02_input[[#This Row],[Pos2Valid]],1,0)</f>
        <v>0</v>
      </c>
    </row>
    <row r="466" spans="1:14" x14ac:dyDescent="0.45">
      <c r="A466" s="1" t="s">
        <v>818</v>
      </c>
      <c r="B466" s="1" t="s">
        <v>305</v>
      </c>
      <c r="C466" s="1" t="s">
        <v>819</v>
      </c>
      <c r="D466" s="1">
        <f>FIND("-",aoc_02_input[[#This Row],[InputNumbers]])</f>
        <v>2</v>
      </c>
      <c r="E466" s="1">
        <f>_xlfn.NUMBERVALUE(LEFT(aoc_02_input[[#This Row],[InputNumbers]],aoc_02_input[[#This Row],[PosDash]]-1))</f>
        <v>4</v>
      </c>
      <c r="F466" s="1">
        <f>_xlfn.NUMBERVALUE(MID(aoc_02_input[[#This Row],[InputNumbers]],aoc_02_input[[#This Row],[PosDash]]+1,5))</f>
        <v>15</v>
      </c>
      <c r="G466" s="1" t="str">
        <f>LEFT(aoc_02_input[[#This Row],[InputChar]],1)</f>
        <v>s</v>
      </c>
      <c r="H466" s="1" cm="1">
        <f t="array" ref="H466">CountChar(aoc_02_input[[#This Row],[Password]],aoc_02_input[[#This Row],[Char]])</f>
        <v>11</v>
      </c>
      <c r="I466" s="1">
        <f>IF(AND(aoc_02_input[[#This Row],[Int1]]&lt;=aoc_02_input[[#This Row],[CountOfChar]],aoc_02_input[[#This Row],[CountOfChar]]&lt;=aoc_02_input[[#This Row],[Int2]]),1,0)</f>
        <v>1</v>
      </c>
      <c r="J466" s="1" t="str">
        <f>MID(aoc_02_input[[#This Row],[Password]],aoc_02_input[[#This Row],[Int1]],1)</f>
        <v>s</v>
      </c>
      <c r="K466" s="1">
        <f>IF(aoc_02_input[[#This Row],[Pos1]]=aoc_02_input[[#This Row],[Char]],1,0)</f>
        <v>1</v>
      </c>
      <c r="L466" s="1" t="str">
        <f>MID(aoc_02_input[[#This Row],[Password]],aoc_02_input[[#This Row],[Int2]],1)</f>
        <v>s</v>
      </c>
      <c r="M466" s="1">
        <f>IF(aoc_02_input[[#This Row],[Pos2]]=aoc_02_input[[#This Row],[Char]],1,0)</f>
        <v>1</v>
      </c>
      <c r="N466" s="1">
        <f>IF(aoc_02_input[[#This Row],[Pos1Valid]]&lt;&gt;aoc_02_input[[#This Row],[Pos2Valid]],1,0)</f>
        <v>0</v>
      </c>
    </row>
    <row r="467" spans="1:14" x14ac:dyDescent="0.45">
      <c r="A467" s="1" t="s">
        <v>288</v>
      </c>
      <c r="B467" s="1" t="s">
        <v>254</v>
      </c>
      <c r="C467" s="1" t="s">
        <v>820</v>
      </c>
      <c r="D467" s="1">
        <f>FIND("-",aoc_02_input[[#This Row],[InputNumbers]])</f>
        <v>2</v>
      </c>
      <c r="E467" s="1">
        <f>_xlfn.NUMBERVALUE(LEFT(aoc_02_input[[#This Row],[InputNumbers]],aoc_02_input[[#This Row],[PosDash]]-1))</f>
        <v>1</v>
      </c>
      <c r="F467" s="1">
        <f>_xlfn.NUMBERVALUE(MID(aoc_02_input[[#This Row],[InputNumbers]],aoc_02_input[[#This Row],[PosDash]]+1,5))</f>
        <v>4</v>
      </c>
      <c r="G467" s="1" t="str">
        <f>LEFT(aoc_02_input[[#This Row],[InputChar]],1)</f>
        <v>k</v>
      </c>
      <c r="H467" s="1" cm="1">
        <f t="array" ref="H467">CountChar(aoc_02_input[[#This Row],[Password]],aoc_02_input[[#This Row],[Char]])</f>
        <v>3</v>
      </c>
      <c r="I467" s="1">
        <f>IF(AND(aoc_02_input[[#This Row],[Int1]]&lt;=aoc_02_input[[#This Row],[CountOfChar]],aoc_02_input[[#This Row],[CountOfChar]]&lt;=aoc_02_input[[#This Row],[Int2]]),1,0)</f>
        <v>1</v>
      </c>
      <c r="J467" s="1" t="str">
        <f>MID(aoc_02_input[[#This Row],[Password]],aoc_02_input[[#This Row],[Int1]],1)</f>
        <v>k</v>
      </c>
      <c r="K467" s="1">
        <f>IF(aoc_02_input[[#This Row],[Pos1]]=aoc_02_input[[#This Row],[Char]],1,0)</f>
        <v>1</v>
      </c>
      <c r="L467" s="1" t="str">
        <f>MID(aoc_02_input[[#This Row],[Password]],aoc_02_input[[#This Row],[Int2]],1)</f>
        <v>k</v>
      </c>
      <c r="M467" s="1">
        <f>IF(aoc_02_input[[#This Row],[Pos2]]=aoc_02_input[[#This Row],[Char]],1,0)</f>
        <v>1</v>
      </c>
      <c r="N467" s="1">
        <f>IF(aoc_02_input[[#This Row],[Pos1Valid]]&lt;&gt;aoc_02_input[[#This Row],[Pos2Valid]],1,0)</f>
        <v>0</v>
      </c>
    </row>
    <row r="468" spans="1:14" x14ac:dyDescent="0.45">
      <c r="A468" s="1" t="s">
        <v>227</v>
      </c>
      <c r="B468" s="1" t="s">
        <v>238</v>
      </c>
      <c r="C468" s="1" t="s">
        <v>821</v>
      </c>
      <c r="D468" s="1">
        <f>FIND("-",aoc_02_input[[#This Row],[InputNumbers]])</f>
        <v>2</v>
      </c>
      <c r="E468" s="1">
        <f>_xlfn.NUMBERVALUE(LEFT(aoc_02_input[[#This Row],[InputNumbers]],aoc_02_input[[#This Row],[PosDash]]-1))</f>
        <v>4</v>
      </c>
      <c r="F468" s="1">
        <f>_xlfn.NUMBERVALUE(MID(aoc_02_input[[#This Row],[InputNumbers]],aoc_02_input[[#This Row],[PosDash]]+1,5))</f>
        <v>5</v>
      </c>
      <c r="G468" s="1" t="str">
        <f>LEFT(aoc_02_input[[#This Row],[InputChar]],1)</f>
        <v>w</v>
      </c>
      <c r="H468" s="1" cm="1">
        <f t="array" ref="H468">CountChar(aoc_02_input[[#This Row],[Password]],aoc_02_input[[#This Row],[Char]])</f>
        <v>4</v>
      </c>
      <c r="I468" s="1">
        <f>IF(AND(aoc_02_input[[#This Row],[Int1]]&lt;=aoc_02_input[[#This Row],[CountOfChar]],aoc_02_input[[#This Row],[CountOfChar]]&lt;=aoc_02_input[[#This Row],[Int2]]),1,0)</f>
        <v>1</v>
      </c>
      <c r="J468" s="1" t="str">
        <f>MID(aoc_02_input[[#This Row],[Password]],aoc_02_input[[#This Row],[Int1]],1)</f>
        <v>w</v>
      </c>
      <c r="K468" s="1">
        <f>IF(aoc_02_input[[#This Row],[Pos1]]=aoc_02_input[[#This Row],[Char]],1,0)</f>
        <v>1</v>
      </c>
      <c r="L468" s="1" t="str">
        <f>MID(aoc_02_input[[#This Row],[Password]],aoc_02_input[[#This Row],[Int2]],1)</f>
        <v>w</v>
      </c>
      <c r="M468" s="1">
        <f>IF(aoc_02_input[[#This Row],[Pos2]]=aoc_02_input[[#This Row],[Char]],1,0)</f>
        <v>1</v>
      </c>
      <c r="N468" s="1">
        <f>IF(aoc_02_input[[#This Row],[Pos1Valid]]&lt;&gt;aoc_02_input[[#This Row],[Pos2Valid]],1,0)</f>
        <v>0</v>
      </c>
    </row>
    <row r="469" spans="1:14" x14ac:dyDescent="0.45">
      <c r="A469" s="1" t="s">
        <v>534</v>
      </c>
      <c r="B469" s="1" t="s">
        <v>207</v>
      </c>
      <c r="C469" s="1" t="s">
        <v>822</v>
      </c>
      <c r="D469" s="1">
        <f>FIND("-",aoc_02_input[[#This Row],[InputNumbers]])</f>
        <v>3</v>
      </c>
      <c r="E469" s="1">
        <f>_xlfn.NUMBERVALUE(LEFT(aoc_02_input[[#This Row],[InputNumbers]],aoc_02_input[[#This Row],[PosDash]]-1))</f>
        <v>10</v>
      </c>
      <c r="F469" s="1">
        <f>_xlfn.NUMBERVALUE(MID(aoc_02_input[[#This Row],[InputNumbers]],aoc_02_input[[#This Row],[PosDash]]+1,5))</f>
        <v>14</v>
      </c>
      <c r="G469" s="1" t="str">
        <f>LEFT(aoc_02_input[[#This Row],[InputChar]],1)</f>
        <v>b</v>
      </c>
      <c r="H469" s="1" cm="1">
        <f t="array" ref="H469">CountChar(aoc_02_input[[#This Row],[Password]],aoc_02_input[[#This Row],[Char]])</f>
        <v>3</v>
      </c>
      <c r="I469" s="1">
        <f>IF(AND(aoc_02_input[[#This Row],[Int1]]&lt;=aoc_02_input[[#This Row],[CountOfChar]],aoc_02_input[[#This Row],[CountOfChar]]&lt;=aoc_02_input[[#This Row],[Int2]]),1,0)</f>
        <v>0</v>
      </c>
      <c r="J469" s="1" t="str">
        <f>MID(aoc_02_input[[#This Row],[Password]],aoc_02_input[[#This Row],[Int1]],1)</f>
        <v>g</v>
      </c>
      <c r="K469" s="1">
        <f>IF(aoc_02_input[[#This Row],[Pos1]]=aoc_02_input[[#This Row],[Char]],1,0)</f>
        <v>0</v>
      </c>
      <c r="L469" s="1" t="str">
        <f>MID(aoc_02_input[[#This Row],[Password]],aoc_02_input[[#This Row],[Int2]],1)</f>
        <v>b</v>
      </c>
      <c r="M469" s="1">
        <f>IF(aoc_02_input[[#This Row],[Pos2]]=aoc_02_input[[#This Row],[Char]],1,0)</f>
        <v>1</v>
      </c>
      <c r="N469" s="1">
        <f>IF(aoc_02_input[[#This Row],[Pos1Valid]]&lt;&gt;aoc_02_input[[#This Row],[Pos2Valid]],1,0)</f>
        <v>1</v>
      </c>
    </row>
    <row r="470" spans="1:14" x14ac:dyDescent="0.45">
      <c r="A470" s="1" t="s">
        <v>731</v>
      </c>
      <c r="B470" s="1" t="s">
        <v>243</v>
      </c>
      <c r="C470" s="1" t="s">
        <v>823</v>
      </c>
      <c r="D470" s="1">
        <f>FIND("-",aoc_02_input[[#This Row],[InputNumbers]])</f>
        <v>2</v>
      </c>
      <c r="E470" s="1">
        <f>_xlfn.NUMBERVALUE(LEFT(aoc_02_input[[#This Row],[InputNumbers]],aoc_02_input[[#This Row],[PosDash]]-1))</f>
        <v>4</v>
      </c>
      <c r="F470" s="1">
        <f>_xlfn.NUMBERVALUE(MID(aoc_02_input[[#This Row],[InputNumbers]],aoc_02_input[[#This Row],[PosDash]]+1,5))</f>
        <v>10</v>
      </c>
      <c r="G470" s="1" t="str">
        <f>LEFT(aoc_02_input[[#This Row],[InputChar]],1)</f>
        <v>f</v>
      </c>
      <c r="H470" s="1" cm="1">
        <f t="array" ref="H470">CountChar(aoc_02_input[[#This Row],[Password]],aoc_02_input[[#This Row],[Char]])</f>
        <v>3</v>
      </c>
      <c r="I470" s="1">
        <f>IF(AND(aoc_02_input[[#This Row],[Int1]]&lt;=aoc_02_input[[#This Row],[CountOfChar]],aoc_02_input[[#This Row],[CountOfChar]]&lt;=aoc_02_input[[#This Row],[Int2]]),1,0)</f>
        <v>0</v>
      </c>
      <c r="J470" s="1" t="str">
        <f>MID(aoc_02_input[[#This Row],[Password]],aoc_02_input[[#This Row],[Int1]],1)</f>
        <v>h</v>
      </c>
      <c r="K470" s="1">
        <f>IF(aoc_02_input[[#This Row],[Pos1]]=aoc_02_input[[#This Row],[Char]],1,0)</f>
        <v>0</v>
      </c>
      <c r="L470" s="1" t="str">
        <f>MID(aoc_02_input[[#This Row],[Password]],aoc_02_input[[#This Row],[Int2]],1)</f>
        <v>f</v>
      </c>
      <c r="M470" s="1">
        <f>IF(aoc_02_input[[#This Row],[Pos2]]=aoc_02_input[[#This Row],[Char]],1,0)</f>
        <v>1</v>
      </c>
      <c r="N470" s="1">
        <f>IF(aoc_02_input[[#This Row],[Pos1Valid]]&lt;&gt;aoc_02_input[[#This Row],[Pos2Valid]],1,0)</f>
        <v>1</v>
      </c>
    </row>
    <row r="471" spans="1:14" x14ac:dyDescent="0.45">
      <c r="A471" s="1" t="s">
        <v>330</v>
      </c>
      <c r="B471" s="1" t="s">
        <v>252</v>
      </c>
      <c r="C471" s="1" t="s">
        <v>824</v>
      </c>
      <c r="D471" s="1">
        <f>FIND("-",aoc_02_input[[#This Row],[InputNumbers]])</f>
        <v>3</v>
      </c>
      <c r="E471" s="1">
        <f>_xlfn.NUMBERVALUE(LEFT(aoc_02_input[[#This Row],[InputNumbers]],aoc_02_input[[#This Row],[PosDash]]-1))</f>
        <v>13</v>
      </c>
      <c r="F471" s="1">
        <f>_xlfn.NUMBERVALUE(MID(aoc_02_input[[#This Row],[InputNumbers]],aoc_02_input[[#This Row],[PosDash]]+1,5))</f>
        <v>14</v>
      </c>
      <c r="G471" s="1" t="str">
        <f>LEFT(aoc_02_input[[#This Row],[InputChar]],1)</f>
        <v>p</v>
      </c>
      <c r="H471" s="1" cm="1">
        <f t="array" ref="H471">CountChar(aoc_02_input[[#This Row],[Password]],aoc_02_input[[#This Row],[Char]])</f>
        <v>6</v>
      </c>
      <c r="I471" s="1">
        <f>IF(AND(aoc_02_input[[#This Row],[Int1]]&lt;=aoc_02_input[[#This Row],[CountOfChar]],aoc_02_input[[#This Row],[CountOfChar]]&lt;=aoc_02_input[[#This Row],[Int2]]),1,0)</f>
        <v>0</v>
      </c>
      <c r="J471" s="1" t="str">
        <f>MID(aoc_02_input[[#This Row],[Password]],aoc_02_input[[#This Row],[Int1]],1)</f>
        <v>p</v>
      </c>
      <c r="K471" s="1">
        <f>IF(aoc_02_input[[#This Row],[Pos1]]=aoc_02_input[[#This Row],[Char]],1,0)</f>
        <v>1</v>
      </c>
      <c r="L471" s="1" t="str">
        <f>MID(aoc_02_input[[#This Row],[Password]],aoc_02_input[[#This Row],[Int2]],1)</f>
        <v>b</v>
      </c>
      <c r="M471" s="1">
        <f>IF(aoc_02_input[[#This Row],[Pos2]]=aoc_02_input[[#This Row],[Char]],1,0)</f>
        <v>0</v>
      </c>
      <c r="N471" s="1">
        <f>IF(aoc_02_input[[#This Row],[Pos1Valid]]&lt;&gt;aoc_02_input[[#This Row],[Pos2Valid]],1,0)</f>
        <v>1</v>
      </c>
    </row>
    <row r="472" spans="1:14" x14ac:dyDescent="0.45">
      <c r="A472" s="1" t="s">
        <v>326</v>
      </c>
      <c r="B472" s="1" t="s">
        <v>210</v>
      </c>
      <c r="C472" s="1" t="s">
        <v>825</v>
      </c>
      <c r="D472" s="1">
        <f>FIND("-",aoc_02_input[[#This Row],[InputNumbers]])</f>
        <v>3</v>
      </c>
      <c r="E472" s="1">
        <f>_xlfn.NUMBERVALUE(LEFT(aoc_02_input[[#This Row],[InputNumbers]],aoc_02_input[[#This Row],[PosDash]]-1))</f>
        <v>10</v>
      </c>
      <c r="F472" s="1">
        <f>_xlfn.NUMBERVALUE(MID(aoc_02_input[[#This Row],[InputNumbers]],aoc_02_input[[#This Row],[PosDash]]+1,5))</f>
        <v>12</v>
      </c>
      <c r="G472" s="1" t="str">
        <f>LEFT(aoc_02_input[[#This Row],[InputChar]],1)</f>
        <v>v</v>
      </c>
      <c r="H472" s="1" cm="1">
        <f t="array" ref="H472">CountChar(aoc_02_input[[#This Row],[Password]],aoc_02_input[[#This Row],[Char]])</f>
        <v>19</v>
      </c>
      <c r="I472" s="1">
        <f>IF(AND(aoc_02_input[[#This Row],[Int1]]&lt;=aoc_02_input[[#This Row],[CountOfChar]],aoc_02_input[[#This Row],[CountOfChar]]&lt;=aoc_02_input[[#This Row],[Int2]]),1,0)</f>
        <v>0</v>
      </c>
      <c r="J472" s="1" t="str">
        <f>MID(aoc_02_input[[#This Row],[Password]],aoc_02_input[[#This Row],[Int1]],1)</f>
        <v>v</v>
      </c>
      <c r="K472" s="1">
        <f>IF(aoc_02_input[[#This Row],[Pos1]]=aoc_02_input[[#This Row],[Char]],1,0)</f>
        <v>1</v>
      </c>
      <c r="L472" s="1" t="str">
        <f>MID(aoc_02_input[[#This Row],[Password]],aoc_02_input[[#This Row],[Int2]],1)</f>
        <v>m</v>
      </c>
      <c r="M472" s="1">
        <f>IF(aoc_02_input[[#This Row],[Pos2]]=aoc_02_input[[#This Row],[Char]],1,0)</f>
        <v>0</v>
      </c>
      <c r="N472" s="1">
        <f>IF(aoc_02_input[[#This Row],[Pos1Valid]]&lt;&gt;aoc_02_input[[#This Row],[Pos2Valid]],1,0)</f>
        <v>1</v>
      </c>
    </row>
    <row r="473" spans="1:14" x14ac:dyDescent="0.45">
      <c r="A473" s="1" t="s">
        <v>230</v>
      </c>
      <c r="B473" s="1" t="s">
        <v>213</v>
      </c>
      <c r="C473" s="1" t="s">
        <v>826</v>
      </c>
      <c r="D473" s="1">
        <f>FIND("-",aoc_02_input[[#This Row],[InputNumbers]])</f>
        <v>2</v>
      </c>
      <c r="E473" s="1">
        <f>_xlfn.NUMBERVALUE(LEFT(aoc_02_input[[#This Row],[InputNumbers]],aoc_02_input[[#This Row],[PosDash]]-1))</f>
        <v>2</v>
      </c>
      <c r="F473" s="1">
        <f>_xlfn.NUMBERVALUE(MID(aoc_02_input[[#This Row],[InputNumbers]],aoc_02_input[[#This Row],[PosDash]]+1,5))</f>
        <v>4</v>
      </c>
      <c r="G473" s="1" t="str">
        <f>LEFT(aoc_02_input[[#This Row],[InputChar]],1)</f>
        <v>m</v>
      </c>
      <c r="H473" s="1" cm="1">
        <f t="array" ref="H473">CountChar(aoc_02_input[[#This Row],[Password]],aoc_02_input[[#This Row],[Char]])</f>
        <v>5</v>
      </c>
      <c r="I473" s="1">
        <f>IF(AND(aoc_02_input[[#This Row],[Int1]]&lt;=aoc_02_input[[#This Row],[CountOfChar]],aoc_02_input[[#This Row],[CountOfChar]]&lt;=aoc_02_input[[#This Row],[Int2]]),1,0)</f>
        <v>0</v>
      </c>
      <c r="J473" s="1" t="str">
        <f>MID(aoc_02_input[[#This Row],[Password]],aoc_02_input[[#This Row],[Int1]],1)</f>
        <v>m</v>
      </c>
      <c r="K473" s="1">
        <f>IF(aoc_02_input[[#This Row],[Pos1]]=aoc_02_input[[#This Row],[Char]],1,0)</f>
        <v>1</v>
      </c>
      <c r="L473" s="1" t="str">
        <f>MID(aoc_02_input[[#This Row],[Password]],aoc_02_input[[#This Row],[Int2]],1)</f>
        <v>m</v>
      </c>
      <c r="M473" s="1">
        <f>IF(aoc_02_input[[#This Row],[Pos2]]=aoc_02_input[[#This Row],[Char]],1,0)</f>
        <v>1</v>
      </c>
      <c r="N473" s="1">
        <f>IF(aoc_02_input[[#This Row],[Pos1Valid]]&lt;&gt;aoc_02_input[[#This Row],[Pos2Valid]],1,0)</f>
        <v>0</v>
      </c>
    </row>
    <row r="474" spans="1:14" x14ac:dyDescent="0.45">
      <c r="A474" s="1" t="s">
        <v>452</v>
      </c>
      <c r="B474" s="1" t="s">
        <v>278</v>
      </c>
      <c r="C474" s="1" t="s">
        <v>827</v>
      </c>
      <c r="D474" s="1">
        <f>FIND("-",aoc_02_input[[#This Row],[InputNumbers]])</f>
        <v>3</v>
      </c>
      <c r="E474" s="1">
        <f>_xlfn.NUMBERVALUE(LEFT(aoc_02_input[[#This Row],[InputNumbers]],aoc_02_input[[#This Row],[PosDash]]-1))</f>
        <v>14</v>
      </c>
      <c r="F474" s="1">
        <f>_xlfn.NUMBERVALUE(MID(aoc_02_input[[#This Row],[InputNumbers]],aoc_02_input[[#This Row],[PosDash]]+1,5))</f>
        <v>15</v>
      </c>
      <c r="G474" s="1" t="str">
        <f>LEFT(aoc_02_input[[#This Row],[InputChar]],1)</f>
        <v>x</v>
      </c>
      <c r="H474" s="1" cm="1">
        <f t="array" ref="H474">CountChar(aoc_02_input[[#This Row],[Password]],aoc_02_input[[#This Row],[Char]])</f>
        <v>16</v>
      </c>
      <c r="I474" s="1">
        <f>IF(AND(aoc_02_input[[#This Row],[Int1]]&lt;=aoc_02_input[[#This Row],[CountOfChar]],aoc_02_input[[#This Row],[CountOfChar]]&lt;=aoc_02_input[[#This Row],[Int2]]),1,0)</f>
        <v>0</v>
      </c>
      <c r="J474" s="1" t="str">
        <f>MID(aoc_02_input[[#This Row],[Password]],aoc_02_input[[#This Row],[Int1]],1)</f>
        <v>x</v>
      </c>
      <c r="K474" s="1">
        <f>IF(aoc_02_input[[#This Row],[Pos1]]=aoc_02_input[[#This Row],[Char]],1,0)</f>
        <v>1</v>
      </c>
      <c r="L474" s="1" t="str">
        <f>MID(aoc_02_input[[#This Row],[Password]],aoc_02_input[[#This Row],[Int2]],1)</f>
        <v>x</v>
      </c>
      <c r="M474" s="1">
        <f>IF(aoc_02_input[[#This Row],[Pos2]]=aoc_02_input[[#This Row],[Char]],1,0)</f>
        <v>1</v>
      </c>
      <c r="N474" s="1">
        <f>IF(aoc_02_input[[#This Row],[Pos1Valid]]&lt;&gt;aoc_02_input[[#This Row],[Pos2Valid]],1,0)</f>
        <v>0</v>
      </c>
    </row>
    <row r="475" spans="1:14" x14ac:dyDescent="0.45">
      <c r="A475" s="1" t="s">
        <v>326</v>
      </c>
      <c r="B475" s="1" t="s">
        <v>235</v>
      </c>
      <c r="C475" s="1" t="s">
        <v>828</v>
      </c>
      <c r="D475" s="1">
        <f>FIND("-",aoc_02_input[[#This Row],[InputNumbers]])</f>
        <v>3</v>
      </c>
      <c r="E475" s="1">
        <f>_xlfn.NUMBERVALUE(LEFT(aoc_02_input[[#This Row],[InputNumbers]],aoc_02_input[[#This Row],[PosDash]]-1))</f>
        <v>10</v>
      </c>
      <c r="F475" s="1">
        <f>_xlfn.NUMBERVALUE(MID(aoc_02_input[[#This Row],[InputNumbers]],aoc_02_input[[#This Row],[PosDash]]+1,5))</f>
        <v>12</v>
      </c>
      <c r="G475" s="1" t="str">
        <f>LEFT(aoc_02_input[[#This Row],[InputChar]],1)</f>
        <v>d</v>
      </c>
      <c r="H475" s="1" cm="1">
        <f t="array" ref="H475">CountChar(aoc_02_input[[#This Row],[Password]],aoc_02_input[[#This Row],[Char]])</f>
        <v>11</v>
      </c>
      <c r="I475" s="1">
        <f>IF(AND(aoc_02_input[[#This Row],[Int1]]&lt;=aoc_02_input[[#This Row],[CountOfChar]],aoc_02_input[[#This Row],[CountOfChar]]&lt;=aoc_02_input[[#This Row],[Int2]]),1,0)</f>
        <v>1</v>
      </c>
      <c r="J475" s="1" t="str">
        <f>MID(aoc_02_input[[#This Row],[Password]],aoc_02_input[[#This Row],[Int1]],1)</f>
        <v>r</v>
      </c>
      <c r="K475" s="1">
        <f>IF(aoc_02_input[[#This Row],[Pos1]]=aoc_02_input[[#This Row],[Char]],1,0)</f>
        <v>0</v>
      </c>
      <c r="L475" s="1" t="str">
        <f>MID(aoc_02_input[[#This Row],[Password]],aoc_02_input[[#This Row],[Int2]],1)</f>
        <v>d</v>
      </c>
      <c r="M475" s="1">
        <f>IF(aoc_02_input[[#This Row],[Pos2]]=aoc_02_input[[#This Row],[Char]],1,0)</f>
        <v>1</v>
      </c>
      <c r="N475" s="1">
        <f>IF(aoc_02_input[[#This Row],[Pos1Valid]]&lt;&gt;aoc_02_input[[#This Row],[Pos2Valid]],1,0)</f>
        <v>1</v>
      </c>
    </row>
    <row r="476" spans="1:14" x14ac:dyDescent="0.45">
      <c r="A476" s="1" t="s">
        <v>290</v>
      </c>
      <c r="B476" s="1" t="s">
        <v>278</v>
      </c>
      <c r="C476" s="1" t="s">
        <v>829</v>
      </c>
      <c r="D476" s="1">
        <f>FIND("-",aoc_02_input[[#This Row],[InputNumbers]])</f>
        <v>2</v>
      </c>
      <c r="E476" s="1">
        <f>_xlfn.NUMBERVALUE(LEFT(aoc_02_input[[#This Row],[InputNumbers]],aoc_02_input[[#This Row],[PosDash]]-1))</f>
        <v>8</v>
      </c>
      <c r="F476" s="1">
        <f>_xlfn.NUMBERVALUE(MID(aoc_02_input[[#This Row],[InputNumbers]],aoc_02_input[[#This Row],[PosDash]]+1,5))</f>
        <v>10</v>
      </c>
      <c r="G476" s="1" t="str">
        <f>LEFT(aoc_02_input[[#This Row],[InputChar]],1)</f>
        <v>x</v>
      </c>
      <c r="H476" s="1" cm="1">
        <f t="array" ref="H476">CountChar(aoc_02_input[[#This Row],[Password]],aoc_02_input[[#This Row],[Char]])</f>
        <v>9</v>
      </c>
      <c r="I476" s="1">
        <f>IF(AND(aoc_02_input[[#This Row],[Int1]]&lt;=aoc_02_input[[#This Row],[CountOfChar]],aoc_02_input[[#This Row],[CountOfChar]]&lt;=aoc_02_input[[#This Row],[Int2]]),1,0)</f>
        <v>1</v>
      </c>
      <c r="J476" s="1" t="str">
        <f>MID(aoc_02_input[[#This Row],[Password]],aoc_02_input[[#This Row],[Int1]],1)</f>
        <v>x</v>
      </c>
      <c r="K476" s="1">
        <f>IF(aoc_02_input[[#This Row],[Pos1]]=aoc_02_input[[#This Row],[Char]],1,0)</f>
        <v>1</v>
      </c>
      <c r="L476" s="1" t="str">
        <f>MID(aoc_02_input[[#This Row],[Password]],aoc_02_input[[#This Row],[Int2]],1)</f>
        <v>x</v>
      </c>
      <c r="M476" s="1">
        <f>IF(aoc_02_input[[#This Row],[Pos2]]=aoc_02_input[[#This Row],[Char]],1,0)</f>
        <v>1</v>
      </c>
      <c r="N476" s="1">
        <f>IF(aoc_02_input[[#This Row],[Pos1Valid]]&lt;&gt;aoc_02_input[[#This Row],[Pos2Valid]],1,0)</f>
        <v>0</v>
      </c>
    </row>
    <row r="477" spans="1:14" x14ac:dyDescent="0.45">
      <c r="A477" s="1" t="s">
        <v>466</v>
      </c>
      <c r="B477" s="1" t="s">
        <v>278</v>
      </c>
      <c r="C477" s="1" t="s">
        <v>830</v>
      </c>
      <c r="D477" s="1">
        <f>FIND("-",aoc_02_input[[#This Row],[InputNumbers]])</f>
        <v>2</v>
      </c>
      <c r="E477" s="1">
        <f>_xlfn.NUMBERVALUE(LEFT(aoc_02_input[[#This Row],[InputNumbers]],aoc_02_input[[#This Row],[PosDash]]-1))</f>
        <v>1</v>
      </c>
      <c r="F477" s="1">
        <f>_xlfn.NUMBERVALUE(MID(aoc_02_input[[#This Row],[InputNumbers]],aoc_02_input[[#This Row],[PosDash]]+1,5))</f>
        <v>9</v>
      </c>
      <c r="G477" s="1" t="str">
        <f>LEFT(aoc_02_input[[#This Row],[InputChar]],1)</f>
        <v>x</v>
      </c>
      <c r="H477" s="1" cm="1">
        <f t="array" ref="H477">CountChar(aoc_02_input[[#This Row],[Password]],aoc_02_input[[#This Row],[Char]])</f>
        <v>4</v>
      </c>
      <c r="I477" s="1">
        <f>IF(AND(aoc_02_input[[#This Row],[Int1]]&lt;=aoc_02_input[[#This Row],[CountOfChar]],aoc_02_input[[#This Row],[CountOfChar]]&lt;=aoc_02_input[[#This Row],[Int2]]),1,0)</f>
        <v>1</v>
      </c>
      <c r="J477" s="1" t="str">
        <f>MID(aoc_02_input[[#This Row],[Password]],aoc_02_input[[#This Row],[Int1]],1)</f>
        <v>d</v>
      </c>
      <c r="K477" s="1">
        <f>IF(aoc_02_input[[#This Row],[Pos1]]=aoc_02_input[[#This Row],[Char]],1,0)</f>
        <v>0</v>
      </c>
      <c r="L477" s="1" t="str">
        <f>MID(aoc_02_input[[#This Row],[Password]],aoc_02_input[[#This Row],[Int2]],1)</f>
        <v>x</v>
      </c>
      <c r="M477" s="1">
        <f>IF(aoc_02_input[[#This Row],[Pos2]]=aoc_02_input[[#This Row],[Char]],1,0)</f>
        <v>1</v>
      </c>
      <c r="N477" s="1">
        <f>IF(aoc_02_input[[#This Row],[Pos1Valid]]&lt;&gt;aoc_02_input[[#This Row],[Pos2Valid]],1,0)</f>
        <v>1</v>
      </c>
    </row>
    <row r="478" spans="1:14" x14ac:dyDescent="0.45">
      <c r="A478" s="1" t="s">
        <v>831</v>
      </c>
      <c r="B478" s="1" t="s">
        <v>235</v>
      </c>
      <c r="C478" s="1" t="s">
        <v>832</v>
      </c>
      <c r="D478" s="1">
        <f>FIND("-",aoc_02_input[[#This Row],[InputNumbers]])</f>
        <v>2</v>
      </c>
      <c r="E478" s="1">
        <f>_xlfn.NUMBERVALUE(LEFT(aoc_02_input[[#This Row],[InputNumbers]],aoc_02_input[[#This Row],[PosDash]]-1))</f>
        <v>6</v>
      </c>
      <c r="F478" s="1">
        <f>_xlfn.NUMBERVALUE(MID(aoc_02_input[[#This Row],[InputNumbers]],aoc_02_input[[#This Row],[PosDash]]+1,5))</f>
        <v>12</v>
      </c>
      <c r="G478" s="1" t="str">
        <f>LEFT(aoc_02_input[[#This Row],[InputChar]],1)</f>
        <v>d</v>
      </c>
      <c r="H478" s="1" cm="1">
        <f t="array" ref="H478">CountChar(aoc_02_input[[#This Row],[Password]],aoc_02_input[[#This Row],[Char]])</f>
        <v>14</v>
      </c>
      <c r="I478" s="1">
        <f>IF(AND(aoc_02_input[[#This Row],[Int1]]&lt;=aoc_02_input[[#This Row],[CountOfChar]],aoc_02_input[[#This Row],[CountOfChar]]&lt;=aoc_02_input[[#This Row],[Int2]]),1,0)</f>
        <v>0</v>
      </c>
      <c r="J478" s="1" t="str">
        <f>MID(aoc_02_input[[#This Row],[Password]],aoc_02_input[[#This Row],[Int1]],1)</f>
        <v>d</v>
      </c>
      <c r="K478" s="1">
        <f>IF(aoc_02_input[[#This Row],[Pos1]]=aoc_02_input[[#This Row],[Char]],1,0)</f>
        <v>1</v>
      </c>
      <c r="L478" s="1" t="str">
        <f>MID(aoc_02_input[[#This Row],[Password]],aoc_02_input[[#This Row],[Int2]],1)</f>
        <v>s</v>
      </c>
      <c r="M478" s="1">
        <f>IF(aoc_02_input[[#This Row],[Pos2]]=aoc_02_input[[#This Row],[Char]],1,0)</f>
        <v>0</v>
      </c>
      <c r="N478" s="1">
        <f>IF(aoc_02_input[[#This Row],[Pos1Valid]]&lt;&gt;aoc_02_input[[#This Row],[Pos2Valid]],1,0)</f>
        <v>1</v>
      </c>
    </row>
    <row r="479" spans="1:14" x14ac:dyDescent="0.45">
      <c r="A479" s="1" t="s">
        <v>473</v>
      </c>
      <c r="B479" s="1" t="s">
        <v>252</v>
      </c>
      <c r="C479" s="1" t="s">
        <v>833</v>
      </c>
      <c r="D479" s="1">
        <f>FIND("-",aoc_02_input[[#This Row],[InputNumbers]])</f>
        <v>2</v>
      </c>
      <c r="E479" s="1">
        <f>_xlfn.NUMBERVALUE(LEFT(aoc_02_input[[#This Row],[InputNumbers]],aoc_02_input[[#This Row],[PosDash]]-1))</f>
        <v>2</v>
      </c>
      <c r="F479" s="1">
        <f>_xlfn.NUMBERVALUE(MID(aoc_02_input[[#This Row],[InputNumbers]],aoc_02_input[[#This Row],[PosDash]]+1,5))</f>
        <v>6</v>
      </c>
      <c r="G479" s="1" t="str">
        <f>LEFT(aoc_02_input[[#This Row],[InputChar]],1)</f>
        <v>p</v>
      </c>
      <c r="H479" s="1" cm="1">
        <f t="array" ref="H479">CountChar(aoc_02_input[[#This Row],[Password]],aoc_02_input[[#This Row],[Char]])</f>
        <v>2</v>
      </c>
      <c r="I479" s="1">
        <f>IF(AND(aoc_02_input[[#This Row],[Int1]]&lt;=aoc_02_input[[#This Row],[CountOfChar]],aoc_02_input[[#This Row],[CountOfChar]]&lt;=aoc_02_input[[#This Row],[Int2]]),1,0)</f>
        <v>1</v>
      </c>
      <c r="J479" s="1" t="str">
        <f>MID(aoc_02_input[[#This Row],[Password]],aoc_02_input[[#This Row],[Int1]],1)</f>
        <v>j</v>
      </c>
      <c r="K479" s="1">
        <f>IF(aoc_02_input[[#This Row],[Pos1]]=aoc_02_input[[#This Row],[Char]],1,0)</f>
        <v>0</v>
      </c>
      <c r="L479" s="1" t="str">
        <f>MID(aoc_02_input[[#This Row],[Password]],aoc_02_input[[#This Row],[Int2]],1)</f>
        <v>p</v>
      </c>
      <c r="M479" s="1">
        <f>IF(aoc_02_input[[#This Row],[Pos2]]=aoc_02_input[[#This Row],[Char]],1,0)</f>
        <v>1</v>
      </c>
      <c r="N479" s="1">
        <f>IF(aoc_02_input[[#This Row],[Pos1Valid]]&lt;&gt;aoc_02_input[[#This Row],[Pos2Valid]],1,0)</f>
        <v>1</v>
      </c>
    </row>
    <row r="480" spans="1:14" x14ac:dyDescent="0.45">
      <c r="A480" s="1" t="s">
        <v>412</v>
      </c>
      <c r="B480" s="1" t="s">
        <v>252</v>
      </c>
      <c r="C480" s="1" t="s">
        <v>834</v>
      </c>
      <c r="D480" s="1">
        <f>FIND("-",aoc_02_input[[#This Row],[InputNumbers]])</f>
        <v>3</v>
      </c>
      <c r="E480" s="1">
        <f>_xlfn.NUMBERVALUE(LEFT(aoc_02_input[[#This Row],[InputNumbers]],aoc_02_input[[#This Row],[PosDash]]-1))</f>
        <v>16</v>
      </c>
      <c r="F480" s="1">
        <f>_xlfn.NUMBERVALUE(MID(aoc_02_input[[#This Row],[InputNumbers]],aoc_02_input[[#This Row],[PosDash]]+1,5))</f>
        <v>17</v>
      </c>
      <c r="G480" s="1" t="str">
        <f>LEFT(aoc_02_input[[#This Row],[InputChar]],1)</f>
        <v>p</v>
      </c>
      <c r="H480" s="1" cm="1">
        <f t="array" ref="H480">CountChar(aoc_02_input[[#This Row],[Password]],aoc_02_input[[#This Row],[Char]])</f>
        <v>16</v>
      </c>
      <c r="I480" s="1">
        <f>IF(AND(aoc_02_input[[#This Row],[Int1]]&lt;=aoc_02_input[[#This Row],[CountOfChar]],aoc_02_input[[#This Row],[CountOfChar]]&lt;=aoc_02_input[[#This Row],[Int2]]),1,0)</f>
        <v>1</v>
      </c>
      <c r="J480" s="1" t="str">
        <f>MID(aoc_02_input[[#This Row],[Password]],aoc_02_input[[#This Row],[Int1]],1)</f>
        <v>q</v>
      </c>
      <c r="K480" s="1">
        <f>IF(aoc_02_input[[#This Row],[Pos1]]=aoc_02_input[[#This Row],[Char]],1,0)</f>
        <v>0</v>
      </c>
      <c r="L480" s="1" t="str">
        <f>MID(aoc_02_input[[#This Row],[Password]],aoc_02_input[[#This Row],[Int2]],1)</f>
        <v>p</v>
      </c>
      <c r="M480" s="1">
        <f>IF(aoc_02_input[[#This Row],[Pos2]]=aoc_02_input[[#This Row],[Char]],1,0)</f>
        <v>1</v>
      </c>
      <c r="N480" s="1">
        <f>IF(aoc_02_input[[#This Row],[Pos1Valid]]&lt;&gt;aoc_02_input[[#This Row],[Pos2Valid]],1,0)</f>
        <v>1</v>
      </c>
    </row>
    <row r="481" spans="1:14" x14ac:dyDescent="0.45">
      <c r="A481" s="1" t="s">
        <v>230</v>
      </c>
      <c r="B481" s="1" t="s">
        <v>235</v>
      </c>
      <c r="C481" s="1" t="s">
        <v>835</v>
      </c>
      <c r="D481" s="1">
        <f>FIND("-",aoc_02_input[[#This Row],[InputNumbers]])</f>
        <v>2</v>
      </c>
      <c r="E481" s="1">
        <f>_xlfn.NUMBERVALUE(LEFT(aoc_02_input[[#This Row],[InputNumbers]],aoc_02_input[[#This Row],[PosDash]]-1))</f>
        <v>2</v>
      </c>
      <c r="F481" s="1">
        <f>_xlfn.NUMBERVALUE(MID(aoc_02_input[[#This Row],[InputNumbers]],aoc_02_input[[#This Row],[PosDash]]+1,5))</f>
        <v>4</v>
      </c>
      <c r="G481" s="1" t="str">
        <f>LEFT(aoc_02_input[[#This Row],[InputChar]],1)</f>
        <v>d</v>
      </c>
      <c r="H481" s="1" cm="1">
        <f t="array" ref="H481">CountChar(aoc_02_input[[#This Row],[Password]],aoc_02_input[[#This Row],[Char]])</f>
        <v>6</v>
      </c>
      <c r="I481" s="1">
        <f>IF(AND(aoc_02_input[[#This Row],[Int1]]&lt;=aoc_02_input[[#This Row],[CountOfChar]],aoc_02_input[[#This Row],[CountOfChar]]&lt;=aoc_02_input[[#This Row],[Int2]]),1,0)</f>
        <v>0</v>
      </c>
      <c r="J481" s="1" t="str">
        <f>MID(aoc_02_input[[#This Row],[Password]],aoc_02_input[[#This Row],[Int1]],1)</f>
        <v>d</v>
      </c>
      <c r="K481" s="1">
        <f>IF(aoc_02_input[[#This Row],[Pos1]]=aoc_02_input[[#This Row],[Char]],1,0)</f>
        <v>1</v>
      </c>
      <c r="L481" s="1" t="str">
        <f>MID(aoc_02_input[[#This Row],[Password]],aoc_02_input[[#This Row],[Int2]],1)</f>
        <v>h</v>
      </c>
      <c r="M481" s="1">
        <f>IF(aoc_02_input[[#This Row],[Pos2]]=aoc_02_input[[#This Row],[Char]],1,0)</f>
        <v>0</v>
      </c>
      <c r="N481" s="1">
        <f>IF(aoc_02_input[[#This Row],[Pos1Valid]]&lt;&gt;aoc_02_input[[#This Row],[Pos2Valid]],1,0)</f>
        <v>1</v>
      </c>
    </row>
    <row r="482" spans="1:14" x14ac:dyDescent="0.45">
      <c r="A482" s="1" t="s">
        <v>283</v>
      </c>
      <c r="B482" s="1" t="s">
        <v>243</v>
      </c>
      <c r="C482" s="1" t="s">
        <v>836</v>
      </c>
      <c r="D482" s="1">
        <f>FIND("-",aoc_02_input[[#This Row],[InputNumbers]])</f>
        <v>2</v>
      </c>
      <c r="E482" s="1">
        <f>_xlfn.NUMBERVALUE(LEFT(aoc_02_input[[#This Row],[InputNumbers]],aoc_02_input[[#This Row],[PosDash]]-1))</f>
        <v>3</v>
      </c>
      <c r="F482" s="1">
        <f>_xlfn.NUMBERVALUE(MID(aoc_02_input[[#This Row],[InputNumbers]],aoc_02_input[[#This Row],[PosDash]]+1,5))</f>
        <v>4</v>
      </c>
      <c r="G482" s="1" t="str">
        <f>LEFT(aoc_02_input[[#This Row],[InputChar]],1)</f>
        <v>f</v>
      </c>
      <c r="H482" s="1" cm="1">
        <f t="array" ref="H482">CountChar(aoc_02_input[[#This Row],[Password]],aoc_02_input[[#This Row],[Char]])</f>
        <v>2</v>
      </c>
      <c r="I482" s="1">
        <f>IF(AND(aoc_02_input[[#This Row],[Int1]]&lt;=aoc_02_input[[#This Row],[CountOfChar]],aoc_02_input[[#This Row],[CountOfChar]]&lt;=aoc_02_input[[#This Row],[Int2]]),1,0)</f>
        <v>0</v>
      </c>
      <c r="J482" s="1" t="str">
        <f>MID(aoc_02_input[[#This Row],[Password]],aoc_02_input[[#This Row],[Int1]],1)</f>
        <v>v</v>
      </c>
      <c r="K482" s="1">
        <f>IF(aoc_02_input[[#This Row],[Pos1]]=aoc_02_input[[#This Row],[Char]],1,0)</f>
        <v>0</v>
      </c>
      <c r="L482" s="1" t="str">
        <f>MID(aoc_02_input[[#This Row],[Password]],aoc_02_input[[#This Row],[Int2]],1)</f>
        <v>x</v>
      </c>
      <c r="M482" s="1">
        <f>IF(aoc_02_input[[#This Row],[Pos2]]=aoc_02_input[[#This Row],[Char]],1,0)</f>
        <v>0</v>
      </c>
      <c r="N482" s="1">
        <f>IF(aoc_02_input[[#This Row],[Pos1Valid]]&lt;&gt;aoc_02_input[[#This Row],[Pos2Valid]],1,0)</f>
        <v>0</v>
      </c>
    </row>
    <row r="483" spans="1:14" x14ac:dyDescent="0.45">
      <c r="A483" s="1" t="s">
        <v>326</v>
      </c>
      <c r="B483" s="1" t="s">
        <v>213</v>
      </c>
      <c r="C483" s="1" t="s">
        <v>837</v>
      </c>
      <c r="D483" s="1">
        <f>FIND("-",aoc_02_input[[#This Row],[InputNumbers]])</f>
        <v>3</v>
      </c>
      <c r="E483" s="1">
        <f>_xlfn.NUMBERVALUE(LEFT(aoc_02_input[[#This Row],[InputNumbers]],aoc_02_input[[#This Row],[PosDash]]-1))</f>
        <v>10</v>
      </c>
      <c r="F483" s="1">
        <f>_xlfn.NUMBERVALUE(MID(aoc_02_input[[#This Row],[InputNumbers]],aoc_02_input[[#This Row],[PosDash]]+1,5))</f>
        <v>12</v>
      </c>
      <c r="G483" s="1" t="str">
        <f>LEFT(aoc_02_input[[#This Row],[InputChar]],1)</f>
        <v>m</v>
      </c>
      <c r="H483" s="1" cm="1">
        <f t="array" ref="H483">CountChar(aoc_02_input[[#This Row],[Password]],aoc_02_input[[#This Row],[Char]])</f>
        <v>12</v>
      </c>
      <c r="I483" s="1">
        <f>IF(AND(aoc_02_input[[#This Row],[Int1]]&lt;=aoc_02_input[[#This Row],[CountOfChar]],aoc_02_input[[#This Row],[CountOfChar]]&lt;=aoc_02_input[[#This Row],[Int2]]),1,0)</f>
        <v>1</v>
      </c>
      <c r="J483" s="1" t="str">
        <f>MID(aoc_02_input[[#This Row],[Password]],aoc_02_input[[#This Row],[Int1]],1)</f>
        <v>n</v>
      </c>
      <c r="K483" s="1">
        <f>IF(aoc_02_input[[#This Row],[Pos1]]=aoc_02_input[[#This Row],[Char]],1,0)</f>
        <v>0</v>
      </c>
      <c r="L483" s="1" t="str">
        <f>MID(aoc_02_input[[#This Row],[Password]],aoc_02_input[[#This Row],[Int2]],1)</f>
        <v>m</v>
      </c>
      <c r="M483" s="1">
        <f>IF(aoc_02_input[[#This Row],[Pos2]]=aoc_02_input[[#This Row],[Char]],1,0)</f>
        <v>1</v>
      </c>
      <c r="N483" s="1">
        <f>IF(aoc_02_input[[#This Row],[Pos1Valid]]&lt;&gt;aoc_02_input[[#This Row],[Pos2Valid]],1,0)</f>
        <v>1</v>
      </c>
    </row>
    <row r="484" spans="1:14" x14ac:dyDescent="0.45">
      <c r="A484" s="1" t="s">
        <v>283</v>
      </c>
      <c r="B484" s="1" t="s">
        <v>265</v>
      </c>
      <c r="C484" s="1" t="s">
        <v>838</v>
      </c>
      <c r="D484" s="1">
        <f>FIND("-",aoc_02_input[[#This Row],[InputNumbers]])</f>
        <v>2</v>
      </c>
      <c r="E484" s="1">
        <f>_xlfn.NUMBERVALUE(LEFT(aoc_02_input[[#This Row],[InputNumbers]],aoc_02_input[[#This Row],[PosDash]]-1))</f>
        <v>3</v>
      </c>
      <c r="F484" s="1">
        <f>_xlfn.NUMBERVALUE(MID(aoc_02_input[[#This Row],[InputNumbers]],aoc_02_input[[#This Row],[PosDash]]+1,5))</f>
        <v>4</v>
      </c>
      <c r="G484" s="1" t="str">
        <f>LEFT(aoc_02_input[[#This Row],[InputChar]],1)</f>
        <v>r</v>
      </c>
      <c r="H484" s="1" cm="1">
        <f t="array" ref="H484">CountChar(aoc_02_input[[#This Row],[Password]],aoc_02_input[[#This Row],[Char]])</f>
        <v>3</v>
      </c>
      <c r="I484" s="1">
        <f>IF(AND(aoc_02_input[[#This Row],[Int1]]&lt;=aoc_02_input[[#This Row],[CountOfChar]],aoc_02_input[[#This Row],[CountOfChar]]&lt;=aoc_02_input[[#This Row],[Int2]]),1,0)</f>
        <v>1</v>
      </c>
      <c r="J484" s="1" t="str">
        <f>MID(aoc_02_input[[#This Row],[Password]],aoc_02_input[[#This Row],[Int1]],1)</f>
        <v>n</v>
      </c>
      <c r="K484" s="1">
        <f>IF(aoc_02_input[[#This Row],[Pos1]]=aoc_02_input[[#This Row],[Char]],1,0)</f>
        <v>0</v>
      </c>
      <c r="L484" s="1" t="str">
        <f>MID(aoc_02_input[[#This Row],[Password]],aoc_02_input[[#This Row],[Int2]],1)</f>
        <v>r</v>
      </c>
      <c r="M484" s="1">
        <f>IF(aoc_02_input[[#This Row],[Pos2]]=aoc_02_input[[#This Row],[Char]],1,0)</f>
        <v>1</v>
      </c>
      <c r="N484" s="1">
        <f>IF(aoc_02_input[[#This Row],[Pos1Valid]]&lt;&gt;aoc_02_input[[#This Row],[Pos2Valid]],1,0)</f>
        <v>1</v>
      </c>
    </row>
    <row r="485" spans="1:14" x14ac:dyDescent="0.45">
      <c r="A485" s="1" t="s">
        <v>283</v>
      </c>
      <c r="B485" s="1" t="s">
        <v>219</v>
      </c>
      <c r="C485" s="1" t="s">
        <v>839</v>
      </c>
      <c r="D485" s="1">
        <f>FIND("-",aoc_02_input[[#This Row],[InputNumbers]])</f>
        <v>2</v>
      </c>
      <c r="E485" s="1">
        <f>_xlfn.NUMBERVALUE(LEFT(aoc_02_input[[#This Row],[InputNumbers]],aoc_02_input[[#This Row],[PosDash]]-1))</f>
        <v>3</v>
      </c>
      <c r="F485" s="1">
        <f>_xlfn.NUMBERVALUE(MID(aoc_02_input[[#This Row],[InputNumbers]],aoc_02_input[[#This Row],[PosDash]]+1,5))</f>
        <v>4</v>
      </c>
      <c r="G485" s="1" t="str">
        <f>LEFT(aoc_02_input[[#This Row],[InputChar]],1)</f>
        <v>g</v>
      </c>
      <c r="H485" s="1" cm="1">
        <f t="array" ref="H485">CountChar(aoc_02_input[[#This Row],[Password]],aoc_02_input[[#This Row],[Char]])</f>
        <v>4</v>
      </c>
      <c r="I485" s="1">
        <f>IF(AND(aoc_02_input[[#This Row],[Int1]]&lt;=aoc_02_input[[#This Row],[CountOfChar]],aoc_02_input[[#This Row],[CountOfChar]]&lt;=aoc_02_input[[#This Row],[Int2]]),1,0)</f>
        <v>1</v>
      </c>
      <c r="J485" s="1" t="str">
        <f>MID(aoc_02_input[[#This Row],[Password]],aoc_02_input[[#This Row],[Int1]],1)</f>
        <v>g</v>
      </c>
      <c r="K485" s="1">
        <f>IF(aoc_02_input[[#This Row],[Pos1]]=aoc_02_input[[#This Row],[Char]],1,0)</f>
        <v>1</v>
      </c>
      <c r="L485" s="1" t="str">
        <f>MID(aoc_02_input[[#This Row],[Password]],aoc_02_input[[#This Row],[Int2]],1)</f>
        <v>g</v>
      </c>
      <c r="M485" s="1">
        <f>IF(aoc_02_input[[#This Row],[Pos2]]=aoc_02_input[[#This Row],[Char]],1,0)</f>
        <v>1</v>
      </c>
      <c r="N485" s="1">
        <f>IF(aoc_02_input[[#This Row],[Pos1Valid]]&lt;&gt;aoc_02_input[[#This Row],[Pos2Valid]],1,0)</f>
        <v>0</v>
      </c>
    </row>
    <row r="486" spans="1:14" x14ac:dyDescent="0.45">
      <c r="A486" s="1" t="s">
        <v>288</v>
      </c>
      <c r="B486" s="1" t="s">
        <v>225</v>
      </c>
      <c r="C486" s="1" t="s">
        <v>840</v>
      </c>
      <c r="D486" s="1">
        <f>FIND("-",aoc_02_input[[#This Row],[InputNumbers]])</f>
        <v>2</v>
      </c>
      <c r="E486" s="1">
        <f>_xlfn.NUMBERVALUE(LEFT(aoc_02_input[[#This Row],[InputNumbers]],aoc_02_input[[#This Row],[PosDash]]-1))</f>
        <v>1</v>
      </c>
      <c r="F486" s="1">
        <f>_xlfn.NUMBERVALUE(MID(aoc_02_input[[#This Row],[InputNumbers]],aoc_02_input[[#This Row],[PosDash]]+1,5))</f>
        <v>4</v>
      </c>
      <c r="G486" s="1" t="str">
        <f>LEFT(aoc_02_input[[#This Row],[InputChar]],1)</f>
        <v>j</v>
      </c>
      <c r="H486" s="1" cm="1">
        <f t="array" ref="H486">CountChar(aoc_02_input[[#This Row],[Password]],aoc_02_input[[#This Row],[Char]])</f>
        <v>4</v>
      </c>
      <c r="I486" s="1">
        <f>IF(AND(aoc_02_input[[#This Row],[Int1]]&lt;=aoc_02_input[[#This Row],[CountOfChar]],aoc_02_input[[#This Row],[CountOfChar]]&lt;=aoc_02_input[[#This Row],[Int2]]),1,0)</f>
        <v>1</v>
      </c>
      <c r="J486" s="1" t="str">
        <f>MID(aoc_02_input[[#This Row],[Password]],aoc_02_input[[#This Row],[Int1]],1)</f>
        <v>j</v>
      </c>
      <c r="K486" s="1">
        <f>IF(aoc_02_input[[#This Row],[Pos1]]=aoc_02_input[[#This Row],[Char]],1,0)</f>
        <v>1</v>
      </c>
      <c r="L486" s="1" t="str">
        <f>MID(aoc_02_input[[#This Row],[Password]],aoc_02_input[[#This Row],[Int2]],1)</f>
        <v>l</v>
      </c>
      <c r="M486" s="1">
        <f>IF(aoc_02_input[[#This Row],[Pos2]]=aoc_02_input[[#This Row],[Char]],1,0)</f>
        <v>0</v>
      </c>
      <c r="N486" s="1">
        <f>IF(aoc_02_input[[#This Row],[Pos1Valid]]&lt;&gt;aoc_02_input[[#This Row],[Pos2Valid]],1,0)</f>
        <v>1</v>
      </c>
    </row>
    <row r="487" spans="1:14" x14ac:dyDescent="0.45">
      <c r="A487" s="1" t="s">
        <v>256</v>
      </c>
      <c r="B487" s="1" t="s">
        <v>225</v>
      </c>
      <c r="C487" s="1" t="s">
        <v>841</v>
      </c>
      <c r="D487" s="1">
        <f>FIND("-",aoc_02_input[[#This Row],[InputNumbers]])</f>
        <v>2</v>
      </c>
      <c r="E487" s="1">
        <f>_xlfn.NUMBERVALUE(LEFT(aoc_02_input[[#This Row],[InputNumbers]],aoc_02_input[[#This Row],[PosDash]]-1))</f>
        <v>5</v>
      </c>
      <c r="F487" s="1">
        <f>_xlfn.NUMBERVALUE(MID(aoc_02_input[[#This Row],[InputNumbers]],aoc_02_input[[#This Row],[PosDash]]+1,5))</f>
        <v>7</v>
      </c>
      <c r="G487" s="1" t="str">
        <f>LEFT(aoc_02_input[[#This Row],[InputChar]],1)</f>
        <v>j</v>
      </c>
      <c r="H487" s="1" cm="1">
        <f t="array" ref="H487">CountChar(aoc_02_input[[#This Row],[Password]],aoc_02_input[[#This Row],[Char]])</f>
        <v>6</v>
      </c>
      <c r="I487" s="1">
        <f>IF(AND(aoc_02_input[[#This Row],[Int1]]&lt;=aoc_02_input[[#This Row],[CountOfChar]],aoc_02_input[[#This Row],[CountOfChar]]&lt;=aoc_02_input[[#This Row],[Int2]]),1,0)</f>
        <v>1</v>
      </c>
      <c r="J487" s="1" t="str">
        <f>MID(aoc_02_input[[#This Row],[Password]],aoc_02_input[[#This Row],[Int1]],1)</f>
        <v>c</v>
      </c>
      <c r="K487" s="1">
        <f>IF(aoc_02_input[[#This Row],[Pos1]]=aoc_02_input[[#This Row],[Char]],1,0)</f>
        <v>0</v>
      </c>
      <c r="L487" s="1" t="str">
        <f>MID(aoc_02_input[[#This Row],[Password]],aoc_02_input[[#This Row],[Int2]],1)</f>
        <v>n</v>
      </c>
      <c r="M487" s="1">
        <f>IF(aoc_02_input[[#This Row],[Pos2]]=aoc_02_input[[#This Row],[Char]],1,0)</f>
        <v>0</v>
      </c>
      <c r="N487" s="1">
        <f>IF(aoc_02_input[[#This Row],[Pos1Valid]]&lt;&gt;aoc_02_input[[#This Row],[Pos2Valid]],1,0)</f>
        <v>0</v>
      </c>
    </row>
    <row r="488" spans="1:14" x14ac:dyDescent="0.45">
      <c r="A488" s="1" t="s">
        <v>251</v>
      </c>
      <c r="B488" s="1" t="s">
        <v>265</v>
      </c>
      <c r="C488" s="1" t="s">
        <v>842</v>
      </c>
      <c r="D488" s="1">
        <f>FIND("-",aoc_02_input[[#This Row],[InputNumbers]])</f>
        <v>2</v>
      </c>
      <c r="E488" s="1">
        <f>_xlfn.NUMBERVALUE(LEFT(aoc_02_input[[#This Row],[InputNumbers]],aoc_02_input[[#This Row],[PosDash]]-1))</f>
        <v>5</v>
      </c>
      <c r="F488" s="1">
        <f>_xlfn.NUMBERVALUE(MID(aoc_02_input[[#This Row],[InputNumbers]],aoc_02_input[[#This Row],[PosDash]]+1,5))</f>
        <v>6</v>
      </c>
      <c r="G488" s="1" t="str">
        <f>LEFT(aoc_02_input[[#This Row],[InputChar]],1)</f>
        <v>r</v>
      </c>
      <c r="H488" s="1" cm="1">
        <f t="array" ref="H488">CountChar(aoc_02_input[[#This Row],[Password]],aoc_02_input[[#This Row],[Char]])</f>
        <v>3</v>
      </c>
      <c r="I488" s="1">
        <f>IF(AND(aoc_02_input[[#This Row],[Int1]]&lt;=aoc_02_input[[#This Row],[CountOfChar]],aoc_02_input[[#This Row],[CountOfChar]]&lt;=aoc_02_input[[#This Row],[Int2]]),1,0)</f>
        <v>0</v>
      </c>
      <c r="J488" s="1" t="str">
        <f>MID(aoc_02_input[[#This Row],[Password]],aoc_02_input[[#This Row],[Int1]],1)</f>
        <v>g</v>
      </c>
      <c r="K488" s="1">
        <f>IF(aoc_02_input[[#This Row],[Pos1]]=aoc_02_input[[#This Row],[Char]],1,0)</f>
        <v>0</v>
      </c>
      <c r="L488" s="1" t="str">
        <f>MID(aoc_02_input[[#This Row],[Password]],aoc_02_input[[#This Row],[Int2]],1)</f>
        <v>n</v>
      </c>
      <c r="M488" s="1">
        <f>IF(aoc_02_input[[#This Row],[Pos2]]=aoc_02_input[[#This Row],[Char]],1,0)</f>
        <v>0</v>
      </c>
      <c r="N488" s="1">
        <f>IF(aoc_02_input[[#This Row],[Pos1Valid]]&lt;&gt;aoc_02_input[[#This Row],[Pos2Valid]],1,0)</f>
        <v>0</v>
      </c>
    </row>
    <row r="489" spans="1:14" x14ac:dyDescent="0.45">
      <c r="A489" s="1" t="s">
        <v>341</v>
      </c>
      <c r="B489" s="1" t="s">
        <v>207</v>
      </c>
      <c r="C489" s="1" t="s">
        <v>843</v>
      </c>
      <c r="D489" s="1">
        <f>FIND("-",aoc_02_input[[#This Row],[InputNumbers]])</f>
        <v>2</v>
      </c>
      <c r="E489" s="1">
        <f>_xlfn.NUMBERVALUE(LEFT(aoc_02_input[[#This Row],[InputNumbers]],aoc_02_input[[#This Row],[PosDash]]-1))</f>
        <v>5</v>
      </c>
      <c r="F489" s="1">
        <f>_xlfn.NUMBERVALUE(MID(aoc_02_input[[#This Row],[InputNumbers]],aoc_02_input[[#This Row],[PosDash]]+1,5))</f>
        <v>8</v>
      </c>
      <c r="G489" s="1" t="str">
        <f>LEFT(aoc_02_input[[#This Row],[InputChar]],1)</f>
        <v>b</v>
      </c>
      <c r="H489" s="1" cm="1">
        <f t="array" ref="H489">CountChar(aoc_02_input[[#This Row],[Password]],aoc_02_input[[#This Row],[Char]])</f>
        <v>5</v>
      </c>
      <c r="I489" s="1">
        <f>IF(AND(aoc_02_input[[#This Row],[Int1]]&lt;=aoc_02_input[[#This Row],[CountOfChar]],aoc_02_input[[#This Row],[CountOfChar]]&lt;=aoc_02_input[[#This Row],[Int2]]),1,0)</f>
        <v>1</v>
      </c>
      <c r="J489" s="1" t="str">
        <f>MID(aoc_02_input[[#This Row],[Password]],aoc_02_input[[#This Row],[Int1]],1)</f>
        <v>g</v>
      </c>
      <c r="K489" s="1">
        <f>IF(aoc_02_input[[#This Row],[Pos1]]=aoc_02_input[[#This Row],[Char]],1,0)</f>
        <v>0</v>
      </c>
      <c r="L489" s="1" t="str">
        <f>MID(aoc_02_input[[#This Row],[Password]],aoc_02_input[[#This Row],[Int2]],1)</f>
        <v>b</v>
      </c>
      <c r="M489" s="1">
        <f>IF(aoc_02_input[[#This Row],[Pos2]]=aoc_02_input[[#This Row],[Char]],1,0)</f>
        <v>1</v>
      </c>
      <c r="N489" s="1">
        <f>IF(aoc_02_input[[#This Row],[Pos1Valid]]&lt;&gt;aoc_02_input[[#This Row],[Pos2Valid]],1,0)</f>
        <v>1</v>
      </c>
    </row>
    <row r="490" spans="1:14" x14ac:dyDescent="0.45">
      <c r="A490" s="1" t="s">
        <v>221</v>
      </c>
      <c r="B490" s="1" t="s">
        <v>225</v>
      </c>
      <c r="C490" s="1" t="s">
        <v>844</v>
      </c>
      <c r="D490" s="1">
        <f>FIND("-",aoc_02_input[[#This Row],[InputNumbers]])</f>
        <v>2</v>
      </c>
      <c r="E490" s="1">
        <f>_xlfn.NUMBERVALUE(LEFT(aoc_02_input[[#This Row],[InputNumbers]],aoc_02_input[[#This Row],[PosDash]]-1))</f>
        <v>2</v>
      </c>
      <c r="F490" s="1">
        <f>_xlfn.NUMBERVALUE(MID(aoc_02_input[[#This Row],[InputNumbers]],aoc_02_input[[#This Row],[PosDash]]+1,5))</f>
        <v>3</v>
      </c>
      <c r="G490" s="1" t="str">
        <f>LEFT(aoc_02_input[[#This Row],[InputChar]],1)</f>
        <v>j</v>
      </c>
      <c r="H490" s="1" cm="1">
        <f t="array" ref="H490">CountChar(aoc_02_input[[#This Row],[Password]],aoc_02_input[[#This Row],[Char]])</f>
        <v>4</v>
      </c>
      <c r="I490" s="1">
        <f>IF(AND(aoc_02_input[[#This Row],[Int1]]&lt;=aoc_02_input[[#This Row],[CountOfChar]],aoc_02_input[[#This Row],[CountOfChar]]&lt;=aoc_02_input[[#This Row],[Int2]]),1,0)</f>
        <v>0</v>
      </c>
      <c r="J490" s="1" t="str">
        <f>MID(aoc_02_input[[#This Row],[Password]],aoc_02_input[[#This Row],[Int1]],1)</f>
        <v>c</v>
      </c>
      <c r="K490" s="1">
        <f>IF(aoc_02_input[[#This Row],[Pos1]]=aoc_02_input[[#This Row],[Char]],1,0)</f>
        <v>0</v>
      </c>
      <c r="L490" s="1" t="str">
        <f>MID(aoc_02_input[[#This Row],[Password]],aoc_02_input[[#This Row],[Int2]],1)</f>
        <v>j</v>
      </c>
      <c r="M490" s="1">
        <f>IF(aoc_02_input[[#This Row],[Pos2]]=aoc_02_input[[#This Row],[Char]],1,0)</f>
        <v>1</v>
      </c>
      <c r="N490" s="1">
        <f>IF(aoc_02_input[[#This Row],[Pos1Valid]]&lt;&gt;aoc_02_input[[#This Row],[Pos2Valid]],1,0)</f>
        <v>1</v>
      </c>
    </row>
    <row r="491" spans="1:14" x14ac:dyDescent="0.45">
      <c r="A491" s="1" t="s">
        <v>234</v>
      </c>
      <c r="B491" s="1" t="s">
        <v>207</v>
      </c>
      <c r="C491" s="1" t="s">
        <v>845</v>
      </c>
      <c r="D491" s="1">
        <f>FIND("-",aoc_02_input[[#This Row],[InputNumbers]])</f>
        <v>2</v>
      </c>
      <c r="E491" s="1">
        <f>_xlfn.NUMBERVALUE(LEFT(aoc_02_input[[#This Row],[InputNumbers]],aoc_02_input[[#This Row],[PosDash]]-1))</f>
        <v>7</v>
      </c>
      <c r="F491" s="1">
        <f>_xlfn.NUMBERVALUE(MID(aoc_02_input[[#This Row],[InputNumbers]],aoc_02_input[[#This Row],[PosDash]]+1,5))</f>
        <v>8</v>
      </c>
      <c r="G491" s="1" t="str">
        <f>LEFT(aoc_02_input[[#This Row],[InputChar]],1)</f>
        <v>b</v>
      </c>
      <c r="H491" s="1" cm="1">
        <f t="array" ref="H491">CountChar(aoc_02_input[[#This Row],[Password]],aoc_02_input[[#This Row],[Char]])</f>
        <v>0</v>
      </c>
      <c r="I491" s="1">
        <f>IF(AND(aoc_02_input[[#This Row],[Int1]]&lt;=aoc_02_input[[#This Row],[CountOfChar]],aoc_02_input[[#This Row],[CountOfChar]]&lt;=aoc_02_input[[#This Row],[Int2]]),1,0)</f>
        <v>0</v>
      </c>
      <c r="J491" s="1" t="str">
        <f>MID(aoc_02_input[[#This Row],[Password]],aoc_02_input[[#This Row],[Int1]],1)</f>
        <v>j</v>
      </c>
      <c r="K491" s="1">
        <f>IF(aoc_02_input[[#This Row],[Pos1]]=aoc_02_input[[#This Row],[Char]],1,0)</f>
        <v>0</v>
      </c>
      <c r="L491" s="1" t="str">
        <f>MID(aoc_02_input[[#This Row],[Password]],aoc_02_input[[#This Row],[Int2]],1)</f>
        <v>j</v>
      </c>
      <c r="M491" s="1">
        <f>IF(aoc_02_input[[#This Row],[Pos2]]=aoc_02_input[[#This Row],[Char]],1,0)</f>
        <v>0</v>
      </c>
      <c r="N491" s="1">
        <f>IF(aoc_02_input[[#This Row],[Pos1Valid]]&lt;&gt;aoc_02_input[[#This Row],[Pos2Valid]],1,0)</f>
        <v>0</v>
      </c>
    </row>
    <row r="492" spans="1:14" x14ac:dyDescent="0.45">
      <c r="A492" s="1" t="s">
        <v>251</v>
      </c>
      <c r="B492" s="1" t="s">
        <v>225</v>
      </c>
      <c r="C492" s="1" t="s">
        <v>846</v>
      </c>
      <c r="D492" s="1">
        <f>FIND("-",aoc_02_input[[#This Row],[InputNumbers]])</f>
        <v>2</v>
      </c>
      <c r="E492" s="1">
        <f>_xlfn.NUMBERVALUE(LEFT(aoc_02_input[[#This Row],[InputNumbers]],aoc_02_input[[#This Row],[PosDash]]-1))</f>
        <v>5</v>
      </c>
      <c r="F492" s="1">
        <f>_xlfn.NUMBERVALUE(MID(aoc_02_input[[#This Row],[InputNumbers]],aoc_02_input[[#This Row],[PosDash]]+1,5))</f>
        <v>6</v>
      </c>
      <c r="G492" s="1" t="str">
        <f>LEFT(aoc_02_input[[#This Row],[InputChar]],1)</f>
        <v>j</v>
      </c>
      <c r="H492" s="1" cm="1">
        <f t="array" ref="H492">CountChar(aoc_02_input[[#This Row],[Password]],aoc_02_input[[#This Row],[Char]])</f>
        <v>4</v>
      </c>
      <c r="I492" s="1">
        <f>IF(AND(aoc_02_input[[#This Row],[Int1]]&lt;=aoc_02_input[[#This Row],[CountOfChar]],aoc_02_input[[#This Row],[CountOfChar]]&lt;=aoc_02_input[[#This Row],[Int2]]),1,0)</f>
        <v>0</v>
      </c>
      <c r="J492" s="1" t="str">
        <f>MID(aoc_02_input[[#This Row],[Password]],aoc_02_input[[#This Row],[Int1]],1)</f>
        <v>g</v>
      </c>
      <c r="K492" s="1">
        <f>IF(aoc_02_input[[#This Row],[Pos1]]=aoc_02_input[[#This Row],[Char]],1,0)</f>
        <v>0</v>
      </c>
      <c r="L492" s="1" t="str">
        <f>MID(aoc_02_input[[#This Row],[Password]],aoc_02_input[[#This Row],[Int2]],1)</f>
        <v>k</v>
      </c>
      <c r="M492" s="1">
        <f>IF(aoc_02_input[[#This Row],[Pos2]]=aoc_02_input[[#This Row],[Char]],1,0)</f>
        <v>0</v>
      </c>
      <c r="N492" s="1">
        <f>IF(aoc_02_input[[#This Row],[Pos1Valid]]&lt;&gt;aoc_02_input[[#This Row],[Pos2Valid]],1,0)</f>
        <v>0</v>
      </c>
    </row>
    <row r="493" spans="1:14" x14ac:dyDescent="0.45">
      <c r="A493" s="1" t="s">
        <v>242</v>
      </c>
      <c r="B493" s="1" t="s">
        <v>278</v>
      </c>
      <c r="C493" s="1" t="s">
        <v>847</v>
      </c>
      <c r="D493" s="1">
        <f>FIND("-",aoc_02_input[[#This Row],[InputNumbers]])</f>
        <v>3</v>
      </c>
      <c r="E493" s="1">
        <f>_xlfn.NUMBERVALUE(LEFT(aoc_02_input[[#This Row],[InputNumbers]],aoc_02_input[[#This Row],[PosDash]]-1))</f>
        <v>10</v>
      </c>
      <c r="F493" s="1">
        <f>_xlfn.NUMBERVALUE(MID(aoc_02_input[[#This Row],[InputNumbers]],aoc_02_input[[#This Row],[PosDash]]+1,5))</f>
        <v>11</v>
      </c>
      <c r="G493" s="1" t="str">
        <f>LEFT(aoc_02_input[[#This Row],[InputChar]],1)</f>
        <v>x</v>
      </c>
      <c r="H493" s="1" cm="1">
        <f t="array" ref="H493">CountChar(aoc_02_input[[#This Row],[Password]],aoc_02_input[[#This Row],[Char]])</f>
        <v>10</v>
      </c>
      <c r="I493" s="1">
        <f>IF(AND(aoc_02_input[[#This Row],[Int1]]&lt;=aoc_02_input[[#This Row],[CountOfChar]],aoc_02_input[[#This Row],[CountOfChar]]&lt;=aoc_02_input[[#This Row],[Int2]]),1,0)</f>
        <v>1</v>
      </c>
      <c r="J493" s="1" t="str">
        <f>MID(aoc_02_input[[#This Row],[Password]],aoc_02_input[[#This Row],[Int1]],1)</f>
        <v>f</v>
      </c>
      <c r="K493" s="1">
        <f>IF(aoc_02_input[[#This Row],[Pos1]]=aoc_02_input[[#This Row],[Char]],1,0)</f>
        <v>0</v>
      </c>
      <c r="L493" s="1" t="str">
        <f>MID(aoc_02_input[[#This Row],[Password]],aoc_02_input[[#This Row],[Int2]],1)</f>
        <v>f</v>
      </c>
      <c r="M493" s="1">
        <f>IF(aoc_02_input[[#This Row],[Pos2]]=aoc_02_input[[#This Row],[Char]],1,0)</f>
        <v>0</v>
      </c>
      <c r="N493" s="1">
        <f>IF(aoc_02_input[[#This Row],[Pos1Valid]]&lt;&gt;aoc_02_input[[#This Row],[Pos2Valid]],1,0)</f>
        <v>0</v>
      </c>
    </row>
    <row r="494" spans="1:14" x14ac:dyDescent="0.45">
      <c r="A494" s="1" t="s">
        <v>848</v>
      </c>
      <c r="B494" s="1" t="s">
        <v>254</v>
      </c>
      <c r="C494" s="1" t="s">
        <v>849</v>
      </c>
      <c r="D494" s="1">
        <f>FIND("-",aoc_02_input[[#This Row],[InputNumbers]])</f>
        <v>2</v>
      </c>
      <c r="E494" s="1">
        <f>_xlfn.NUMBERVALUE(LEFT(aoc_02_input[[#This Row],[InputNumbers]],aoc_02_input[[#This Row],[PosDash]]-1))</f>
        <v>5</v>
      </c>
      <c r="F494" s="1">
        <f>_xlfn.NUMBERVALUE(MID(aoc_02_input[[#This Row],[InputNumbers]],aoc_02_input[[#This Row],[PosDash]]+1,5))</f>
        <v>15</v>
      </c>
      <c r="G494" s="1" t="str">
        <f>LEFT(aoc_02_input[[#This Row],[InputChar]],1)</f>
        <v>k</v>
      </c>
      <c r="H494" s="1" cm="1">
        <f t="array" ref="H494">CountChar(aoc_02_input[[#This Row],[Password]],aoc_02_input[[#This Row],[Char]])</f>
        <v>18</v>
      </c>
      <c r="I494" s="1">
        <f>IF(AND(aoc_02_input[[#This Row],[Int1]]&lt;=aoc_02_input[[#This Row],[CountOfChar]],aoc_02_input[[#This Row],[CountOfChar]]&lt;=aoc_02_input[[#This Row],[Int2]]),1,0)</f>
        <v>0</v>
      </c>
      <c r="J494" s="1" t="str">
        <f>MID(aoc_02_input[[#This Row],[Password]],aoc_02_input[[#This Row],[Int1]],1)</f>
        <v>n</v>
      </c>
      <c r="K494" s="1">
        <f>IF(aoc_02_input[[#This Row],[Pos1]]=aoc_02_input[[#This Row],[Char]],1,0)</f>
        <v>0</v>
      </c>
      <c r="L494" s="1" t="str">
        <f>MID(aoc_02_input[[#This Row],[Password]],aoc_02_input[[#This Row],[Int2]],1)</f>
        <v>k</v>
      </c>
      <c r="M494" s="1">
        <f>IF(aoc_02_input[[#This Row],[Pos2]]=aoc_02_input[[#This Row],[Char]],1,0)</f>
        <v>1</v>
      </c>
      <c r="N494" s="1">
        <f>IF(aoc_02_input[[#This Row],[Pos1Valid]]&lt;&gt;aoc_02_input[[#This Row],[Pos2Valid]],1,0)</f>
        <v>1</v>
      </c>
    </row>
    <row r="495" spans="1:14" x14ac:dyDescent="0.45">
      <c r="A495" s="1" t="s">
        <v>283</v>
      </c>
      <c r="B495" s="1" t="s">
        <v>228</v>
      </c>
      <c r="C495" s="1" t="s">
        <v>850</v>
      </c>
      <c r="D495" s="1">
        <f>FIND("-",aoc_02_input[[#This Row],[InputNumbers]])</f>
        <v>2</v>
      </c>
      <c r="E495" s="1">
        <f>_xlfn.NUMBERVALUE(LEFT(aoc_02_input[[#This Row],[InputNumbers]],aoc_02_input[[#This Row],[PosDash]]-1))</f>
        <v>3</v>
      </c>
      <c r="F495" s="1">
        <f>_xlfn.NUMBERVALUE(MID(aoc_02_input[[#This Row],[InputNumbers]],aoc_02_input[[#This Row],[PosDash]]+1,5))</f>
        <v>4</v>
      </c>
      <c r="G495" s="1" t="str">
        <f>LEFT(aoc_02_input[[#This Row],[InputChar]],1)</f>
        <v>t</v>
      </c>
      <c r="H495" s="1" cm="1">
        <f t="array" ref="H495">CountChar(aoc_02_input[[#This Row],[Password]],aoc_02_input[[#This Row],[Char]])</f>
        <v>3</v>
      </c>
      <c r="I495" s="1">
        <f>IF(AND(aoc_02_input[[#This Row],[Int1]]&lt;=aoc_02_input[[#This Row],[CountOfChar]],aoc_02_input[[#This Row],[CountOfChar]]&lt;=aoc_02_input[[#This Row],[Int2]]),1,0)</f>
        <v>1</v>
      </c>
      <c r="J495" s="1" t="str">
        <f>MID(aoc_02_input[[#This Row],[Password]],aoc_02_input[[#This Row],[Int1]],1)</f>
        <v>t</v>
      </c>
      <c r="K495" s="1">
        <f>IF(aoc_02_input[[#This Row],[Pos1]]=aoc_02_input[[#This Row],[Char]],1,0)</f>
        <v>1</v>
      </c>
      <c r="L495" s="1" t="str">
        <f>MID(aoc_02_input[[#This Row],[Password]],aoc_02_input[[#This Row],[Int2]],1)</f>
        <v>t</v>
      </c>
      <c r="M495" s="1">
        <f>IF(aoc_02_input[[#This Row],[Pos2]]=aoc_02_input[[#This Row],[Char]],1,0)</f>
        <v>1</v>
      </c>
      <c r="N495" s="1">
        <f>IF(aoc_02_input[[#This Row],[Pos1Valid]]&lt;&gt;aoc_02_input[[#This Row],[Pos2Valid]],1,0)</f>
        <v>0</v>
      </c>
    </row>
    <row r="496" spans="1:14" x14ac:dyDescent="0.45">
      <c r="A496" s="1" t="s">
        <v>290</v>
      </c>
      <c r="B496" s="1" t="s">
        <v>238</v>
      </c>
      <c r="C496" s="1" t="s">
        <v>851</v>
      </c>
      <c r="D496" s="1">
        <f>FIND("-",aoc_02_input[[#This Row],[InputNumbers]])</f>
        <v>2</v>
      </c>
      <c r="E496" s="1">
        <f>_xlfn.NUMBERVALUE(LEFT(aoc_02_input[[#This Row],[InputNumbers]],aoc_02_input[[#This Row],[PosDash]]-1))</f>
        <v>8</v>
      </c>
      <c r="F496" s="1">
        <f>_xlfn.NUMBERVALUE(MID(aoc_02_input[[#This Row],[InputNumbers]],aoc_02_input[[#This Row],[PosDash]]+1,5))</f>
        <v>10</v>
      </c>
      <c r="G496" s="1" t="str">
        <f>LEFT(aoc_02_input[[#This Row],[InputChar]],1)</f>
        <v>w</v>
      </c>
      <c r="H496" s="1" cm="1">
        <f t="array" ref="H496">CountChar(aoc_02_input[[#This Row],[Password]],aoc_02_input[[#This Row],[Char]])</f>
        <v>5</v>
      </c>
      <c r="I496" s="1">
        <f>IF(AND(aoc_02_input[[#This Row],[Int1]]&lt;=aoc_02_input[[#This Row],[CountOfChar]],aoc_02_input[[#This Row],[CountOfChar]]&lt;=aoc_02_input[[#This Row],[Int2]]),1,0)</f>
        <v>0</v>
      </c>
      <c r="J496" s="1" t="str">
        <f>MID(aoc_02_input[[#This Row],[Password]],aoc_02_input[[#This Row],[Int1]],1)</f>
        <v>w</v>
      </c>
      <c r="K496" s="1">
        <f>IF(aoc_02_input[[#This Row],[Pos1]]=aoc_02_input[[#This Row],[Char]],1,0)</f>
        <v>1</v>
      </c>
      <c r="L496" s="1" t="str">
        <f>MID(aoc_02_input[[#This Row],[Password]],aoc_02_input[[#This Row],[Int2]],1)</f>
        <v>n</v>
      </c>
      <c r="M496" s="1">
        <f>IF(aoc_02_input[[#This Row],[Pos2]]=aoc_02_input[[#This Row],[Char]],1,0)</f>
        <v>0</v>
      </c>
      <c r="N496" s="1">
        <f>IF(aoc_02_input[[#This Row],[Pos1Valid]]&lt;&gt;aoc_02_input[[#This Row],[Pos2Valid]],1,0)</f>
        <v>1</v>
      </c>
    </row>
    <row r="497" spans="1:14" x14ac:dyDescent="0.45">
      <c r="A497" s="1" t="s">
        <v>660</v>
      </c>
      <c r="B497" s="1" t="s">
        <v>235</v>
      </c>
      <c r="C497" s="1" t="s">
        <v>852</v>
      </c>
      <c r="D497" s="1">
        <f>FIND("-",aoc_02_input[[#This Row],[InputNumbers]])</f>
        <v>2</v>
      </c>
      <c r="E497" s="1">
        <f>_xlfn.NUMBERVALUE(LEFT(aoc_02_input[[#This Row],[InputNumbers]],aoc_02_input[[#This Row],[PosDash]]-1))</f>
        <v>4</v>
      </c>
      <c r="F497" s="1">
        <f>_xlfn.NUMBERVALUE(MID(aoc_02_input[[#This Row],[InputNumbers]],aoc_02_input[[#This Row],[PosDash]]+1,5))</f>
        <v>12</v>
      </c>
      <c r="G497" s="1" t="str">
        <f>LEFT(aoc_02_input[[#This Row],[InputChar]],1)</f>
        <v>d</v>
      </c>
      <c r="H497" s="1" cm="1">
        <f t="array" ref="H497">CountChar(aoc_02_input[[#This Row],[Password]],aoc_02_input[[#This Row],[Char]])</f>
        <v>13</v>
      </c>
      <c r="I497" s="1">
        <f>IF(AND(aoc_02_input[[#This Row],[Int1]]&lt;=aoc_02_input[[#This Row],[CountOfChar]],aoc_02_input[[#This Row],[CountOfChar]]&lt;=aoc_02_input[[#This Row],[Int2]]),1,0)</f>
        <v>0</v>
      </c>
      <c r="J497" s="1" t="str">
        <f>MID(aoc_02_input[[#This Row],[Password]],aoc_02_input[[#This Row],[Int1]],1)</f>
        <v>w</v>
      </c>
      <c r="K497" s="1">
        <f>IF(aoc_02_input[[#This Row],[Pos1]]=aoc_02_input[[#This Row],[Char]],1,0)</f>
        <v>0</v>
      </c>
      <c r="L497" s="1" t="str">
        <f>MID(aoc_02_input[[#This Row],[Password]],aoc_02_input[[#This Row],[Int2]],1)</f>
        <v>d</v>
      </c>
      <c r="M497" s="1">
        <f>IF(aoc_02_input[[#This Row],[Pos2]]=aoc_02_input[[#This Row],[Char]],1,0)</f>
        <v>1</v>
      </c>
      <c r="N497" s="1">
        <f>IF(aoc_02_input[[#This Row],[Pos1Valid]]&lt;&gt;aoc_02_input[[#This Row],[Pos2Valid]],1,0)</f>
        <v>1</v>
      </c>
    </row>
    <row r="498" spans="1:14" x14ac:dyDescent="0.45">
      <c r="A498" s="1" t="s">
        <v>221</v>
      </c>
      <c r="B498" s="1" t="s">
        <v>278</v>
      </c>
      <c r="C498" s="1" t="s">
        <v>853</v>
      </c>
      <c r="D498" s="1">
        <f>FIND("-",aoc_02_input[[#This Row],[InputNumbers]])</f>
        <v>2</v>
      </c>
      <c r="E498" s="1">
        <f>_xlfn.NUMBERVALUE(LEFT(aoc_02_input[[#This Row],[InputNumbers]],aoc_02_input[[#This Row],[PosDash]]-1))</f>
        <v>2</v>
      </c>
      <c r="F498" s="1">
        <f>_xlfn.NUMBERVALUE(MID(aoc_02_input[[#This Row],[InputNumbers]],aoc_02_input[[#This Row],[PosDash]]+1,5))</f>
        <v>3</v>
      </c>
      <c r="G498" s="1" t="str">
        <f>LEFT(aoc_02_input[[#This Row],[InputChar]],1)</f>
        <v>x</v>
      </c>
      <c r="H498" s="1" cm="1">
        <f t="array" ref="H498">CountChar(aoc_02_input[[#This Row],[Password]],aoc_02_input[[#This Row],[Char]])</f>
        <v>4</v>
      </c>
      <c r="I498" s="1">
        <f>IF(AND(aoc_02_input[[#This Row],[Int1]]&lt;=aoc_02_input[[#This Row],[CountOfChar]],aoc_02_input[[#This Row],[CountOfChar]]&lt;=aoc_02_input[[#This Row],[Int2]]),1,0)</f>
        <v>0</v>
      </c>
      <c r="J498" s="1" t="str">
        <f>MID(aoc_02_input[[#This Row],[Password]],aoc_02_input[[#This Row],[Int1]],1)</f>
        <v>x</v>
      </c>
      <c r="K498" s="1">
        <f>IF(aoc_02_input[[#This Row],[Pos1]]=aoc_02_input[[#This Row],[Char]],1,0)</f>
        <v>1</v>
      </c>
      <c r="L498" s="1" t="str">
        <f>MID(aoc_02_input[[#This Row],[Password]],aoc_02_input[[#This Row],[Int2]],1)</f>
        <v>x</v>
      </c>
      <c r="M498" s="1">
        <f>IF(aoc_02_input[[#This Row],[Pos2]]=aoc_02_input[[#This Row],[Char]],1,0)</f>
        <v>1</v>
      </c>
      <c r="N498" s="1">
        <f>IF(aoc_02_input[[#This Row],[Pos1Valid]]&lt;&gt;aoc_02_input[[#This Row],[Pos2Valid]],1,0)</f>
        <v>0</v>
      </c>
    </row>
    <row r="499" spans="1:14" x14ac:dyDescent="0.45">
      <c r="A499" s="1" t="s">
        <v>240</v>
      </c>
      <c r="B499" s="1" t="s">
        <v>225</v>
      </c>
      <c r="C499" s="1" t="s">
        <v>854</v>
      </c>
      <c r="D499" s="1">
        <f>FIND("-",aoc_02_input[[#This Row],[InputNumbers]])</f>
        <v>3</v>
      </c>
      <c r="E499" s="1">
        <f>_xlfn.NUMBERVALUE(LEFT(aoc_02_input[[#This Row],[InputNumbers]],aoc_02_input[[#This Row],[PosDash]]-1))</f>
        <v>12</v>
      </c>
      <c r="F499" s="1">
        <f>_xlfn.NUMBERVALUE(MID(aoc_02_input[[#This Row],[InputNumbers]],aoc_02_input[[#This Row],[PosDash]]+1,5))</f>
        <v>16</v>
      </c>
      <c r="G499" s="1" t="str">
        <f>LEFT(aoc_02_input[[#This Row],[InputChar]],1)</f>
        <v>j</v>
      </c>
      <c r="H499" s="1" cm="1">
        <f t="array" ref="H499">CountChar(aoc_02_input[[#This Row],[Password]],aoc_02_input[[#This Row],[Char]])</f>
        <v>16</v>
      </c>
      <c r="I499" s="1">
        <f>IF(AND(aoc_02_input[[#This Row],[Int1]]&lt;=aoc_02_input[[#This Row],[CountOfChar]],aoc_02_input[[#This Row],[CountOfChar]]&lt;=aoc_02_input[[#This Row],[Int2]]),1,0)</f>
        <v>1</v>
      </c>
      <c r="J499" s="1" t="str">
        <f>MID(aoc_02_input[[#This Row],[Password]],aoc_02_input[[#This Row],[Int1]],1)</f>
        <v>j</v>
      </c>
      <c r="K499" s="1">
        <f>IF(aoc_02_input[[#This Row],[Pos1]]=aoc_02_input[[#This Row],[Char]],1,0)</f>
        <v>1</v>
      </c>
      <c r="L499" s="1" t="str">
        <f>MID(aoc_02_input[[#This Row],[Password]],aoc_02_input[[#This Row],[Int2]],1)</f>
        <v>z</v>
      </c>
      <c r="M499" s="1">
        <f>IF(aoc_02_input[[#This Row],[Pos2]]=aoc_02_input[[#This Row],[Char]],1,0)</f>
        <v>0</v>
      </c>
      <c r="N499" s="1">
        <f>IF(aoc_02_input[[#This Row],[Pos1Valid]]&lt;&gt;aoc_02_input[[#This Row],[Pos2Valid]],1,0)</f>
        <v>1</v>
      </c>
    </row>
    <row r="500" spans="1:14" x14ac:dyDescent="0.45">
      <c r="A500" s="1" t="s">
        <v>218</v>
      </c>
      <c r="B500" s="1" t="s">
        <v>295</v>
      </c>
      <c r="C500" s="1" t="s">
        <v>855</v>
      </c>
      <c r="D500" s="1">
        <f>FIND("-",aoc_02_input[[#This Row],[InputNumbers]])</f>
        <v>2</v>
      </c>
      <c r="E500" s="1">
        <f>_xlfn.NUMBERVALUE(LEFT(aoc_02_input[[#This Row],[InputNumbers]],aoc_02_input[[#This Row],[PosDash]]-1))</f>
        <v>6</v>
      </c>
      <c r="F500" s="1">
        <f>_xlfn.NUMBERVALUE(MID(aoc_02_input[[#This Row],[InputNumbers]],aoc_02_input[[#This Row],[PosDash]]+1,5))</f>
        <v>8</v>
      </c>
      <c r="G500" s="1" t="str">
        <f>LEFT(aoc_02_input[[#This Row],[InputChar]],1)</f>
        <v>c</v>
      </c>
      <c r="H500" s="1" cm="1">
        <f t="array" ref="H500">CountChar(aoc_02_input[[#This Row],[Password]],aoc_02_input[[#This Row],[Char]])</f>
        <v>8</v>
      </c>
      <c r="I500" s="1">
        <f>IF(AND(aoc_02_input[[#This Row],[Int1]]&lt;=aoc_02_input[[#This Row],[CountOfChar]],aoc_02_input[[#This Row],[CountOfChar]]&lt;=aoc_02_input[[#This Row],[Int2]]),1,0)</f>
        <v>1</v>
      </c>
      <c r="J500" s="1" t="str">
        <f>MID(aoc_02_input[[#This Row],[Password]],aoc_02_input[[#This Row],[Int1]],1)</f>
        <v>l</v>
      </c>
      <c r="K500" s="1">
        <f>IF(aoc_02_input[[#This Row],[Pos1]]=aoc_02_input[[#This Row],[Char]],1,0)</f>
        <v>0</v>
      </c>
      <c r="L500" s="1" t="str">
        <f>MID(aoc_02_input[[#This Row],[Password]],aoc_02_input[[#This Row],[Int2]],1)</f>
        <v>c</v>
      </c>
      <c r="M500" s="1">
        <f>IF(aoc_02_input[[#This Row],[Pos2]]=aoc_02_input[[#This Row],[Char]],1,0)</f>
        <v>1</v>
      </c>
      <c r="N500" s="1">
        <f>IF(aoc_02_input[[#This Row],[Pos1Valid]]&lt;&gt;aoc_02_input[[#This Row],[Pos2Valid]],1,0)</f>
        <v>1</v>
      </c>
    </row>
    <row r="501" spans="1:14" x14ac:dyDescent="0.45">
      <c r="A501" s="1" t="s">
        <v>271</v>
      </c>
      <c r="B501" s="1" t="s">
        <v>252</v>
      </c>
      <c r="C501" s="1" t="s">
        <v>856</v>
      </c>
      <c r="D501" s="1">
        <f>FIND("-",aoc_02_input[[#This Row],[InputNumbers]])</f>
        <v>2</v>
      </c>
      <c r="E501" s="1">
        <f>_xlfn.NUMBERVALUE(LEFT(aoc_02_input[[#This Row],[InputNumbers]],aoc_02_input[[#This Row],[PosDash]]-1))</f>
        <v>9</v>
      </c>
      <c r="F501" s="1">
        <f>_xlfn.NUMBERVALUE(MID(aoc_02_input[[#This Row],[InputNumbers]],aoc_02_input[[#This Row],[PosDash]]+1,5))</f>
        <v>10</v>
      </c>
      <c r="G501" s="1" t="str">
        <f>LEFT(aoc_02_input[[#This Row],[InputChar]],1)</f>
        <v>p</v>
      </c>
      <c r="H501" s="1" cm="1">
        <f t="array" ref="H501">CountChar(aoc_02_input[[#This Row],[Password]],aoc_02_input[[#This Row],[Char]])</f>
        <v>8</v>
      </c>
      <c r="I501" s="1">
        <f>IF(AND(aoc_02_input[[#This Row],[Int1]]&lt;=aoc_02_input[[#This Row],[CountOfChar]],aoc_02_input[[#This Row],[CountOfChar]]&lt;=aoc_02_input[[#This Row],[Int2]]),1,0)</f>
        <v>0</v>
      </c>
      <c r="J501" s="1" t="str">
        <f>MID(aoc_02_input[[#This Row],[Password]],aoc_02_input[[#This Row],[Int1]],1)</f>
        <v>s</v>
      </c>
      <c r="K501" s="1">
        <f>IF(aoc_02_input[[#This Row],[Pos1]]=aoc_02_input[[#This Row],[Char]],1,0)</f>
        <v>0</v>
      </c>
      <c r="L501" s="1" t="str">
        <f>MID(aoc_02_input[[#This Row],[Password]],aoc_02_input[[#This Row],[Int2]],1)</f>
        <v>d</v>
      </c>
      <c r="M501" s="1">
        <f>IF(aoc_02_input[[#This Row],[Pos2]]=aoc_02_input[[#This Row],[Char]],1,0)</f>
        <v>0</v>
      </c>
      <c r="N501" s="1">
        <f>IF(aoc_02_input[[#This Row],[Pos1Valid]]&lt;&gt;aoc_02_input[[#This Row],[Pos2Valid]],1,0)</f>
        <v>0</v>
      </c>
    </row>
    <row r="502" spans="1:14" x14ac:dyDescent="0.45">
      <c r="A502" s="1" t="s">
        <v>221</v>
      </c>
      <c r="B502" s="1" t="s">
        <v>246</v>
      </c>
      <c r="C502" s="1" t="s">
        <v>857</v>
      </c>
      <c r="D502" s="1">
        <f>FIND("-",aoc_02_input[[#This Row],[InputNumbers]])</f>
        <v>2</v>
      </c>
      <c r="E502" s="1">
        <f>_xlfn.NUMBERVALUE(LEFT(aoc_02_input[[#This Row],[InputNumbers]],aoc_02_input[[#This Row],[PosDash]]-1))</f>
        <v>2</v>
      </c>
      <c r="F502" s="1">
        <f>_xlfn.NUMBERVALUE(MID(aoc_02_input[[#This Row],[InputNumbers]],aoc_02_input[[#This Row],[PosDash]]+1,5))</f>
        <v>3</v>
      </c>
      <c r="G502" s="1" t="str">
        <f>LEFT(aoc_02_input[[#This Row],[InputChar]],1)</f>
        <v>n</v>
      </c>
      <c r="H502" s="1" cm="1">
        <f t="array" ref="H502">CountChar(aoc_02_input[[#This Row],[Password]],aoc_02_input[[#This Row],[Char]])</f>
        <v>2</v>
      </c>
      <c r="I502" s="1">
        <f>IF(AND(aoc_02_input[[#This Row],[Int1]]&lt;=aoc_02_input[[#This Row],[CountOfChar]],aoc_02_input[[#This Row],[CountOfChar]]&lt;=aoc_02_input[[#This Row],[Int2]]),1,0)</f>
        <v>1</v>
      </c>
      <c r="J502" s="1" t="str">
        <f>MID(aoc_02_input[[#This Row],[Password]],aoc_02_input[[#This Row],[Int1]],1)</f>
        <v>p</v>
      </c>
      <c r="K502" s="1">
        <f>IF(aoc_02_input[[#This Row],[Pos1]]=aoc_02_input[[#This Row],[Char]],1,0)</f>
        <v>0</v>
      </c>
      <c r="L502" s="1" t="str">
        <f>MID(aoc_02_input[[#This Row],[Password]],aoc_02_input[[#This Row],[Int2]],1)</f>
        <v>n</v>
      </c>
      <c r="M502" s="1">
        <f>IF(aoc_02_input[[#This Row],[Pos2]]=aoc_02_input[[#This Row],[Char]],1,0)</f>
        <v>1</v>
      </c>
      <c r="N502" s="1">
        <f>IF(aoc_02_input[[#This Row],[Pos1Valid]]&lt;&gt;aoc_02_input[[#This Row],[Pos2Valid]],1,0)</f>
        <v>1</v>
      </c>
    </row>
    <row r="503" spans="1:14" x14ac:dyDescent="0.45">
      <c r="A503" s="1" t="s">
        <v>234</v>
      </c>
      <c r="B503" s="1" t="s">
        <v>216</v>
      </c>
      <c r="C503" s="1" t="s">
        <v>858</v>
      </c>
      <c r="D503" s="1">
        <f>FIND("-",aoc_02_input[[#This Row],[InputNumbers]])</f>
        <v>2</v>
      </c>
      <c r="E503" s="1">
        <f>_xlfn.NUMBERVALUE(LEFT(aoc_02_input[[#This Row],[InputNumbers]],aoc_02_input[[#This Row],[PosDash]]-1))</f>
        <v>7</v>
      </c>
      <c r="F503" s="1">
        <f>_xlfn.NUMBERVALUE(MID(aoc_02_input[[#This Row],[InputNumbers]],aoc_02_input[[#This Row],[PosDash]]+1,5))</f>
        <v>8</v>
      </c>
      <c r="G503" s="1" t="str">
        <f>LEFT(aoc_02_input[[#This Row],[InputChar]],1)</f>
        <v>z</v>
      </c>
      <c r="H503" s="1" cm="1">
        <f t="array" ref="H503">CountChar(aoc_02_input[[#This Row],[Password]],aoc_02_input[[#This Row],[Char]])</f>
        <v>8</v>
      </c>
      <c r="I503" s="1">
        <f>IF(AND(aoc_02_input[[#This Row],[Int1]]&lt;=aoc_02_input[[#This Row],[CountOfChar]],aoc_02_input[[#This Row],[CountOfChar]]&lt;=aoc_02_input[[#This Row],[Int2]]),1,0)</f>
        <v>1</v>
      </c>
      <c r="J503" s="1" t="str">
        <f>MID(aoc_02_input[[#This Row],[Password]],aoc_02_input[[#This Row],[Int1]],1)</f>
        <v>z</v>
      </c>
      <c r="K503" s="1">
        <f>IF(aoc_02_input[[#This Row],[Pos1]]=aoc_02_input[[#This Row],[Char]],1,0)</f>
        <v>1</v>
      </c>
      <c r="L503" s="1" t="str">
        <f>MID(aoc_02_input[[#This Row],[Password]],aoc_02_input[[#This Row],[Int2]],1)</f>
        <v>z</v>
      </c>
      <c r="M503" s="1">
        <f>IF(aoc_02_input[[#This Row],[Pos2]]=aoc_02_input[[#This Row],[Char]],1,0)</f>
        <v>1</v>
      </c>
      <c r="N503" s="1">
        <f>IF(aoc_02_input[[#This Row],[Pos1Valid]]&lt;&gt;aoc_02_input[[#This Row],[Pos2Valid]],1,0)</f>
        <v>0</v>
      </c>
    </row>
    <row r="504" spans="1:14" x14ac:dyDescent="0.45">
      <c r="A504" s="1" t="s">
        <v>555</v>
      </c>
      <c r="B504" s="1" t="s">
        <v>216</v>
      </c>
      <c r="C504" s="1" t="s">
        <v>859</v>
      </c>
      <c r="D504" s="1">
        <f>FIND("-",aoc_02_input[[#This Row],[InputNumbers]])</f>
        <v>2</v>
      </c>
      <c r="E504" s="1">
        <f>_xlfn.NUMBERVALUE(LEFT(aoc_02_input[[#This Row],[InputNumbers]],aoc_02_input[[#This Row],[PosDash]]-1))</f>
        <v>1</v>
      </c>
      <c r="F504" s="1">
        <f>_xlfn.NUMBERVALUE(MID(aoc_02_input[[#This Row],[InputNumbers]],aoc_02_input[[#This Row],[PosDash]]+1,5))</f>
        <v>10</v>
      </c>
      <c r="G504" s="1" t="str">
        <f>LEFT(aoc_02_input[[#This Row],[InputChar]],1)</f>
        <v>z</v>
      </c>
      <c r="H504" s="1" cm="1">
        <f t="array" ref="H504">CountChar(aoc_02_input[[#This Row],[Password]],aoc_02_input[[#This Row],[Char]])</f>
        <v>2</v>
      </c>
      <c r="I504" s="1">
        <f>IF(AND(aoc_02_input[[#This Row],[Int1]]&lt;=aoc_02_input[[#This Row],[CountOfChar]],aoc_02_input[[#This Row],[CountOfChar]]&lt;=aoc_02_input[[#This Row],[Int2]]),1,0)</f>
        <v>1</v>
      </c>
      <c r="J504" s="1" t="str">
        <f>MID(aoc_02_input[[#This Row],[Password]],aoc_02_input[[#This Row],[Int1]],1)</f>
        <v>v</v>
      </c>
      <c r="K504" s="1">
        <f>IF(aoc_02_input[[#This Row],[Pos1]]=aoc_02_input[[#This Row],[Char]],1,0)</f>
        <v>0</v>
      </c>
      <c r="L504" s="1" t="str">
        <f>MID(aoc_02_input[[#This Row],[Password]],aoc_02_input[[#This Row],[Int2]],1)</f>
        <v>z</v>
      </c>
      <c r="M504" s="1">
        <f>IF(aoc_02_input[[#This Row],[Pos2]]=aoc_02_input[[#This Row],[Char]],1,0)</f>
        <v>1</v>
      </c>
      <c r="N504" s="1">
        <f>IF(aoc_02_input[[#This Row],[Pos1Valid]]&lt;&gt;aoc_02_input[[#This Row],[Pos2Valid]],1,0)</f>
        <v>1</v>
      </c>
    </row>
    <row r="505" spans="1:14" x14ac:dyDescent="0.45">
      <c r="A505" s="1" t="s">
        <v>307</v>
      </c>
      <c r="B505" s="1" t="s">
        <v>228</v>
      </c>
      <c r="C505" s="1" t="s">
        <v>860</v>
      </c>
      <c r="D505" s="1">
        <f>FIND("-",aoc_02_input[[#This Row],[InputNumbers]])</f>
        <v>2</v>
      </c>
      <c r="E505" s="1">
        <f>_xlfn.NUMBERVALUE(LEFT(aoc_02_input[[#This Row],[InputNumbers]],aoc_02_input[[#This Row],[PosDash]]-1))</f>
        <v>3</v>
      </c>
      <c r="F505" s="1">
        <f>_xlfn.NUMBERVALUE(MID(aoc_02_input[[#This Row],[InputNumbers]],aoc_02_input[[#This Row],[PosDash]]+1,5))</f>
        <v>5</v>
      </c>
      <c r="G505" s="1" t="str">
        <f>LEFT(aoc_02_input[[#This Row],[InputChar]],1)</f>
        <v>t</v>
      </c>
      <c r="H505" s="1" cm="1">
        <f t="array" ref="H505">CountChar(aoc_02_input[[#This Row],[Password]],aoc_02_input[[#This Row],[Char]])</f>
        <v>8</v>
      </c>
      <c r="I505" s="1">
        <f>IF(AND(aoc_02_input[[#This Row],[Int1]]&lt;=aoc_02_input[[#This Row],[CountOfChar]],aoc_02_input[[#This Row],[CountOfChar]]&lt;=aoc_02_input[[#This Row],[Int2]]),1,0)</f>
        <v>0</v>
      </c>
      <c r="J505" s="1" t="str">
        <f>MID(aoc_02_input[[#This Row],[Password]],aoc_02_input[[#This Row],[Int1]],1)</f>
        <v>f</v>
      </c>
      <c r="K505" s="1">
        <f>IF(aoc_02_input[[#This Row],[Pos1]]=aoc_02_input[[#This Row],[Char]],1,0)</f>
        <v>0</v>
      </c>
      <c r="L505" s="1" t="str">
        <f>MID(aoc_02_input[[#This Row],[Password]],aoc_02_input[[#This Row],[Int2]],1)</f>
        <v>t</v>
      </c>
      <c r="M505" s="1">
        <f>IF(aoc_02_input[[#This Row],[Pos2]]=aoc_02_input[[#This Row],[Char]],1,0)</f>
        <v>1</v>
      </c>
      <c r="N505" s="1">
        <f>IF(aoc_02_input[[#This Row],[Pos1Valid]]&lt;&gt;aoc_02_input[[#This Row],[Pos2Valid]],1,0)</f>
        <v>1</v>
      </c>
    </row>
    <row r="506" spans="1:14" x14ac:dyDescent="0.45">
      <c r="A506" s="1" t="s">
        <v>227</v>
      </c>
      <c r="B506" s="1" t="s">
        <v>278</v>
      </c>
      <c r="C506" s="1" t="s">
        <v>861</v>
      </c>
      <c r="D506" s="1">
        <f>FIND("-",aoc_02_input[[#This Row],[InputNumbers]])</f>
        <v>2</v>
      </c>
      <c r="E506" s="1">
        <f>_xlfn.NUMBERVALUE(LEFT(aoc_02_input[[#This Row],[InputNumbers]],aoc_02_input[[#This Row],[PosDash]]-1))</f>
        <v>4</v>
      </c>
      <c r="F506" s="1">
        <f>_xlfn.NUMBERVALUE(MID(aoc_02_input[[#This Row],[InputNumbers]],aoc_02_input[[#This Row],[PosDash]]+1,5))</f>
        <v>5</v>
      </c>
      <c r="G506" s="1" t="str">
        <f>LEFT(aoc_02_input[[#This Row],[InputChar]],1)</f>
        <v>x</v>
      </c>
      <c r="H506" s="1" cm="1">
        <f t="array" ref="H506">CountChar(aoc_02_input[[#This Row],[Password]],aoc_02_input[[#This Row],[Char]])</f>
        <v>3</v>
      </c>
      <c r="I506" s="1">
        <f>IF(AND(aoc_02_input[[#This Row],[Int1]]&lt;=aoc_02_input[[#This Row],[CountOfChar]],aoc_02_input[[#This Row],[CountOfChar]]&lt;=aoc_02_input[[#This Row],[Int2]]),1,0)</f>
        <v>0</v>
      </c>
      <c r="J506" s="1" t="str">
        <f>MID(aoc_02_input[[#This Row],[Password]],aoc_02_input[[#This Row],[Int1]],1)</f>
        <v>p</v>
      </c>
      <c r="K506" s="1">
        <f>IF(aoc_02_input[[#This Row],[Pos1]]=aoc_02_input[[#This Row],[Char]],1,0)</f>
        <v>0</v>
      </c>
      <c r="L506" s="1" t="str">
        <f>MID(aoc_02_input[[#This Row],[Password]],aoc_02_input[[#This Row],[Int2]],1)</f>
        <v>x</v>
      </c>
      <c r="M506" s="1">
        <f>IF(aoc_02_input[[#This Row],[Pos2]]=aoc_02_input[[#This Row],[Char]],1,0)</f>
        <v>1</v>
      </c>
      <c r="N506" s="1">
        <f>IF(aoc_02_input[[#This Row],[Pos1Valid]]&lt;&gt;aoc_02_input[[#This Row],[Pos2Valid]],1,0)</f>
        <v>1</v>
      </c>
    </row>
    <row r="507" spans="1:14" x14ac:dyDescent="0.45">
      <c r="A507" s="1" t="s">
        <v>352</v>
      </c>
      <c r="B507" s="1" t="s">
        <v>216</v>
      </c>
      <c r="C507" s="1" t="s">
        <v>862</v>
      </c>
      <c r="D507" s="1">
        <f>FIND("-",aoc_02_input[[#This Row],[InputNumbers]])</f>
        <v>3</v>
      </c>
      <c r="E507" s="1">
        <f>_xlfn.NUMBERVALUE(LEFT(aoc_02_input[[#This Row],[InputNumbers]],aoc_02_input[[#This Row],[PosDash]]-1))</f>
        <v>15</v>
      </c>
      <c r="F507" s="1">
        <f>_xlfn.NUMBERVALUE(MID(aoc_02_input[[#This Row],[InputNumbers]],aoc_02_input[[#This Row],[PosDash]]+1,5))</f>
        <v>16</v>
      </c>
      <c r="G507" s="1" t="str">
        <f>LEFT(aoc_02_input[[#This Row],[InputChar]],1)</f>
        <v>z</v>
      </c>
      <c r="H507" s="1" cm="1">
        <f t="array" ref="H507">CountChar(aoc_02_input[[#This Row],[Password]],aoc_02_input[[#This Row],[Char]])</f>
        <v>15</v>
      </c>
      <c r="I507" s="1">
        <f>IF(AND(aoc_02_input[[#This Row],[Int1]]&lt;=aoc_02_input[[#This Row],[CountOfChar]],aoc_02_input[[#This Row],[CountOfChar]]&lt;=aoc_02_input[[#This Row],[Int2]]),1,0)</f>
        <v>1</v>
      </c>
      <c r="J507" s="1" t="str">
        <f>MID(aoc_02_input[[#This Row],[Password]],aoc_02_input[[#This Row],[Int1]],1)</f>
        <v>z</v>
      </c>
      <c r="K507" s="1">
        <f>IF(aoc_02_input[[#This Row],[Pos1]]=aoc_02_input[[#This Row],[Char]],1,0)</f>
        <v>1</v>
      </c>
      <c r="L507" s="1" t="str">
        <f>MID(aoc_02_input[[#This Row],[Password]],aoc_02_input[[#This Row],[Int2]],1)</f>
        <v>x</v>
      </c>
      <c r="M507" s="1">
        <f>IF(aoc_02_input[[#This Row],[Pos2]]=aoc_02_input[[#This Row],[Char]],1,0)</f>
        <v>0</v>
      </c>
      <c r="N507" s="1">
        <f>IF(aoc_02_input[[#This Row],[Pos1Valid]]&lt;&gt;aoc_02_input[[#This Row],[Pos2Valid]],1,0)</f>
        <v>1</v>
      </c>
    </row>
    <row r="508" spans="1:14" x14ac:dyDescent="0.45">
      <c r="A508" s="1" t="s">
        <v>309</v>
      </c>
      <c r="B508" s="1" t="s">
        <v>213</v>
      </c>
      <c r="C508" s="1" t="s">
        <v>863</v>
      </c>
      <c r="D508" s="1">
        <f>FIND("-",aoc_02_input[[#This Row],[InputNumbers]])</f>
        <v>2</v>
      </c>
      <c r="E508" s="1">
        <f>_xlfn.NUMBERVALUE(LEFT(aoc_02_input[[#This Row],[InputNumbers]],aoc_02_input[[#This Row],[PosDash]]-1))</f>
        <v>8</v>
      </c>
      <c r="F508" s="1">
        <f>_xlfn.NUMBERVALUE(MID(aoc_02_input[[#This Row],[InputNumbers]],aoc_02_input[[#This Row],[PosDash]]+1,5))</f>
        <v>11</v>
      </c>
      <c r="G508" s="1" t="str">
        <f>LEFT(aoc_02_input[[#This Row],[InputChar]],1)</f>
        <v>m</v>
      </c>
      <c r="H508" s="1" cm="1">
        <f t="array" ref="H508">CountChar(aoc_02_input[[#This Row],[Password]],aoc_02_input[[#This Row],[Char]])</f>
        <v>6</v>
      </c>
      <c r="I508" s="1">
        <f>IF(AND(aoc_02_input[[#This Row],[Int1]]&lt;=aoc_02_input[[#This Row],[CountOfChar]],aoc_02_input[[#This Row],[CountOfChar]]&lt;=aoc_02_input[[#This Row],[Int2]]),1,0)</f>
        <v>0</v>
      </c>
      <c r="J508" s="1" t="str">
        <f>MID(aoc_02_input[[#This Row],[Password]],aoc_02_input[[#This Row],[Int1]],1)</f>
        <v>m</v>
      </c>
      <c r="K508" s="1">
        <f>IF(aoc_02_input[[#This Row],[Pos1]]=aoc_02_input[[#This Row],[Char]],1,0)</f>
        <v>1</v>
      </c>
      <c r="L508" s="1" t="str">
        <f>MID(aoc_02_input[[#This Row],[Password]],aoc_02_input[[#This Row],[Int2]],1)</f>
        <v>m</v>
      </c>
      <c r="M508" s="1">
        <f>IF(aoc_02_input[[#This Row],[Pos2]]=aoc_02_input[[#This Row],[Char]],1,0)</f>
        <v>1</v>
      </c>
      <c r="N508" s="1">
        <f>IF(aoc_02_input[[#This Row],[Pos1Valid]]&lt;&gt;aoc_02_input[[#This Row],[Pos2Valid]],1,0)</f>
        <v>0</v>
      </c>
    </row>
    <row r="509" spans="1:14" x14ac:dyDescent="0.45">
      <c r="A509" s="1" t="s">
        <v>230</v>
      </c>
      <c r="B509" s="1" t="s">
        <v>278</v>
      </c>
      <c r="C509" s="1" t="s">
        <v>864</v>
      </c>
      <c r="D509" s="1">
        <f>FIND("-",aoc_02_input[[#This Row],[InputNumbers]])</f>
        <v>2</v>
      </c>
      <c r="E509" s="1">
        <f>_xlfn.NUMBERVALUE(LEFT(aoc_02_input[[#This Row],[InputNumbers]],aoc_02_input[[#This Row],[PosDash]]-1))</f>
        <v>2</v>
      </c>
      <c r="F509" s="1">
        <f>_xlfn.NUMBERVALUE(MID(aoc_02_input[[#This Row],[InputNumbers]],aoc_02_input[[#This Row],[PosDash]]+1,5))</f>
        <v>4</v>
      </c>
      <c r="G509" s="1" t="str">
        <f>LEFT(aoc_02_input[[#This Row],[InputChar]],1)</f>
        <v>x</v>
      </c>
      <c r="H509" s="1" cm="1">
        <f t="array" ref="H509">CountChar(aoc_02_input[[#This Row],[Password]],aoc_02_input[[#This Row],[Char]])</f>
        <v>5</v>
      </c>
      <c r="I509" s="1">
        <f>IF(AND(aoc_02_input[[#This Row],[Int1]]&lt;=aoc_02_input[[#This Row],[CountOfChar]],aoc_02_input[[#This Row],[CountOfChar]]&lt;=aoc_02_input[[#This Row],[Int2]]),1,0)</f>
        <v>0</v>
      </c>
      <c r="J509" s="1" t="str">
        <f>MID(aoc_02_input[[#This Row],[Password]],aoc_02_input[[#This Row],[Int1]],1)</f>
        <v>x</v>
      </c>
      <c r="K509" s="1">
        <f>IF(aoc_02_input[[#This Row],[Pos1]]=aoc_02_input[[#This Row],[Char]],1,0)</f>
        <v>1</v>
      </c>
      <c r="L509" s="1" t="str">
        <f>MID(aoc_02_input[[#This Row],[Password]],aoc_02_input[[#This Row],[Int2]],1)</f>
        <v>x</v>
      </c>
      <c r="M509" s="1">
        <f>IF(aoc_02_input[[#This Row],[Pos2]]=aoc_02_input[[#This Row],[Char]],1,0)</f>
        <v>1</v>
      </c>
      <c r="N509" s="1">
        <f>IF(aoc_02_input[[#This Row],[Pos1Valid]]&lt;&gt;aoc_02_input[[#This Row],[Pos2Valid]],1,0)</f>
        <v>0</v>
      </c>
    </row>
    <row r="510" spans="1:14" x14ac:dyDescent="0.45">
      <c r="A510" s="1" t="s">
        <v>264</v>
      </c>
      <c r="B510" s="1" t="s">
        <v>295</v>
      </c>
      <c r="C510" s="1" t="s">
        <v>865</v>
      </c>
      <c r="D510" s="1">
        <f>FIND("-",aoc_02_input[[#This Row],[InputNumbers]])</f>
        <v>2</v>
      </c>
      <c r="E510" s="1">
        <f>_xlfn.NUMBERVALUE(LEFT(aoc_02_input[[#This Row],[InputNumbers]],aoc_02_input[[#This Row],[PosDash]]-1))</f>
        <v>9</v>
      </c>
      <c r="F510" s="1">
        <f>_xlfn.NUMBERVALUE(MID(aoc_02_input[[#This Row],[InputNumbers]],aoc_02_input[[#This Row],[PosDash]]+1,5))</f>
        <v>11</v>
      </c>
      <c r="G510" s="1" t="str">
        <f>LEFT(aoc_02_input[[#This Row],[InputChar]],1)</f>
        <v>c</v>
      </c>
      <c r="H510" s="1" cm="1">
        <f t="array" ref="H510">CountChar(aoc_02_input[[#This Row],[Password]],aoc_02_input[[#This Row],[Char]])</f>
        <v>9</v>
      </c>
      <c r="I510" s="1">
        <f>IF(AND(aoc_02_input[[#This Row],[Int1]]&lt;=aoc_02_input[[#This Row],[CountOfChar]],aoc_02_input[[#This Row],[CountOfChar]]&lt;=aoc_02_input[[#This Row],[Int2]]),1,0)</f>
        <v>1</v>
      </c>
      <c r="J510" s="1" t="str">
        <f>MID(aoc_02_input[[#This Row],[Password]],aoc_02_input[[#This Row],[Int1]],1)</f>
        <v>r</v>
      </c>
      <c r="K510" s="1">
        <f>IF(aoc_02_input[[#This Row],[Pos1]]=aoc_02_input[[#This Row],[Char]],1,0)</f>
        <v>0</v>
      </c>
      <c r="L510" s="1" t="str">
        <f>MID(aoc_02_input[[#This Row],[Password]],aoc_02_input[[#This Row],[Int2]],1)</f>
        <v>l</v>
      </c>
      <c r="M510" s="1">
        <f>IF(aoc_02_input[[#This Row],[Pos2]]=aoc_02_input[[#This Row],[Char]],1,0)</f>
        <v>0</v>
      </c>
      <c r="N510" s="1">
        <f>IF(aoc_02_input[[#This Row],[Pos1Valid]]&lt;&gt;aoc_02_input[[#This Row],[Pos2Valid]],1,0)</f>
        <v>0</v>
      </c>
    </row>
    <row r="511" spans="1:14" x14ac:dyDescent="0.45">
      <c r="A511" s="1" t="s">
        <v>385</v>
      </c>
      <c r="B511" s="1" t="s">
        <v>265</v>
      </c>
      <c r="C511" s="1" t="s">
        <v>866</v>
      </c>
      <c r="D511" s="1">
        <f>FIND("-",aoc_02_input[[#This Row],[InputNumbers]])</f>
        <v>2</v>
      </c>
      <c r="E511" s="1">
        <f>_xlfn.NUMBERVALUE(LEFT(aoc_02_input[[#This Row],[InputNumbers]],aoc_02_input[[#This Row],[PosDash]]-1))</f>
        <v>6</v>
      </c>
      <c r="F511" s="1">
        <f>_xlfn.NUMBERVALUE(MID(aoc_02_input[[#This Row],[InputNumbers]],aoc_02_input[[#This Row],[PosDash]]+1,5))</f>
        <v>14</v>
      </c>
      <c r="G511" s="1" t="str">
        <f>LEFT(aoc_02_input[[#This Row],[InputChar]],1)</f>
        <v>r</v>
      </c>
      <c r="H511" s="1" cm="1">
        <f t="array" ref="H511">CountChar(aoc_02_input[[#This Row],[Password]],aoc_02_input[[#This Row],[Char]])</f>
        <v>13</v>
      </c>
      <c r="I511" s="1">
        <f>IF(AND(aoc_02_input[[#This Row],[Int1]]&lt;=aoc_02_input[[#This Row],[CountOfChar]],aoc_02_input[[#This Row],[CountOfChar]]&lt;=aoc_02_input[[#This Row],[Int2]]),1,0)</f>
        <v>1</v>
      </c>
      <c r="J511" s="1" t="str">
        <f>MID(aoc_02_input[[#This Row],[Password]],aoc_02_input[[#This Row],[Int1]],1)</f>
        <v>r</v>
      </c>
      <c r="K511" s="1">
        <f>IF(aoc_02_input[[#This Row],[Pos1]]=aoc_02_input[[#This Row],[Char]],1,0)</f>
        <v>1</v>
      </c>
      <c r="L511" s="1" t="str">
        <f>MID(aoc_02_input[[#This Row],[Password]],aoc_02_input[[#This Row],[Int2]],1)</f>
        <v>r</v>
      </c>
      <c r="M511" s="1">
        <f>IF(aoc_02_input[[#This Row],[Pos2]]=aoc_02_input[[#This Row],[Char]],1,0)</f>
        <v>1</v>
      </c>
      <c r="N511" s="1">
        <f>IF(aoc_02_input[[#This Row],[Pos1Valid]]&lt;&gt;aoc_02_input[[#This Row],[Pos2Valid]],1,0)</f>
        <v>0</v>
      </c>
    </row>
    <row r="512" spans="1:14" x14ac:dyDescent="0.45">
      <c r="A512" s="1" t="s">
        <v>326</v>
      </c>
      <c r="B512" s="1" t="s">
        <v>225</v>
      </c>
      <c r="C512" s="1" t="s">
        <v>867</v>
      </c>
      <c r="D512" s="1">
        <f>FIND("-",aoc_02_input[[#This Row],[InputNumbers]])</f>
        <v>3</v>
      </c>
      <c r="E512" s="1">
        <f>_xlfn.NUMBERVALUE(LEFT(aoc_02_input[[#This Row],[InputNumbers]],aoc_02_input[[#This Row],[PosDash]]-1))</f>
        <v>10</v>
      </c>
      <c r="F512" s="1">
        <f>_xlfn.NUMBERVALUE(MID(aoc_02_input[[#This Row],[InputNumbers]],aoc_02_input[[#This Row],[PosDash]]+1,5))</f>
        <v>12</v>
      </c>
      <c r="G512" s="1" t="str">
        <f>LEFT(aoc_02_input[[#This Row],[InputChar]],1)</f>
        <v>j</v>
      </c>
      <c r="H512" s="1" cm="1">
        <f t="array" ref="H512">CountChar(aoc_02_input[[#This Row],[Password]],aoc_02_input[[#This Row],[Char]])</f>
        <v>11</v>
      </c>
      <c r="I512" s="1">
        <f>IF(AND(aoc_02_input[[#This Row],[Int1]]&lt;=aoc_02_input[[#This Row],[CountOfChar]],aoc_02_input[[#This Row],[CountOfChar]]&lt;=aoc_02_input[[#This Row],[Int2]]),1,0)</f>
        <v>1</v>
      </c>
      <c r="J512" s="1" t="str">
        <f>MID(aoc_02_input[[#This Row],[Password]],aoc_02_input[[#This Row],[Int1]],1)</f>
        <v>j</v>
      </c>
      <c r="K512" s="1">
        <f>IF(aoc_02_input[[#This Row],[Pos1]]=aoc_02_input[[#This Row],[Char]],1,0)</f>
        <v>1</v>
      </c>
      <c r="L512" s="1" t="str">
        <f>MID(aoc_02_input[[#This Row],[Password]],aoc_02_input[[#This Row],[Int2]],1)</f>
        <v>j</v>
      </c>
      <c r="M512" s="1">
        <f>IF(aoc_02_input[[#This Row],[Pos2]]=aoc_02_input[[#This Row],[Char]],1,0)</f>
        <v>1</v>
      </c>
      <c r="N512" s="1">
        <f>IF(aoc_02_input[[#This Row],[Pos1Valid]]&lt;&gt;aoc_02_input[[#This Row],[Pos2Valid]],1,0)</f>
        <v>0</v>
      </c>
    </row>
    <row r="513" spans="1:14" x14ac:dyDescent="0.45">
      <c r="A513" s="1" t="s">
        <v>256</v>
      </c>
      <c r="B513" s="1" t="s">
        <v>210</v>
      </c>
      <c r="C513" s="1" t="s">
        <v>868</v>
      </c>
      <c r="D513" s="1">
        <f>FIND("-",aoc_02_input[[#This Row],[InputNumbers]])</f>
        <v>2</v>
      </c>
      <c r="E513" s="1">
        <f>_xlfn.NUMBERVALUE(LEFT(aoc_02_input[[#This Row],[InputNumbers]],aoc_02_input[[#This Row],[PosDash]]-1))</f>
        <v>5</v>
      </c>
      <c r="F513" s="1">
        <f>_xlfn.NUMBERVALUE(MID(aoc_02_input[[#This Row],[InputNumbers]],aoc_02_input[[#This Row],[PosDash]]+1,5))</f>
        <v>7</v>
      </c>
      <c r="G513" s="1" t="str">
        <f>LEFT(aoc_02_input[[#This Row],[InputChar]],1)</f>
        <v>v</v>
      </c>
      <c r="H513" s="1" cm="1">
        <f t="array" ref="H513">CountChar(aoc_02_input[[#This Row],[Password]],aoc_02_input[[#This Row],[Char]])</f>
        <v>14</v>
      </c>
      <c r="I513" s="1">
        <f>IF(AND(aoc_02_input[[#This Row],[Int1]]&lt;=aoc_02_input[[#This Row],[CountOfChar]],aoc_02_input[[#This Row],[CountOfChar]]&lt;=aoc_02_input[[#This Row],[Int2]]),1,0)</f>
        <v>0</v>
      </c>
      <c r="J513" s="1" t="str">
        <f>MID(aoc_02_input[[#This Row],[Password]],aoc_02_input[[#This Row],[Int1]],1)</f>
        <v>v</v>
      </c>
      <c r="K513" s="1">
        <f>IF(aoc_02_input[[#This Row],[Pos1]]=aoc_02_input[[#This Row],[Char]],1,0)</f>
        <v>1</v>
      </c>
      <c r="L513" s="1" t="str">
        <f>MID(aoc_02_input[[#This Row],[Password]],aoc_02_input[[#This Row],[Int2]],1)</f>
        <v>v</v>
      </c>
      <c r="M513" s="1">
        <f>IF(aoc_02_input[[#This Row],[Pos2]]=aoc_02_input[[#This Row],[Char]],1,0)</f>
        <v>1</v>
      </c>
      <c r="N513" s="1">
        <f>IF(aoc_02_input[[#This Row],[Pos1Valid]]&lt;&gt;aoc_02_input[[#This Row],[Pos2Valid]],1,0)</f>
        <v>0</v>
      </c>
    </row>
    <row r="514" spans="1:14" x14ac:dyDescent="0.45">
      <c r="A514" s="1" t="s">
        <v>256</v>
      </c>
      <c r="B514" s="1" t="s">
        <v>246</v>
      </c>
      <c r="C514" s="1" t="s">
        <v>869</v>
      </c>
      <c r="D514" s="1">
        <f>FIND("-",aoc_02_input[[#This Row],[InputNumbers]])</f>
        <v>2</v>
      </c>
      <c r="E514" s="1">
        <f>_xlfn.NUMBERVALUE(LEFT(aoc_02_input[[#This Row],[InputNumbers]],aoc_02_input[[#This Row],[PosDash]]-1))</f>
        <v>5</v>
      </c>
      <c r="F514" s="1">
        <f>_xlfn.NUMBERVALUE(MID(aoc_02_input[[#This Row],[InputNumbers]],aoc_02_input[[#This Row],[PosDash]]+1,5))</f>
        <v>7</v>
      </c>
      <c r="G514" s="1" t="str">
        <f>LEFT(aoc_02_input[[#This Row],[InputChar]],1)</f>
        <v>n</v>
      </c>
      <c r="H514" s="1" cm="1">
        <f t="array" ref="H514">CountChar(aoc_02_input[[#This Row],[Password]],aoc_02_input[[#This Row],[Char]])</f>
        <v>5</v>
      </c>
      <c r="I514" s="1">
        <f>IF(AND(aoc_02_input[[#This Row],[Int1]]&lt;=aoc_02_input[[#This Row],[CountOfChar]],aoc_02_input[[#This Row],[CountOfChar]]&lt;=aoc_02_input[[#This Row],[Int2]]),1,0)</f>
        <v>1</v>
      </c>
      <c r="J514" s="1" t="str">
        <f>MID(aoc_02_input[[#This Row],[Password]],aoc_02_input[[#This Row],[Int1]],1)</f>
        <v>n</v>
      </c>
      <c r="K514" s="1">
        <f>IF(aoc_02_input[[#This Row],[Pos1]]=aoc_02_input[[#This Row],[Char]],1,0)</f>
        <v>1</v>
      </c>
      <c r="L514" s="1" t="str">
        <f>MID(aoc_02_input[[#This Row],[Password]],aoc_02_input[[#This Row],[Int2]],1)</f>
        <v>j</v>
      </c>
      <c r="M514" s="1">
        <f>IF(aoc_02_input[[#This Row],[Pos2]]=aoc_02_input[[#This Row],[Char]],1,0)</f>
        <v>0</v>
      </c>
      <c r="N514" s="1">
        <f>IF(aoc_02_input[[#This Row],[Pos1Valid]]&lt;&gt;aoc_02_input[[#This Row],[Pos2Valid]],1,0)</f>
        <v>1</v>
      </c>
    </row>
    <row r="515" spans="1:14" x14ac:dyDescent="0.45">
      <c r="A515" s="1" t="s">
        <v>766</v>
      </c>
      <c r="B515" s="1" t="s">
        <v>222</v>
      </c>
      <c r="C515" s="1" t="s">
        <v>870</v>
      </c>
      <c r="D515" s="1">
        <f>FIND("-",aoc_02_input[[#This Row],[InputNumbers]])</f>
        <v>2</v>
      </c>
      <c r="E515" s="1">
        <f>_xlfn.NUMBERVALUE(LEFT(aoc_02_input[[#This Row],[InputNumbers]],aoc_02_input[[#This Row],[PosDash]]-1))</f>
        <v>9</v>
      </c>
      <c r="F515" s="1">
        <f>_xlfn.NUMBERVALUE(MID(aoc_02_input[[#This Row],[InputNumbers]],aoc_02_input[[#This Row],[PosDash]]+1,5))</f>
        <v>13</v>
      </c>
      <c r="G515" s="1" t="str">
        <f>LEFT(aoc_02_input[[#This Row],[InputChar]],1)</f>
        <v>l</v>
      </c>
      <c r="H515" s="1" cm="1">
        <f t="array" ref="H515">CountChar(aoc_02_input[[#This Row],[Password]],aoc_02_input[[#This Row],[Char]])</f>
        <v>12</v>
      </c>
      <c r="I515" s="1">
        <f>IF(AND(aoc_02_input[[#This Row],[Int1]]&lt;=aoc_02_input[[#This Row],[CountOfChar]],aoc_02_input[[#This Row],[CountOfChar]]&lt;=aoc_02_input[[#This Row],[Int2]]),1,0)</f>
        <v>1</v>
      </c>
      <c r="J515" s="1" t="str">
        <f>MID(aoc_02_input[[#This Row],[Password]],aoc_02_input[[#This Row],[Int1]],1)</f>
        <v>x</v>
      </c>
      <c r="K515" s="1">
        <f>IF(aoc_02_input[[#This Row],[Pos1]]=aoc_02_input[[#This Row],[Char]],1,0)</f>
        <v>0</v>
      </c>
      <c r="L515" s="1" t="str">
        <f>MID(aoc_02_input[[#This Row],[Password]],aoc_02_input[[#This Row],[Int2]],1)</f>
        <v>c</v>
      </c>
      <c r="M515" s="1">
        <f>IF(aoc_02_input[[#This Row],[Pos2]]=aoc_02_input[[#This Row],[Char]],1,0)</f>
        <v>0</v>
      </c>
      <c r="N515" s="1">
        <f>IF(aoc_02_input[[#This Row],[Pos1Valid]]&lt;&gt;aoc_02_input[[#This Row],[Pos2Valid]],1,0)</f>
        <v>0</v>
      </c>
    </row>
    <row r="516" spans="1:14" x14ac:dyDescent="0.45">
      <c r="A516" s="1" t="s">
        <v>657</v>
      </c>
      <c r="B516" s="1" t="s">
        <v>314</v>
      </c>
      <c r="C516" s="1" t="s">
        <v>871</v>
      </c>
      <c r="D516" s="1">
        <f>FIND("-",aoc_02_input[[#This Row],[InputNumbers]])</f>
        <v>2</v>
      </c>
      <c r="E516" s="1">
        <f>_xlfn.NUMBERVALUE(LEFT(aoc_02_input[[#This Row],[InputNumbers]],aoc_02_input[[#This Row],[PosDash]]-1))</f>
        <v>2</v>
      </c>
      <c r="F516" s="1">
        <f>_xlfn.NUMBERVALUE(MID(aoc_02_input[[#This Row],[InputNumbers]],aoc_02_input[[#This Row],[PosDash]]+1,5))</f>
        <v>14</v>
      </c>
      <c r="G516" s="1" t="str">
        <f>LEFT(aoc_02_input[[#This Row],[InputChar]],1)</f>
        <v>h</v>
      </c>
      <c r="H516" s="1" cm="1">
        <f t="array" ref="H516">CountChar(aoc_02_input[[#This Row],[Password]],aoc_02_input[[#This Row],[Char]])</f>
        <v>5</v>
      </c>
      <c r="I516" s="1">
        <f>IF(AND(aoc_02_input[[#This Row],[Int1]]&lt;=aoc_02_input[[#This Row],[CountOfChar]],aoc_02_input[[#This Row],[CountOfChar]]&lt;=aoc_02_input[[#This Row],[Int2]]),1,0)</f>
        <v>1</v>
      </c>
      <c r="J516" s="1" t="str">
        <f>MID(aoc_02_input[[#This Row],[Password]],aoc_02_input[[#This Row],[Int1]],1)</f>
        <v>t</v>
      </c>
      <c r="K516" s="1">
        <f>IF(aoc_02_input[[#This Row],[Pos1]]=aoc_02_input[[#This Row],[Char]],1,0)</f>
        <v>0</v>
      </c>
      <c r="L516" s="1" t="str">
        <f>MID(aoc_02_input[[#This Row],[Password]],aoc_02_input[[#This Row],[Int2]],1)</f>
        <v>h</v>
      </c>
      <c r="M516" s="1">
        <f>IF(aoc_02_input[[#This Row],[Pos2]]=aoc_02_input[[#This Row],[Char]],1,0)</f>
        <v>1</v>
      </c>
      <c r="N516" s="1">
        <f>IF(aoc_02_input[[#This Row],[Pos1Valid]]&lt;&gt;aoc_02_input[[#This Row],[Pos2Valid]],1,0)</f>
        <v>1</v>
      </c>
    </row>
    <row r="517" spans="1:14" x14ac:dyDescent="0.45">
      <c r="A517" s="1" t="s">
        <v>230</v>
      </c>
      <c r="B517" s="1" t="s">
        <v>225</v>
      </c>
      <c r="C517" s="1" t="s">
        <v>872</v>
      </c>
      <c r="D517" s="1">
        <f>FIND("-",aoc_02_input[[#This Row],[InputNumbers]])</f>
        <v>2</v>
      </c>
      <c r="E517" s="1">
        <f>_xlfn.NUMBERVALUE(LEFT(aoc_02_input[[#This Row],[InputNumbers]],aoc_02_input[[#This Row],[PosDash]]-1))</f>
        <v>2</v>
      </c>
      <c r="F517" s="1">
        <f>_xlfn.NUMBERVALUE(MID(aoc_02_input[[#This Row],[InputNumbers]],aoc_02_input[[#This Row],[PosDash]]+1,5))</f>
        <v>4</v>
      </c>
      <c r="G517" s="1" t="str">
        <f>LEFT(aoc_02_input[[#This Row],[InputChar]],1)</f>
        <v>j</v>
      </c>
      <c r="H517" s="1" cm="1">
        <f t="array" ref="H517">CountChar(aoc_02_input[[#This Row],[Password]],aoc_02_input[[#This Row],[Char]])</f>
        <v>2</v>
      </c>
      <c r="I517" s="1">
        <f>IF(AND(aoc_02_input[[#This Row],[Int1]]&lt;=aoc_02_input[[#This Row],[CountOfChar]],aoc_02_input[[#This Row],[CountOfChar]]&lt;=aoc_02_input[[#This Row],[Int2]]),1,0)</f>
        <v>1</v>
      </c>
      <c r="J517" s="1" t="str">
        <f>MID(aoc_02_input[[#This Row],[Password]],aoc_02_input[[#This Row],[Int1]],1)</f>
        <v>p</v>
      </c>
      <c r="K517" s="1">
        <f>IF(aoc_02_input[[#This Row],[Pos1]]=aoc_02_input[[#This Row],[Char]],1,0)</f>
        <v>0</v>
      </c>
      <c r="L517" s="1" t="str">
        <f>MID(aoc_02_input[[#This Row],[Password]],aoc_02_input[[#This Row],[Int2]],1)</f>
        <v>j</v>
      </c>
      <c r="M517" s="1">
        <f>IF(aoc_02_input[[#This Row],[Pos2]]=aoc_02_input[[#This Row],[Char]],1,0)</f>
        <v>1</v>
      </c>
      <c r="N517" s="1">
        <f>IF(aoc_02_input[[#This Row],[Pos1Valid]]&lt;&gt;aoc_02_input[[#This Row],[Pos2Valid]],1,0)</f>
        <v>1</v>
      </c>
    </row>
    <row r="518" spans="1:14" x14ac:dyDescent="0.45">
      <c r="A518" s="1" t="s">
        <v>311</v>
      </c>
      <c r="B518" s="1" t="s">
        <v>207</v>
      </c>
      <c r="C518" s="1" t="s">
        <v>873</v>
      </c>
      <c r="D518" s="1">
        <f>FIND("-",aoc_02_input[[#This Row],[InputNumbers]])</f>
        <v>2</v>
      </c>
      <c r="E518" s="1">
        <f>_xlfn.NUMBERVALUE(LEFT(aoc_02_input[[#This Row],[InputNumbers]],aoc_02_input[[#This Row],[PosDash]]-1))</f>
        <v>3</v>
      </c>
      <c r="F518" s="1">
        <f>_xlfn.NUMBERVALUE(MID(aoc_02_input[[#This Row],[InputNumbers]],aoc_02_input[[#This Row],[PosDash]]+1,5))</f>
        <v>6</v>
      </c>
      <c r="G518" s="1" t="str">
        <f>LEFT(aoc_02_input[[#This Row],[InputChar]],1)</f>
        <v>b</v>
      </c>
      <c r="H518" s="1" cm="1">
        <f t="array" ref="H518">CountChar(aoc_02_input[[#This Row],[Password]],aoc_02_input[[#This Row],[Char]])</f>
        <v>1</v>
      </c>
      <c r="I518" s="1">
        <f>IF(AND(aoc_02_input[[#This Row],[Int1]]&lt;=aoc_02_input[[#This Row],[CountOfChar]],aoc_02_input[[#This Row],[CountOfChar]]&lt;=aoc_02_input[[#This Row],[Int2]]),1,0)</f>
        <v>0</v>
      </c>
      <c r="J518" s="1" t="str">
        <f>MID(aoc_02_input[[#This Row],[Password]],aoc_02_input[[#This Row],[Int1]],1)</f>
        <v>v</v>
      </c>
      <c r="K518" s="1">
        <f>IF(aoc_02_input[[#This Row],[Pos1]]=aoc_02_input[[#This Row],[Char]],1,0)</f>
        <v>0</v>
      </c>
      <c r="L518" s="1" t="str">
        <f>MID(aoc_02_input[[#This Row],[Password]],aoc_02_input[[#This Row],[Int2]],1)</f>
        <v>p</v>
      </c>
      <c r="M518" s="1">
        <f>IF(aoc_02_input[[#This Row],[Pos2]]=aoc_02_input[[#This Row],[Char]],1,0)</f>
        <v>0</v>
      </c>
      <c r="N518" s="1">
        <f>IF(aoc_02_input[[#This Row],[Pos1Valid]]&lt;&gt;aoc_02_input[[#This Row],[Pos2Valid]],1,0)</f>
        <v>0</v>
      </c>
    </row>
    <row r="519" spans="1:14" x14ac:dyDescent="0.45">
      <c r="A519" s="1" t="s">
        <v>288</v>
      </c>
      <c r="B519" s="1" t="s">
        <v>252</v>
      </c>
      <c r="C519" s="1" t="s">
        <v>874</v>
      </c>
      <c r="D519" s="1">
        <f>FIND("-",aoc_02_input[[#This Row],[InputNumbers]])</f>
        <v>2</v>
      </c>
      <c r="E519" s="1">
        <f>_xlfn.NUMBERVALUE(LEFT(aoc_02_input[[#This Row],[InputNumbers]],aoc_02_input[[#This Row],[PosDash]]-1))</f>
        <v>1</v>
      </c>
      <c r="F519" s="1">
        <f>_xlfn.NUMBERVALUE(MID(aoc_02_input[[#This Row],[InputNumbers]],aoc_02_input[[#This Row],[PosDash]]+1,5))</f>
        <v>4</v>
      </c>
      <c r="G519" s="1" t="str">
        <f>LEFT(aoc_02_input[[#This Row],[InputChar]],1)</f>
        <v>p</v>
      </c>
      <c r="H519" s="1" cm="1">
        <f t="array" ref="H519">CountChar(aoc_02_input[[#This Row],[Password]],aoc_02_input[[#This Row],[Char]])</f>
        <v>4</v>
      </c>
      <c r="I519" s="1">
        <f>IF(AND(aoc_02_input[[#This Row],[Int1]]&lt;=aoc_02_input[[#This Row],[CountOfChar]],aoc_02_input[[#This Row],[CountOfChar]]&lt;=aoc_02_input[[#This Row],[Int2]]),1,0)</f>
        <v>1</v>
      </c>
      <c r="J519" s="1" t="str">
        <f>MID(aoc_02_input[[#This Row],[Password]],aoc_02_input[[#This Row],[Int1]],1)</f>
        <v>d</v>
      </c>
      <c r="K519" s="1">
        <f>IF(aoc_02_input[[#This Row],[Pos1]]=aoc_02_input[[#This Row],[Char]],1,0)</f>
        <v>0</v>
      </c>
      <c r="L519" s="1" t="str">
        <f>MID(aoc_02_input[[#This Row],[Password]],aoc_02_input[[#This Row],[Int2]],1)</f>
        <v>p</v>
      </c>
      <c r="M519" s="1">
        <f>IF(aoc_02_input[[#This Row],[Pos2]]=aoc_02_input[[#This Row],[Char]],1,0)</f>
        <v>1</v>
      </c>
      <c r="N519" s="1">
        <f>IF(aoc_02_input[[#This Row],[Pos1Valid]]&lt;&gt;aoc_02_input[[#This Row],[Pos2Valid]],1,0)</f>
        <v>1</v>
      </c>
    </row>
    <row r="520" spans="1:14" x14ac:dyDescent="0.45">
      <c r="A520" s="1" t="s">
        <v>365</v>
      </c>
      <c r="B520" s="1" t="s">
        <v>278</v>
      </c>
      <c r="C520" s="1" t="s">
        <v>875</v>
      </c>
      <c r="D520" s="1">
        <f>FIND("-",aoc_02_input[[#This Row],[InputNumbers]])</f>
        <v>2</v>
      </c>
      <c r="E520" s="1">
        <f>_xlfn.NUMBERVALUE(LEFT(aoc_02_input[[#This Row],[InputNumbers]],aoc_02_input[[#This Row],[PosDash]]-1))</f>
        <v>6</v>
      </c>
      <c r="F520" s="1">
        <f>_xlfn.NUMBERVALUE(MID(aoc_02_input[[#This Row],[InputNumbers]],aoc_02_input[[#This Row],[PosDash]]+1,5))</f>
        <v>9</v>
      </c>
      <c r="G520" s="1" t="str">
        <f>LEFT(aoc_02_input[[#This Row],[InputChar]],1)</f>
        <v>x</v>
      </c>
      <c r="H520" s="1" cm="1">
        <f t="array" ref="H520">CountChar(aoc_02_input[[#This Row],[Password]],aoc_02_input[[#This Row],[Char]])</f>
        <v>9</v>
      </c>
      <c r="I520" s="1">
        <f>IF(AND(aoc_02_input[[#This Row],[Int1]]&lt;=aoc_02_input[[#This Row],[CountOfChar]],aoc_02_input[[#This Row],[CountOfChar]]&lt;=aoc_02_input[[#This Row],[Int2]]),1,0)</f>
        <v>1</v>
      </c>
      <c r="J520" s="1" t="str">
        <f>MID(aoc_02_input[[#This Row],[Password]],aoc_02_input[[#This Row],[Int1]],1)</f>
        <v>x</v>
      </c>
      <c r="K520" s="1">
        <f>IF(aoc_02_input[[#This Row],[Pos1]]=aoc_02_input[[#This Row],[Char]],1,0)</f>
        <v>1</v>
      </c>
      <c r="L520" s="1" t="str">
        <f>MID(aoc_02_input[[#This Row],[Password]],aoc_02_input[[#This Row],[Int2]],1)</f>
        <v>x</v>
      </c>
      <c r="M520" s="1">
        <f>IF(aoc_02_input[[#This Row],[Pos2]]=aoc_02_input[[#This Row],[Char]],1,0)</f>
        <v>1</v>
      </c>
      <c r="N520" s="1">
        <f>IF(aoc_02_input[[#This Row],[Pos1Valid]]&lt;&gt;aoc_02_input[[#This Row],[Pos2Valid]],1,0)</f>
        <v>0</v>
      </c>
    </row>
    <row r="521" spans="1:14" x14ac:dyDescent="0.45">
      <c r="A521" s="1" t="s">
        <v>230</v>
      </c>
      <c r="B521" s="1" t="s">
        <v>246</v>
      </c>
      <c r="C521" s="1" t="s">
        <v>876</v>
      </c>
      <c r="D521" s="1">
        <f>FIND("-",aoc_02_input[[#This Row],[InputNumbers]])</f>
        <v>2</v>
      </c>
      <c r="E521" s="1">
        <f>_xlfn.NUMBERVALUE(LEFT(aoc_02_input[[#This Row],[InputNumbers]],aoc_02_input[[#This Row],[PosDash]]-1))</f>
        <v>2</v>
      </c>
      <c r="F521" s="1">
        <f>_xlfn.NUMBERVALUE(MID(aoc_02_input[[#This Row],[InputNumbers]],aoc_02_input[[#This Row],[PosDash]]+1,5))</f>
        <v>4</v>
      </c>
      <c r="G521" s="1" t="str">
        <f>LEFT(aoc_02_input[[#This Row],[InputChar]],1)</f>
        <v>n</v>
      </c>
      <c r="H521" s="1" cm="1">
        <f t="array" ref="H521">CountChar(aoc_02_input[[#This Row],[Password]],aoc_02_input[[#This Row],[Char]])</f>
        <v>1</v>
      </c>
      <c r="I521" s="1">
        <f>IF(AND(aoc_02_input[[#This Row],[Int1]]&lt;=aoc_02_input[[#This Row],[CountOfChar]],aoc_02_input[[#This Row],[CountOfChar]]&lt;=aoc_02_input[[#This Row],[Int2]]),1,0)</f>
        <v>0</v>
      </c>
      <c r="J521" s="1" t="str">
        <f>MID(aoc_02_input[[#This Row],[Password]],aoc_02_input[[#This Row],[Int1]],1)</f>
        <v>n</v>
      </c>
      <c r="K521" s="1">
        <f>IF(aoc_02_input[[#This Row],[Pos1]]=aoc_02_input[[#This Row],[Char]],1,0)</f>
        <v>1</v>
      </c>
      <c r="L521" s="1" t="str">
        <f>MID(aoc_02_input[[#This Row],[Password]],aoc_02_input[[#This Row],[Int2]],1)</f>
        <v>j</v>
      </c>
      <c r="M521" s="1">
        <f>IF(aoc_02_input[[#This Row],[Pos2]]=aoc_02_input[[#This Row],[Char]],1,0)</f>
        <v>0</v>
      </c>
      <c r="N521" s="1">
        <f>IF(aoc_02_input[[#This Row],[Pos1Valid]]&lt;&gt;aoc_02_input[[#This Row],[Pos2Valid]],1,0)</f>
        <v>1</v>
      </c>
    </row>
    <row r="522" spans="1:14" x14ac:dyDescent="0.45">
      <c r="A522" s="1" t="s">
        <v>333</v>
      </c>
      <c r="B522" s="1" t="s">
        <v>222</v>
      </c>
      <c r="C522" s="1" t="s">
        <v>877</v>
      </c>
      <c r="D522" s="1">
        <f>FIND("-",aoc_02_input[[#This Row],[InputNumbers]])</f>
        <v>2</v>
      </c>
      <c r="E522" s="1">
        <f>_xlfn.NUMBERVALUE(LEFT(aoc_02_input[[#This Row],[InputNumbers]],aoc_02_input[[#This Row],[PosDash]]-1))</f>
        <v>1</v>
      </c>
      <c r="F522" s="1">
        <f>_xlfn.NUMBERVALUE(MID(aoc_02_input[[#This Row],[InputNumbers]],aoc_02_input[[#This Row],[PosDash]]+1,5))</f>
        <v>8</v>
      </c>
      <c r="G522" s="1" t="str">
        <f>LEFT(aoc_02_input[[#This Row],[InputChar]],1)</f>
        <v>l</v>
      </c>
      <c r="H522" s="1" cm="1">
        <f t="array" ref="H522">CountChar(aoc_02_input[[#This Row],[Password]],aoc_02_input[[#This Row],[Char]])</f>
        <v>7</v>
      </c>
      <c r="I522" s="1">
        <f>IF(AND(aoc_02_input[[#This Row],[Int1]]&lt;=aoc_02_input[[#This Row],[CountOfChar]],aoc_02_input[[#This Row],[CountOfChar]]&lt;=aoc_02_input[[#This Row],[Int2]]),1,0)</f>
        <v>1</v>
      </c>
      <c r="J522" s="1" t="str">
        <f>MID(aoc_02_input[[#This Row],[Password]],aoc_02_input[[#This Row],[Int1]],1)</f>
        <v>l</v>
      </c>
      <c r="K522" s="1">
        <f>IF(aoc_02_input[[#This Row],[Pos1]]=aoc_02_input[[#This Row],[Char]],1,0)</f>
        <v>1</v>
      </c>
      <c r="L522" s="1" t="str">
        <f>MID(aoc_02_input[[#This Row],[Password]],aoc_02_input[[#This Row],[Int2]],1)</f>
        <v>z</v>
      </c>
      <c r="M522" s="1">
        <f>IF(aoc_02_input[[#This Row],[Pos2]]=aoc_02_input[[#This Row],[Char]],1,0)</f>
        <v>0</v>
      </c>
      <c r="N522" s="1">
        <f>IF(aoc_02_input[[#This Row],[Pos1Valid]]&lt;&gt;aoc_02_input[[#This Row],[Pos2Valid]],1,0)</f>
        <v>1</v>
      </c>
    </row>
    <row r="523" spans="1:14" x14ac:dyDescent="0.45">
      <c r="A523" s="1" t="s">
        <v>394</v>
      </c>
      <c r="B523" s="1" t="s">
        <v>238</v>
      </c>
      <c r="C523" s="1" t="s">
        <v>878</v>
      </c>
      <c r="D523" s="1">
        <f>FIND("-",aoc_02_input[[#This Row],[InputNumbers]])</f>
        <v>2</v>
      </c>
      <c r="E523" s="1">
        <f>_xlfn.NUMBERVALUE(LEFT(aoc_02_input[[#This Row],[InputNumbers]],aoc_02_input[[#This Row],[PosDash]]-1))</f>
        <v>4</v>
      </c>
      <c r="F523" s="1">
        <f>_xlfn.NUMBERVALUE(MID(aoc_02_input[[#This Row],[InputNumbers]],aoc_02_input[[#This Row],[PosDash]]+1,5))</f>
        <v>7</v>
      </c>
      <c r="G523" s="1" t="str">
        <f>LEFT(aoc_02_input[[#This Row],[InputChar]],1)</f>
        <v>w</v>
      </c>
      <c r="H523" s="1" cm="1">
        <f t="array" ref="H523">CountChar(aoc_02_input[[#This Row],[Password]],aoc_02_input[[#This Row],[Char]])</f>
        <v>4</v>
      </c>
      <c r="I523" s="1">
        <f>IF(AND(aoc_02_input[[#This Row],[Int1]]&lt;=aoc_02_input[[#This Row],[CountOfChar]],aoc_02_input[[#This Row],[CountOfChar]]&lt;=aoc_02_input[[#This Row],[Int2]]),1,0)</f>
        <v>1</v>
      </c>
      <c r="J523" s="1" t="str">
        <f>MID(aoc_02_input[[#This Row],[Password]],aoc_02_input[[#This Row],[Int1]],1)</f>
        <v>w</v>
      </c>
      <c r="K523" s="1">
        <f>IF(aoc_02_input[[#This Row],[Pos1]]=aoc_02_input[[#This Row],[Char]],1,0)</f>
        <v>1</v>
      </c>
      <c r="L523" s="1" t="str">
        <f>MID(aoc_02_input[[#This Row],[Password]],aoc_02_input[[#This Row],[Int2]],1)</f>
        <v>w</v>
      </c>
      <c r="M523" s="1">
        <f>IF(aoc_02_input[[#This Row],[Pos2]]=aoc_02_input[[#This Row],[Char]],1,0)</f>
        <v>1</v>
      </c>
      <c r="N523" s="1">
        <f>IF(aoc_02_input[[#This Row],[Pos1Valid]]&lt;&gt;aoc_02_input[[#This Row],[Pos2Valid]],1,0)</f>
        <v>0</v>
      </c>
    </row>
    <row r="524" spans="1:14" x14ac:dyDescent="0.45">
      <c r="A524" s="1" t="s">
        <v>271</v>
      </c>
      <c r="B524" s="1" t="s">
        <v>265</v>
      </c>
      <c r="C524" s="1" t="s">
        <v>879</v>
      </c>
      <c r="D524" s="1">
        <f>FIND("-",aoc_02_input[[#This Row],[InputNumbers]])</f>
        <v>2</v>
      </c>
      <c r="E524" s="1">
        <f>_xlfn.NUMBERVALUE(LEFT(aoc_02_input[[#This Row],[InputNumbers]],aoc_02_input[[#This Row],[PosDash]]-1))</f>
        <v>9</v>
      </c>
      <c r="F524" s="1">
        <f>_xlfn.NUMBERVALUE(MID(aoc_02_input[[#This Row],[InputNumbers]],aoc_02_input[[#This Row],[PosDash]]+1,5))</f>
        <v>10</v>
      </c>
      <c r="G524" s="1" t="str">
        <f>LEFT(aoc_02_input[[#This Row],[InputChar]],1)</f>
        <v>r</v>
      </c>
      <c r="H524" s="1" cm="1">
        <f t="array" ref="H524">CountChar(aoc_02_input[[#This Row],[Password]],aoc_02_input[[#This Row],[Char]])</f>
        <v>7</v>
      </c>
      <c r="I524" s="1">
        <f>IF(AND(aoc_02_input[[#This Row],[Int1]]&lt;=aoc_02_input[[#This Row],[CountOfChar]],aoc_02_input[[#This Row],[CountOfChar]]&lt;=aoc_02_input[[#This Row],[Int2]]),1,0)</f>
        <v>0</v>
      </c>
      <c r="J524" s="1" t="str">
        <f>MID(aoc_02_input[[#This Row],[Password]],aoc_02_input[[#This Row],[Int1]],1)</f>
        <v>q</v>
      </c>
      <c r="K524" s="1">
        <f>IF(aoc_02_input[[#This Row],[Pos1]]=aoc_02_input[[#This Row],[Char]],1,0)</f>
        <v>0</v>
      </c>
      <c r="L524" s="1" t="str">
        <f>MID(aoc_02_input[[#This Row],[Password]],aoc_02_input[[#This Row],[Int2]],1)</f>
        <v>g</v>
      </c>
      <c r="M524" s="1">
        <f>IF(aoc_02_input[[#This Row],[Pos2]]=aoc_02_input[[#This Row],[Char]],1,0)</f>
        <v>0</v>
      </c>
      <c r="N524" s="1">
        <f>IF(aoc_02_input[[#This Row],[Pos1Valid]]&lt;&gt;aoc_02_input[[#This Row],[Pos2Valid]],1,0)</f>
        <v>0</v>
      </c>
    </row>
    <row r="525" spans="1:14" x14ac:dyDescent="0.45">
      <c r="A525" s="1" t="s">
        <v>880</v>
      </c>
      <c r="B525" s="1" t="s">
        <v>213</v>
      </c>
      <c r="C525" s="1" t="s">
        <v>881</v>
      </c>
      <c r="D525" s="1">
        <f>FIND("-",aoc_02_input[[#This Row],[InputNumbers]])</f>
        <v>3</v>
      </c>
      <c r="E525" s="1">
        <f>_xlfn.NUMBERVALUE(LEFT(aoc_02_input[[#This Row],[InputNumbers]],aoc_02_input[[#This Row],[PosDash]]-1))</f>
        <v>16</v>
      </c>
      <c r="F525" s="1">
        <f>_xlfn.NUMBERVALUE(MID(aoc_02_input[[#This Row],[InputNumbers]],aoc_02_input[[#This Row],[PosDash]]+1,5))</f>
        <v>18</v>
      </c>
      <c r="G525" s="1" t="str">
        <f>LEFT(aoc_02_input[[#This Row],[InputChar]],1)</f>
        <v>m</v>
      </c>
      <c r="H525" s="1" cm="1">
        <f t="array" ref="H525">CountChar(aoc_02_input[[#This Row],[Password]],aoc_02_input[[#This Row],[Char]])</f>
        <v>16</v>
      </c>
      <c r="I525" s="1">
        <f>IF(AND(aoc_02_input[[#This Row],[Int1]]&lt;=aoc_02_input[[#This Row],[CountOfChar]],aoc_02_input[[#This Row],[CountOfChar]]&lt;=aoc_02_input[[#This Row],[Int2]]),1,0)</f>
        <v>1</v>
      </c>
      <c r="J525" s="1" t="str">
        <f>MID(aoc_02_input[[#This Row],[Password]],aoc_02_input[[#This Row],[Int1]],1)</f>
        <v>d</v>
      </c>
      <c r="K525" s="1">
        <f>IF(aoc_02_input[[#This Row],[Pos1]]=aoc_02_input[[#This Row],[Char]],1,0)</f>
        <v>0</v>
      </c>
      <c r="L525" s="1" t="str">
        <f>MID(aoc_02_input[[#This Row],[Password]],aoc_02_input[[#This Row],[Int2]],1)</f>
        <v>m</v>
      </c>
      <c r="M525" s="1">
        <f>IF(aoc_02_input[[#This Row],[Pos2]]=aoc_02_input[[#This Row],[Char]],1,0)</f>
        <v>1</v>
      </c>
      <c r="N525" s="1">
        <f>IF(aoc_02_input[[#This Row],[Pos1Valid]]&lt;&gt;aoc_02_input[[#This Row],[Pos2Valid]],1,0)</f>
        <v>1</v>
      </c>
    </row>
    <row r="526" spans="1:14" x14ac:dyDescent="0.45">
      <c r="A526" s="1" t="s">
        <v>307</v>
      </c>
      <c r="B526" s="1" t="s">
        <v>213</v>
      </c>
      <c r="C526" s="1" t="s">
        <v>882</v>
      </c>
      <c r="D526" s="1">
        <f>FIND("-",aoc_02_input[[#This Row],[InputNumbers]])</f>
        <v>2</v>
      </c>
      <c r="E526" s="1">
        <f>_xlfn.NUMBERVALUE(LEFT(aoc_02_input[[#This Row],[InputNumbers]],aoc_02_input[[#This Row],[PosDash]]-1))</f>
        <v>3</v>
      </c>
      <c r="F526" s="1">
        <f>_xlfn.NUMBERVALUE(MID(aoc_02_input[[#This Row],[InputNumbers]],aoc_02_input[[#This Row],[PosDash]]+1,5))</f>
        <v>5</v>
      </c>
      <c r="G526" s="1" t="str">
        <f>LEFT(aoc_02_input[[#This Row],[InputChar]],1)</f>
        <v>m</v>
      </c>
      <c r="H526" s="1" cm="1">
        <f t="array" ref="H526">CountChar(aoc_02_input[[#This Row],[Password]],aoc_02_input[[#This Row],[Char]])</f>
        <v>6</v>
      </c>
      <c r="I526" s="1">
        <f>IF(AND(aoc_02_input[[#This Row],[Int1]]&lt;=aoc_02_input[[#This Row],[CountOfChar]],aoc_02_input[[#This Row],[CountOfChar]]&lt;=aoc_02_input[[#This Row],[Int2]]),1,0)</f>
        <v>0</v>
      </c>
      <c r="J526" s="1" t="str">
        <f>MID(aoc_02_input[[#This Row],[Password]],aoc_02_input[[#This Row],[Int1]],1)</f>
        <v>m</v>
      </c>
      <c r="K526" s="1">
        <f>IF(aoc_02_input[[#This Row],[Pos1]]=aoc_02_input[[#This Row],[Char]],1,0)</f>
        <v>1</v>
      </c>
      <c r="L526" s="1" t="str">
        <f>MID(aoc_02_input[[#This Row],[Password]],aoc_02_input[[#This Row],[Int2]],1)</f>
        <v>m</v>
      </c>
      <c r="M526" s="1">
        <f>IF(aoc_02_input[[#This Row],[Pos2]]=aoc_02_input[[#This Row],[Char]],1,0)</f>
        <v>1</v>
      </c>
      <c r="N526" s="1">
        <f>IF(aoc_02_input[[#This Row],[Pos1Valid]]&lt;&gt;aoc_02_input[[#This Row],[Pos2Valid]],1,0)</f>
        <v>0</v>
      </c>
    </row>
    <row r="527" spans="1:14" x14ac:dyDescent="0.45">
      <c r="A527" s="1" t="s">
        <v>218</v>
      </c>
      <c r="B527" s="1" t="s">
        <v>295</v>
      </c>
      <c r="C527" s="1" t="s">
        <v>883</v>
      </c>
      <c r="D527" s="1">
        <f>FIND("-",aoc_02_input[[#This Row],[InputNumbers]])</f>
        <v>2</v>
      </c>
      <c r="E527" s="1">
        <f>_xlfn.NUMBERVALUE(LEFT(aoc_02_input[[#This Row],[InputNumbers]],aoc_02_input[[#This Row],[PosDash]]-1))</f>
        <v>6</v>
      </c>
      <c r="F527" s="1">
        <f>_xlfn.NUMBERVALUE(MID(aoc_02_input[[#This Row],[InputNumbers]],aoc_02_input[[#This Row],[PosDash]]+1,5))</f>
        <v>8</v>
      </c>
      <c r="G527" s="1" t="str">
        <f>LEFT(aoc_02_input[[#This Row],[InputChar]],1)</f>
        <v>c</v>
      </c>
      <c r="H527" s="1" cm="1">
        <f t="array" ref="H527">CountChar(aoc_02_input[[#This Row],[Password]],aoc_02_input[[#This Row],[Char]])</f>
        <v>5</v>
      </c>
      <c r="I527" s="1">
        <f>IF(AND(aoc_02_input[[#This Row],[Int1]]&lt;=aoc_02_input[[#This Row],[CountOfChar]],aoc_02_input[[#This Row],[CountOfChar]]&lt;=aoc_02_input[[#This Row],[Int2]]),1,0)</f>
        <v>0</v>
      </c>
      <c r="J527" s="1" t="str">
        <f>MID(aoc_02_input[[#This Row],[Password]],aoc_02_input[[#This Row],[Int1]],1)</f>
        <v>x</v>
      </c>
      <c r="K527" s="1">
        <f>IF(aoc_02_input[[#This Row],[Pos1]]=aoc_02_input[[#This Row],[Char]],1,0)</f>
        <v>0</v>
      </c>
      <c r="L527" s="1" t="str">
        <f>MID(aoc_02_input[[#This Row],[Password]],aoc_02_input[[#This Row],[Int2]],1)</f>
        <v>c</v>
      </c>
      <c r="M527" s="1">
        <f>IF(aoc_02_input[[#This Row],[Pos2]]=aoc_02_input[[#This Row],[Char]],1,0)</f>
        <v>1</v>
      </c>
      <c r="N527" s="1">
        <f>IF(aoc_02_input[[#This Row],[Pos1Valid]]&lt;&gt;aoc_02_input[[#This Row],[Pos2Valid]],1,0)</f>
        <v>1</v>
      </c>
    </row>
    <row r="528" spans="1:14" x14ac:dyDescent="0.45">
      <c r="A528" s="1" t="s">
        <v>227</v>
      </c>
      <c r="B528" s="1" t="s">
        <v>314</v>
      </c>
      <c r="C528" s="1" t="s">
        <v>884</v>
      </c>
      <c r="D528" s="1">
        <f>FIND("-",aoc_02_input[[#This Row],[InputNumbers]])</f>
        <v>2</v>
      </c>
      <c r="E528" s="1">
        <f>_xlfn.NUMBERVALUE(LEFT(aoc_02_input[[#This Row],[InputNumbers]],aoc_02_input[[#This Row],[PosDash]]-1))</f>
        <v>4</v>
      </c>
      <c r="F528" s="1">
        <f>_xlfn.NUMBERVALUE(MID(aoc_02_input[[#This Row],[InputNumbers]],aoc_02_input[[#This Row],[PosDash]]+1,5))</f>
        <v>5</v>
      </c>
      <c r="G528" s="1" t="str">
        <f>LEFT(aoc_02_input[[#This Row],[InputChar]],1)</f>
        <v>h</v>
      </c>
      <c r="H528" s="1" cm="1">
        <f t="array" ref="H528">CountChar(aoc_02_input[[#This Row],[Password]],aoc_02_input[[#This Row],[Char]])</f>
        <v>4</v>
      </c>
      <c r="I528" s="1">
        <f>IF(AND(aoc_02_input[[#This Row],[Int1]]&lt;=aoc_02_input[[#This Row],[CountOfChar]],aoc_02_input[[#This Row],[CountOfChar]]&lt;=aoc_02_input[[#This Row],[Int2]]),1,0)</f>
        <v>1</v>
      </c>
      <c r="J528" s="1" t="str">
        <f>MID(aoc_02_input[[#This Row],[Password]],aoc_02_input[[#This Row],[Int1]],1)</f>
        <v>h</v>
      </c>
      <c r="K528" s="1">
        <f>IF(aoc_02_input[[#This Row],[Pos1]]=aoc_02_input[[#This Row],[Char]],1,0)</f>
        <v>1</v>
      </c>
      <c r="L528" s="1" t="str">
        <f>MID(aoc_02_input[[#This Row],[Password]],aoc_02_input[[#This Row],[Int2]],1)</f>
        <v>n</v>
      </c>
      <c r="M528" s="1">
        <f>IF(aoc_02_input[[#This Row],[Pos2]]=aoc_02_input[[#This Row],[Char]],1,0)</f>
        <v>0</v>
      </c>
      <c r="N528" s="1">
        <f>IF(aoc_02_input[[#This Row],[Pos1Valid]]&lt;&gt;aoc_02_input[[#This Row],[Pos2Valid]],1,0)</f>
        <v>1</v>
      </c>
    </row>
    <row r="529" spans="1:14" x14ac:dyDescent="0.45">
      <c r="A529" s="1" t="s">
        <v>212</v>
      </c>
      <c r="B529" s="1" t="s">
        <v>222</v>
      </c>
      <c r="C529" s="1" t="s">
        <v>885</v>
      </c>
      <c r="D529" s="1">
        <f>FIND("-",aoc_02_input[[#This Row],[InputNumbers]])</f>
        <v>2</v>
      </c>
      <c r="E529" s="1">
        <f>_xlfn.NUMBERVALUE(LEFT(aoc_02_input[[#This Row],[InputNumbers]],aoc_02_input[[#This Row],[PosDash]]-1))</f>
        <v>2</v>
      </c>
      <c r="F529" s="1">
        <f>_xlfn.NUMBERVALUE(MID(aoc_02_input[[#This Row],[InputNumbers]],aoc_02_input[[#This Row],[PosDash]]+1,5))</f>
        <v>5</v>
      </c>
      <c r="G529" s="1" t="str">
        <f>LEFT(aoc_02_input[[#This Row],[InputChar]],1)</f>
        <v>l</v>
      </c>
      <c r="H529" s="1" cm="1">
        <f t="array" ref="H529">CountChar(aoc_02_input[[#This Row],[Password]],aoc_02_input[[#This Row],[Char]])</f>
        <v>2</v>
      </c>
      <c r="I529" s="1">
        <f>IF(AND(aoc_02_input[[#This Row],[Int1]]&lt;=aoc_02_input[[#This Row],[CountOfChar]],aoc_02_input[[#This Row],[CountOfChar]]&lt;=aoc_02_input[[#This Row],[Int2]]),1,0)</f>
        <v>1</v>
      </c>
      <c r="J529" s="1" t="str">
        <f>MID(aoc_02_input[[#This Row],[Password]],aoc_02_input[[#This Row],[Int1]],1)</f>
        <v>w</v>
      </c>
      <c r="K529" s="1">
        <f>IF(aoc_02_input[[#This Row],[Pos1]]=aoc_02_input[[#This Row],[Char]],1,0)</f>
        <v>0</v>
      </c>
      <c r="L529" s="1" t="str">
        <f>MID(aoc_02_input[[#This Row],[Password]],aoc_02_input[[#This Row],[Int2]],1)</f>
        <v>v</v>
      </c>
      <c r="M529" s="1">
        <f>IF(aoc_02_input[[#This Row],[Pos2]]=aoc_02_input[[#This Row],[Char]],1,0)</f>
        <v>0</v>
      </c>
      <c r="N529" s="1">
        <f>IF(aoc_02_input[[#This Row],[Pos1Valid]]&lt;&gt;aoc_02_input[[#This Row],[Pos2Valid]],1,0)</f>
        <v>0</v>
      </c>
    </row>
    <row r="530" spans="1:14" x14ac:dyDescent="0.45">
      <c r="A530" s="1" t="s">
        <v>818</v>
      </c>
      <c r="B530" s="1" t="s">
        <v>225</v>
      </c>
      <c r="C530" s="1" t="s">
        <v>886</v>
      </c>
      <c r="D530" s="1">
        <f>FIND("-",aoc_02_input[[#This Row],[InputNumbers]])</f>
        <v>2</v>
      </c>
      <c r="E530" s="1">
        <f>_xlfn.NUMBERVALUE(LEFT(aoc_02_input[[#This Row],[InputNumbers]],aoc_02_input[[#This Row],[PosDash]]-1))</f>
        <v>4</v>
      </c>
      <c r="F530" s="1">
        <f>_xlfn.NUMBERVALUE(MID(aoc_02_input[[#This Row],[InputNumbers]],aoc_02_input[[#This Row],[PosDash]]+1,5))</f>
        <v>15</v>
      </c>
      <c r="G530" s="1" t="str">
        <f>LEFT(aoc_02_input[[#This Row],[InputChar]],1)</f>
        <v>j</v>
      </c>
      <c r="H530" s="1" cm="1">
        <f t="array" ref="H530">CountChar(aoc_02_input[[#This Row],[Password]],aoc_02_input[[#This Row],[Char]])</f>
        <v>16</v>
      </c>
      <c r="I530" s="1">
        <f>IF(AND(aoc_02_input[[#This Row],[Int1]]&lt;=aoc_02_input[[#This Row],[CountOfChar]],aoc_02_input[[#This Row],[CountOfChar]]&lt;=aoc_02_input[[#This Row],[Int2]]),1,0)</f>
        <v>0</v>
      </c>
      <c r="J530" s="1" t="str">
        <f>MID(aoc_02_input[[#This Row],[Password]],aoc_02_input[[#This Row],[Int1]],1)</f>
        <v>l</v>
      </c>
      <c r="K530" s="1">
        <f>IF(aoc_02_input[[#This Row],[Pos1]]=aoc_02_input[[#This Row],[Char]],1,0)</f>
        <v>0</v>
      </c>
      <c r="L530" s="1" t="str">
        <f>MID(aoc_02_input[[#This Row],[Password]],aoc_02_input[[#This Row],[Int2]],1)</f>
        <v>j</v>
      </c>
      <c r="M530" s="1">
        <f>IF(aoc_02_input[[#This Row],[Pos2]]=aoc_02_input[[#This Row],[Char]],1,0)</f>
        <v>1</v>
      </c>
      <c r="N530" s="1">
        <f>IF(aoc_02_input[[#This Row],[Pos1Valid]]&lt;&gt;aoc_02_input[[#This Row],[Pos2Valid]],1,0)</f>
        <v>1</v>
      </c>
    </row>
    <row r="531" spans="1:14" x14ac:dyDescent="0.45">
      <c r="A531" s="1" t="s">
        <v>290</v>
      </c>
      <c r="B531" s="1" t="s">
        <v>238</v>
      </c>
      <c r="C531" s="1" t="s">
        <v>887</v>
      </c>
      <c r="D531" s="1">
        <f>FIND("-",aoc_02_input[[#This Row],[InputNumbers]])</f>
        <v>2</v>
      </c>
      <c r="E531" s="1">
        <f>_xlfn.NUMBERVALUE(LEFT(aoc_02_input[[#This Row],[InputNumbers]],aoc_02_input[[#This Row],[PosDash]]-1))</f>
        <v>8</v>
      </c>
      <c r="F531" s="1">
        <f>_xlfn.NUMBERVALUE(MID(aoc_02_input[[#This Row],[InputNumbers]],aoc_02_input[[#This Row],[PosDash]]+1,5))</f>
        <v>10</v>
      </c>
      <c r="G531" s="1" t="str">
        <f>LEFT(aoc_02_input[[#This Row],[InputChar]],1)</f>
        <v>w</v>
      </c>
      <c r="H531" s="1" cm="1">
        <f t="array" ref="H531">CountChar(aoc_02_input[[#This Row],[Password]],aoc_02_input[[#This Row],[Char]])</f>
        <v>7</v>
      </c>
      <c r="I531" s="1">
        <f>IF(AND(aoc_02_input[[#This Row],[Int1]]&lt;=aoc_02_input[[#This Row],[CountOfChar]],aoc_02_input[[#This Row],[CountOfChar]]&lt;=aoc_02_input[[#This Row],[Int2]]),1,0)</f>
        <v>0</v>
      </c>
      <c r="J531" s="1" t="str">
        <f>MID(aoc_02_input[[#This Row],[Password]],aoc_02_input[[#This Row],[Int1]],1)</f>
        <v>w</v>
      </c>
      <c r="K531" s="1">
        <f>IF(aoc_02_input[[#This Row],[Pos1]]=aoc_02_input[[#This Row],[Char]],1,0)</f>
        <v>1</v>
      </c>
      <c r="L531" s="1" t="str">
        <f>MID(aoc_02_input[[#This Row],[Password]],aoc_02_input[[#This Row],[Int2]],1)</f>
        <v>v</v>
      </c>
      <c r="M531" s="1">
        <f>IF(aoc_02_input[[#This Row],[Pos2]]=aoc_02_input[[#This Row],[Char]],1,0)</f>
        <v>0</v>
      </c>
      <c r="N531" s="1">
        <f>IF(aoc_02_input[[#This Row],[Pos1Valid]]&lt;&gt;aoc_02_input[[#This Row],[Pos2Valid]],1,0)</f>
        <v>1</v>
      </c>
    </row>
    <row r="532" spans="1:14" x14ac:dyDescent="0.45">
      <c r="A532" s="1" t="s">
        <v>283</v>
      </c>
      <c r="B532" s="1" t="s">
        <v>219</v>
      </c>
      <c r="C532" s="1" t="s">
        <v>888</v>
      </c>
      <c r="D532" s="1">
        <f>FIND("-",aoc_02_input[[#This Row],[InputNumbers]])</f>
        <v>2</v>
      </c>
      <c r="E532" s="1">
        <f>_xlfn.NUMBERVALUE(LEFT(aoc_02_input[[#This Row],[InputNumbers]],aoc_02_input[[#This Row],[PosDash]]-1))</f>
        <v>3</v>
      </c>
      <c r="F532" s="1">
        <f>_xlfn.NUMBERVALUE(MID(aoc_02_input[[#This Row],[InputNumbers]],aoc_02_input[[#This Row],[PosDash]]+1,5))</f>
        <v>4</v>
      </c>
      <c r="G532" s="1" t="str">
        <f>LEFT(aoc_02_input[[#This Row],[InputChar]],1)</f>
        <v>g</v>
      </c>
      <c r="H532" s="1" cm="1">
        <f t="array" ref="H532">CountChar(aoc_02_input[[#This Row],[Password]],aoc_02_input[[#This Row],[Char]])</f>
        <v>2</v>
      </c>
      <c r="I532" s="1">
        <f>IF(AND(aoc_02_input[[#This Row],[Int1]]&lt;=aoc_02_input[[#This Row],[CountOfChar]],aoc_02_input[[#This Row],[CountOfChar]]&lt;=aoc_02_input[[#This Row],[Int2]]),1,0)</f>
        <v>0</v>
      </c>
      <c r="J532" s="1" t="str">
        <f>MID(aoc_02_input[[#This Row],[Password]],aoc_02_input[[#This Row],[Int1]],1)</f>
        <v>g</v>
      </c>
      <c r="K532" s="1">
        <f>IF(aoc_02_input[[#This Row],[Pos1]]=aoc_02_input[[#This Row],[Char]],1,0)</f>
        <v>1</v>
      </c>
      <c r="L532" s="1" t="str">
        <f>MID(aoc_02_input[[#This Row],[Password]],aoc_02_input[[#This Row],[Int2]],1)</f>
        <v>m</v>
      </c>
      <c r="M532" s="1">
        <f>IF(aoc_02_input[[#This Row],[Pos2]]=aoc_02_input[[#This Row],[Char]],1,0)</f>
        <v>0</v>
      </c>
      <c r="N532" s="1">
        <f>IF(aoc_02_input[[#This Row],[Pos1Valid]]&lt;&gt;aoc_02_input[[#This Row],[Pos2Valid]],1,0)</f>
        <v>1</v>
      </c>
    </row>
    <row r="533" spans="1:14" x14ac:dyDescent="0.45">
      <c r="A533" s="1" t="s">
        <v>410</v>
      </c>
      <c r="B533" s="1" t="s">
        <v>228</v>
      </c>
      <c r="C533" s="1" t="s">
        <v>889</v>
      </c>
      <c r="D533" s="1">
        <f>FIND("-",aoc_02_input[[#This Row],[InputNumbers]])</f>
        <v>2</v>
      </c>
      <c r="E533" s="1">
        <f>_xlfn.NUMBERVALUE(LEFT(aoc_02_input[[#This Row],[InputNumbers]],aoc_02_input[[#This Row],[PosDash]]-1))</f>
        <v>5</v>
      </c>
      <c r="F533" s="1">
        <f>_xlfn.NUMBERVALUE(MID(aoc_02_input[[#This Row],[InputNumbers]],aoc_02_input[[#This Row],[PosDash]]+1,5))</f>
        <v>9</v>
      </c>
      <c r="G533" s="1" t="str">
        <f>LEFT(aoc_02_input[[#This Row],[InputChar]],1)</f>
        <v>t</v>
      </c>
      <c r="H533" s="1" cm="1">
        <f t="array" ref="H533">CountChar(aoc_02_input[[#This Row],[Password]],aoc_02_input[[#This Row],[Char]])</f>
        <v>6</v>
      </c>
      <c r="I533" s="1">
        <f>IF(AND(aoc_02_input[[#This Row],[Int1]]&lt;=aoc_02_input[[#This Row],[CountOfChar]],aoc_02_input[[#This Row],[CountOfChar]]&lt;=aoc_02_input[[#This Row],[Int2]]),1,0)</f>
        <v>1</v>
      </c>
      <c r="J533" s="1" t="str">
        <f>MID(aoc_02_input[[#This Row],[Password]],aoc_02_input[[#This Row],[Int1]],1)</f>
        <v>t</v>
      </c>
      <c r="K533" s="1">
        <f>IF(aoc_02_input[[#This Row],[Pos1]]=aoc_02_input[[#This Row],[Char]],1,0)</f>
        <v>1</v>
      </c>
      <c r="L533" s="1" t="str">
        <f>MID(aoc_02_input[[#This Row],[Password]],aoc_02_input[[#This Row],[Int2]],1)</f>
        <v>t</v>
      </c>
      <c r="M533" s="1">
        <f>IF(aoc_02_input[[#This Row],[Pos2]]=aoc_02_input[[#This Row],[Char]],1,0)</f>
        <v>1</v>
      </c>
      <c r="N533" s="1">
        <f>IF(aoc_02_input[[#This Row],[Pos1Valid]]&lt;&gt;aoc_02_input[[#This Row],[Pos2Valid]],1,0)</f>
        <v>0</v>
      </c>
    </row>
    <row r="534" spans="1:14" x14ac:dyDescent="0.45">
      <c r="A534" s="1" t="s">
        <v>588</v>
      </c>
      <c r="B534" s="1" t="s">
        <v>207</v>
      </c>
      <c r="C534" s="1" t="s">
        <v>890</v>
      </c>
      <c r="D534" s="1">
        <f>FIND("-",aoc_02_input[[#This Row],[InputNumbers]])</f>
        <v>2</v>
      </c>
      <c r="E534" s="1">
        <f>_xlfn.NUMBERVALUE(LEFT(aoc_02_input[[#This Row],[InputNumbers]],aoc_02_input[[#This Row],[PosDash]]-1))</f>
        <v>7</v>
      </c>
      <c r="F534" s="1">
        <f>_xlfn.NUMBERVALUE(MID(aoc_02_input[[#This Row],[InputNumbers]],aoc_02_input[[#This Row],[PosDash]]+1,5))</f>
        <v>13</v>
      </c>
      <c r="G534" s="1" t="str">
        <f>LEFT(aoc_02_input[[#This Row],[InputChar]],1)</f>
        <v>b</v>
      </c>
      <c r="H534" s="1" cm="1">
        <f t="array" ref="H534">CountChar(aoc_02_input[[#This Row],[Password]],aoc_02_input[[#This Row],[Char]])</f>
        <v>3</v>
      </c>
      <c r="I534" s="1">
        <f>IF(AND(aoc_02_input[[#This Row],[Int1]]&lt;=aoc_02_input[[#This Row],[CountOfChar]],aoc_02_input[[#This Row],[CountOfChar]]&lt;=aoc_02_input[[#This Row],[Int2]]),1,0)</f>
        <v>0</v>
      </c>
      <c r="J534" s="1" t="str">
        <f>MID(aoc_02_input[[#This Row],[Password]],aoc_02_input[[#This Row],[Int1]],1)</f>
        <v>p</v>
      </c>
      <c r="K534" s="1">
        <f>IF(aoc_02_input[[#This Row],[Pos1]]=aoc_02_input[[#This Row],[Char]],1,0)</f>
        <v>0</v>
      </c>
      <c r="L534" s="1" t="str">
        <f>MID(aoc_02_input[[#This Row],[Password]],aoc_02_input[[#This Row],[Int2]],1)</f>
        <v>b</v>
      </c>
      <c r="M534" s="1">
        <f>IF(aoc_02_input[[#This Row],[Pos2]]=aoc_02_input[[#This Row],[Char]],1,0)</f>
        <v>1</v>
      </c>
      <c r="N534" s="1">
        <f>IF(aoc_02_input[[#This Row],[Pos1Valid]]&lt;&gt;aoc_02_input[[#This Row],[Pos2Valid]],1,0)</f>
        <v>1</v>
      </c>
    </row>
    <row r="535" spans="1:14" x14ac:dyDescent="0.45">
      <c r="A535" s="1" t="s">
        <v>394</v>
      </c>
      <c r="B535" s="1" t="s">
        <v>305</v>
      </c>
      <c r="C535" s="1" t="s">
        <v>891</v>
      </c>
      <c r="D535" s="1">
        <f>FIND("-",aoc_02_input[[#This Row],[InputNumbers]])</f>
        <v>2</v>
      </c>
      <c r="E535" s="1">
        <f>_xlfn.NUMBERVALUE(LEFT(aoc_02_input[[#This Row],[InputNumbers]],aoc_02_input[[#This Row],[PosDash]]-1))</f>
        <v>4</v>
      </c>
      <c r="F535" s="1">
        <f>_xlfn.NUMBERVALUE(MID(aoc_02_input[[#This Row],[InputNumbers]],aoc_02_input[[#This Row],[PosDash]]+1,5))</f>
        <v>7</v>
      </c>
      <c r="G535" s="1" t="str">
        <f>LEFT(aoc_02_input[[#This Row],[InputChar]],1)</f>
        <v>s</v>
      </c>
      <c r="H535" s="1" cm="1">
        <f t="array" ref="H535">CountChar(aoc_02_input[[#This Row],[Password]],aoc_02_input[[#This Row],[Char]])</f>
        <v>6</v>
      </c>
      <c r="I535" s="1">
        <f>IF(AND(aoc_02_input[[#This Row],[Int1]]&lt;=aoc_02_input[[#This Row],[CountOfChar]],aoc_02_input[[#This Row],[CountOfChar]]&lt;=aoc_02_input[[#This Row],[Int2]]),1,0)</f>
        <v>1</v>
      </c>
      <c r="J535" s="1" t="str">
        <f>MID(aoc_02_input[[#This Row],[Password]],aoc_02_input[[#This Row],[Int1]],1)</f>
        <v>c</v>
      </c>
      <c r="K535" s="1">
        <f>IF(aoc_02_input[[#This Row],[Pos1]]=aoc_02_input[[#This Row],[Char]],1,0)</f>
        <v>0</v>
      </c>
      <c r="L535" s="1" t="str">
        <f>MID(aoc_02_input[[#This Row],[Password]],aoc_02_input[[#This Row],[Int2]],1)</f>
        <v>s</v>
      </c>
      <c r="M535" s="1">
        <f>IF(aoc_02_input[[#This Row],[Pos2]]=aoc_02_input[[#This Row],[Char]],1,0)</f>
        <v>1</v>
      </c>
      <c r="N535" s="1">
        <f>IF(aoc_02_input[[#This Row],[Pos1Valid]]&lt;&gt;aoc_02_input[[#This Row],[Pos2Valid]],1,0)</f>
        <v>1</v>
      </c>
    </row>
    <row r="536" spans="1:14" x14ac:dyDescent="0.45">
      <c r="A536" s="1" t="s">
        <v>258</v>
      </c>
      <c r="B536" s="1" t="s">
        <v>235</v>
      </c>
      <c r="C536" s="1" t="s">
        <v>892</v>
      </c>
      <c r="D536" s="1">
        <f>FIND("-",aoc_02_input[[#This Row],[InputNumbers]])</f>
        <v>3</v>
      </c>
      <c r="E536" s="1">
        <f>_xlfn.NUMBERVALUE(LEFT(aoc_02_input[[#This Row],[InputNumbers]],aoc_02_input[[#This Row],[PosDash]]-1))</f>
        <v>10</v>
      </c>
      <c r="F536" s="1">
        <f>_xlfn.NUMBERVALUE(MID(aoc_02_input[[#This Row],[InputNumbers]],aoc_02_input[[#This Row],[PosDash]]+1,5))</f>
        <v>17</v>
      </c>
      <c r="G536" s="1" t="str">
        <f>LEFT(aoc_02_input[[#This Row],[InputChar]],1)</f>
        <v>d</v>
      </c>
      <c r="H536" s="1" cm="1">
        <f t="array" ref="H536">CountChar(aoc_02_input[[#This Row],[Password]],aoc_02_input[[#This Row],[Char]])</f>
        <v>16</v>
      </c>
      <c r="I536" s="1">
        <f>IF(AND(aoc_02_input[[#This Row],[Int1]]&lt;=aoc_02_input[[#This Row],[CountOfChar]],aoc_02_input[[#This Row],[CountOfChar]]&lt;=aoc_02_input[[#This Row],[Int2]]),1,0)</f>
        <v>1</v>
      </c>
      <c r="J536" s="1" t="str">
        <f>MID(aoc_02_input[[#This Row],[Password]],aoc_02_input[[#This Row],[Int1]],1)</f>
        <v>d</v>
      </c>
      <c r="K536" s="1">
        <f>IF(aoc_02_input[[#This Row],[Pos1]]=aoc_02_input[[#This Row],[Char]],1,0)</f>
        <v>1</v>
      </c>
      <c r="L536" s="1" t="str">
        <f>MID(aoc_02_input[[#This Row],[Password]],aoc_02_input[[#This Row],[Int2]],1)</f>
        <v>j</v>
      </c>
      <c r="M536" s="1">
        <f>IF(aoc_02_input[[#This Row],[Pos2]]=aoc_02_input[[#This Row],[Char]],1,0)</f>
        <v>0</v>
      </c>
      <c r="N536" s="1">
        <f>IF(aoc_02_input[[#This Row],[Pos1Valid]]&lt;&gt;aoc_02_input[[#This Row],[Pos2Valid]],1,0)</f>
        <v>1</v>
      </c>
    </row>
    <row r="537" spans="1:14" x14ac:dyDescent="0.45">
      <c r="A537" s="1" t="s">
        <v>283</v>
      </c>
      <c r="B537" s="1" t="s">
        <v>225</v>
      </c>
      <c r="C537" s="1" t="s">
        <v>893</v>
      </c>
      <c r="D537" s="1">
        <f>FIND("-",aoc_02_input[[#This Row],[InputNumbers]])</f>
        <v>2</v>
      </c>
      <c r="E537" s="1">
        <f>_xlfn.NUMBERVALUE(LEFT(aoc_02_input[[#This Row],[InputNumbers]],aoc_02_input[[#This Row],[PosDash]]-1))</f>
        <v>3</v>
      </c>
      <c r="F537" s="1">
        <f>_xlfn.NUMBERVALUE(MID(aoc_02_input[[#This Row],[InputNumbers]],aoc_02_input[[#This Row],[PosDash]]+1,5))</f>
        <v>4</v>
      </c>
      <c r="G537" s="1" t="str">
        <f>LEFT(aoc_02_input[[#This Row],[InputChar]],1)</f>
        <v>j</v>
      </c>
      <c r="H537" s="1" cm="1">
        <f t="array" ref="H537">CountChar(aoc_02_input[[#This Row],[Password]],aoc_02_input[[#This Row],[Char]])</f>
        <v>4</v>
      </c>
      <c r="I537" s="1">
        <f>IF(AND(aoc_02_input[[#This Row],[Int1]]&lt;=aoc_02_input[[#This Row],[CountOfChar]],aoc_02_input[[#This Row],[CountOfChar]]&lt;=aoc_02_input[[#This Row],[Int2]]),1,0)</f>
        <v>1</v>
      </c>
      <c r="J537" s="1" t="str">
        <f>MID(aoc_02_input[[#This Row],[Password]],aoc_02_input[[#This Row],[Int1]],1)</f>
        <v>b</v>
      </c>
      <c r="K537" s="1">
        <f>IF(aoc_02_input[[#This Row],[Pos1]]=aoc_02_input[[#This Row],[Char]],1,0)</f>
        <v>0</v>
      </c>
      <c r="L537" s="1" t="str">
        <f>MID(aoc_02_input[[#This Row],[Password]],aoc_02_input[[#This Row],[Int2]],1)</f>
        <v>j</v>
      </c>
      <c r="M537" s="1">
        <f>IF(aoc_02_input[[#This Row],[Pos2]]=aoc_02_input[[#This Row],[Char]],1,0)</f>
        <v>1</v>
      </c>
      <c r="N537" s="1">
        <f>IF(aoc_02_input[[#This Row],[Pos1Valid]]&lt;&gt;aoc_02_input[[#This Row],[Pos2Valid]],1,0)</f>
        <v>1</v>
      </c>
    </row>
    <row r="538" spans="1:14" x14ac:dyDescent="0.45">
      <c r="A538" s="1" t="s">
        <v>394</v>
      </c>
      <c r="B538" s="1" t="s">
        <v>314</v>
      </c>
      <c r="C538" s="1" t="s">
        <v>894</v>
      </c>
      <c r="D538" s="1">
        <f>FIND("-",aoc_02_input[[#This Row],[InputNumbers]])</f>
        <v>2</v>
      </c>
      <c r="E538" s="1">
        <f>_xlfn.NUMBERVALUE(LEFT(aoc_02_input[[#This Row],[InputNumbers]],aoc_02_input[[#This Row],[PosDash]]-1))</f>
        <v>4</v>
      </c>
      <c r="F538" s="1">
        <f>_xlfn.NUMBERVALUE(MID(aoc_02_input[[#This Row],[InputNumbers]],aoc_02_input[[#This Row],[PosDash]]+1,5))</f>
        <v>7</v>
      </c>
      <c r="G538" s="1" t="str">
        <f>LEFT(aoc_02_input[[#This Row],[InputChar]],1)</f>
        <v>h</v>
      </c>
      <c r="H538" s="1" cm="1">
        <f t="array" ref="H538">CountChar(aoc_02_input[[#This Row],[Password]],aoc_02_input[[#This Row],[Char]])</f>
        <v>11</v>
      </c>
      <c r="I538" s="1">
        <f>IF(AND(aoc_02_input[[#This Row],[Int1]]&lt;=aoc_02_input[[#This Row],[CountOfChar]],aoc_02_input[[#This Row],[CountOfChar]]&lt;=aoc_02_input[[#This Row],[Int2]]),1,0)</f>
        <v>0</v>
      </c>
      <c r="J538" s="1" t="str">
        <f>MID(aoc_02_input[[#This Row],[Password]],aoc_02_input[[#This Row],[Int1]],1)</f>
        <v>h</v>
      </c>
      <c r="K538" s="1">
        <f>IF(aoc_02_input[[#This Row],[Pos1]]=aoc_02_input[[#This Row],[Char]],1,0)</f>
        <v>1</v>
      </c>
      <c r="L538" s="1" t="str">
        <f>MID(aoc_02_input[[#This Row],[Password]],aoc_02_input[[#This Row],[Int2]],1)</f>
        <v>c</v>
      </c>
      <c r="M538" s="1">
        <f>IF(aoc_02_input[[#This Row],[Pos2]]=aoc_02_input[[#This Row],[Char]],1,0)</f>
        <v>0</v>
      </c>
      <c r="N538" s="1">
        <f>IF(aoc_02_input[[#This Row],[Pos1Valid]]&lt;&gt;aoc_02_input[[#This Row],[Pos2Valid]],1,0)</f>
        <v>1</v>
      </c>
    </row>
    <row r="539" spans="1:14" x14ac:dyDescent="0.45">
      <c r="A539" s="1" t="s">
        <v>731</v>
      </c>
      <c r="B539" s="1" t="s">
        <v>252</v>
      </c>
      <c r="C539" s="1" t="s">
        <v>895</v>
      </c>
      <c r="D539" s="1">
        <f>FIND("-",aoc_02_input[[#This Row],[InputNumbers]])</f>
        <v>2</v>
      </c>
      <c r="E539" s="1">
        <f>_xlfn.NUMBERVALUE(LEFT(aoc_02_input[[#This Row],[InputNumbers]],aoc_02_input[[#This Row],[PosDash]]-1))</f>
        <v>4</v>
      </c>
      <c r="F539" s="1">
        <f>_xlfn.NUMBERVALUE(MID(aoc_02_input[[#This Row],[InputNumbers]],aoc_02_input[[#This Row],[PosDash]]+1,5))</f>
        <v>10</v>
      </c>
      <c r="G539" s="1" t="str">
        <f>LEFT(aoc_02_input[[#This Row],[InputChar]],1)</f>
        <v>p</v>
      </c>
      <c r="H539" s="1" cm="1">
        <f t="array" ref="H539">CountChar(aoc_02_input[[#This Row],[Password]],aoc_02_input[[#This Row],[Char]])</f>
        <v>9</v>
      </c>
      <c r="I539" s="1">
        <f>IF(AND(aoc_02_input[[#This Row],[Int1]]&lt;=aoc_02_input[[#This Row],[CountOfChar]],aoc_02_input[[#This Row],[CountOfChar]]&lt;=aoc_02_input[[#This Row],[Int2]]),1,0)</f>
        <v>1</v>
      </c>
      <c r="J539" s="1" t="str">
        <f>MID(aoc_02_input[[#This Row],[Password]],aoc_02_input[[#This Row],[Int1]],1)</f>
        <v>q</v>
      </c>
      <c r="K539" s="1">
        <f>IF(aoc_02_input[[#This Row],[Pos1]]=aoc_02_input[[#This Row],[Char]],1,0)</f>
        <v>0</v>
      </c>
      <c r="L539" s="1" t="str">
        <f>MID(aoc_02_input[[#This Row],[Password]],aoc_02_input[[#This Row],[Int2]],1)</f>
        <v>p</v>
      </c>
      <c r="M539" s="1">
        <f>IF(aoc_02_input[[#This Row],[Pos2]]=aoc_02_input[[#This Row],[Char]],1,0)</f>
        <v>1</v>
      </c>
      <c r="N539" s="1">
        <f>IF(aoc_02_input[[#This Row],[Pos1Valid]]&lt;&gt;aoc_02_input[[#This Row],[Pos2Valid]],1,0)</f>
        <v>1</v>
      </c>
    </row>
    <row r="540" spans="1:14" x14ac:dyDescent="0.45">
      <c r="A540" s="1" t="s">
        <v>534</v>
      </c>
      <c r="B540" s="1" t="s">
        <v>219</v>
      </c>
      <c r="C540" s="1" t="s">
        <v>896</v>
      </c>
      <c r="D540" s="1">
        <f>FIND("-",aoc_02_input[[#This Row],[InputNumbers]])</f>
        <v>3</v>
      </c>
      <c r="E540" s="1">
        <f>_xlfn.NUMBERVALUE(LEFT(aoc_02_input[[#This Row],[InputNumbers]],aoc_02_input[[#This Row],[PosDash]]-1))</f>
        <v>10</v>
      </c>
      <c r="F540" s="1">
        <f>_xlfn.NUMBERVALUE(MID(aoc_02_input[[#This Row],[InputNumbers]],aoc_02_input[[#This Row],[PosDash]]+1,5))</f>
        <v>14</v>
      </c>
      <c r="G540" s="1" t="str">
        <f>LEFT(aoc_02_input[[#This Row],[InputChar]],1)</f>
        <v>g</v>
      </c>
      <c r="H540" s="1" cm="1">
        <f t="array" ref="H540">CountChar(aoc_02_input[[#This Row],[Password]],aoc_02_input[[#This Row],[Char]])</f>
        <v>4</v>
      </c>
      <c r="I540" s="1">
        <f>IF(AND(aoc_02_input[[#This Row],[Int1]]&lt;=aoc_02_input[[#This Row],[CountOfChar]],aoc_02_input[[#This Row],[CountOfChar]]&lt;=aoc_02_input[[#This Row],[Int2]]),1,0)</f>
        <v>0</v>
      </c>
      <c r="J540" s="1" t="str">
        <f>MID(aoc_02_input[[#This Row],[Password]],aoc_02_input[[#This Row],[Int1]],1)</f>
        <v>g</v>
      </c>
      <c r="K540" s="1">
        <f>IF(aoc_02_input[[#This Row],[Pos1]]=aoc_02_input[[#This Row],[Char]],1,0)</f>
        <v>1</v>
      </c>
      <c r="L540" s="1" t="str">
        <f>MID(aoc_02_input[[#This Row],[Password]],aoc_02_input[[#This Row],[Int2]],1)</f>
        <v>g</v>
      </c>
      <c r="M540" s="1">
        <f>IF(aoc_02_input[[#This Row],[Pos2]]=aoc_02_input[[#This Row],[Char]],1,0)</f>
        <v>1</v>
      </c>
      <c r="N540" s="1">
        <f>IF(aoc_02_input[[#This Row],[Pos1Valid]]&lt;&gt;aoc_02_input[[#This Row],[Pos2Valid]],1,0)</f>
        <v>0</v>
      </c>
    </row>
    <row r="541" spans="1:14" x14ac:dyDescent="0.45">
      <c r="A541" s="1" t="s">
        <v>227</v>
      </c>
      <c r="B541" s="1" t="s">
        <v>254</v>
      </c>
      <c r="C541" s="1" t="s">
        <v>897</v>
      </c>
      <c r="D541" s="1">
        <f>FIND("-",aoc_02_input[[#This Row],[InputNumbers]])</f>
        <v>2</v>
      </c>
      <c r="E541" s="1">
        <f>_xlfn.NUMBERVALUE(LEFT(aoc_02_input[[#This Row],[InputNumbers]],aoc_02_input[[#This Row],[PosDash]]-1))</f>
        <v>4</v>
      </c>
      <c r="F541" s="1">
        <f>_xlfn.NUMBERVALUE(MID(aoc_02_input[[#This Row],[InputNumbers]],aoc_02_input[[#This Row],[PosDash]]+1,5))</f>
        <v>5</v>
      </c>
      <c r="G541" s="1" t="str">
        <f>LEFT(aoc_02_input[[#This Row],[InputChar]],1)</f>
        <v>k</v>
      </c>
      <c r="H541" s="1" cm="1">
        <f t="array" ref="H541">CountChar(aoc_02_input[[#This Row],[Password]],aoc_02_input[[#This Row],[Char]])</f>
        <v>4</v>
      </c>
      <c r="I541" s="1">
        <f>IF(AND(aoc_02_input[[#This Row],[Int1]]&lt;=aoc_02_input[[#This Row],[CountOfChar]],aoc_02_input[[#This Row],[CountOfChar]]&lt;=aoc_02_input[[#This Row],[Int2]]),1,0)</f>
        <v>1</v>
      </c>
      <c r="J541" s="1" t="str">
        <f>MID(aoc_02_input[[#This Row],[Password]],aoc_02_input[[#This Row],[Int1]],1)</f>
        <v>k</v>
      </c>
      <c r="K541" s="1">
        <f>IF(aoc_02_input[[#This Row],[Pos1]]=aoc_02_input[[#This Row],[Char]],1,0)</f>
        <v>1</v>
      </c>
      <c r="L541" s="1" t="str">
        <f>MID(aoc_02_input[[#This Row],[Password]],aoc_02_input[[#This Row],[Int2]],1)</f>
        <v>s</v>
      </c>
      <c r="M541" s="1">
        <f>IF(aoc_02_input[[#This Row],[Pos2]]=aoc_02_input[[#This Row],[Char]],1,0)</f>
        <v>0</v>
      </c>
      <c r="N541" s="1">
        <f>IF(aoc_02_input[[#This Row],[Pos1Valid]]&lt;&gt;aoc_02_input[[#This Row],[Pos2Valid]],1,0)</f>
        <v>1</v>
      </c>
    </row>
    <row r="542" spans="1:14" x14ac:dyDescent="0.45">
      <c r="A542" s="1" t="s">
        <v>494</v>
      </c>
      <c r="B542" s="1" t="s">
        <v>225</v>
      </c>
      <c r="C542" s="1" t="s">
        <v>898</v>
      </c>
      <c r="D542" s="1">
        <f>FIND("-",aoc_02_input[[#This Row],[InputNumbers]])</f>
        <v>2</v>
      </c>
      <c r="E542" s="1">
        <f>_xlfn.NUMBERVALUE(LEFT(aoc_02_input[[#This Row],[InputNumbers]],aoc_02_input[[#This Row],[PosDash]]-1))</f>
        <v>7</v>
      </c>
      <c r="F542" s="1">
        <f>_xlfn.NUMBERVALUE(MID(aoc_02_input[[#This Row],[InputNumbers]],aoc_02_input[[#This Row],[PosDash]]+1,5))</f>
        <v>10</v>
      </c>
      <c r="G542" s="1" t="str">
        <f>LEFT(aoc_02_input[[#This Row],[InputChar]],1)</f>
        <v>j</v>
      </c>
      <c r="H542" s="1" cm="1">
        <f t="array" ref="H542">CountChar(aoc_02_input[[#This Row],[Password]],aoc_02_input[[#This Row],[Char]])</f>
        <v>8</v>
      </c>
      <c r="I542" s="1">
        <f>IF(AND(aoc_02_input[[#This Row],[Int1]]&lt;=aoc_02_input[[#This Row],[CountOfChar]],aoc_02_input[[#This Row],[CountOfChar]]&lt;=aoc_02_input[[#This Row],[Int2]]),1,0)</f>
        <v>1</v>
      </c>
      <c r="J542" s="1" t="str">
        <f>MID(aoc_02_input[[#This Row],[Password]],aoc_02_input[[#This Row],[Int1]],1)</f>
        <v>z</v>
      </c>
      <c r="K542" s="1">
        <f>IF(aoc_02_input[[#This Row],[Pos1]]=aoc_02_input[[#This Row],[Char]],1,0)</f>
        <v>0</v>
      </c>
      <c r="L542" s="1" t="str">
        <f>MID(aoc_02_input[[#This Row],[Password]],aoc_02_input[[#This Row],[Int2]],1)</f>
        <v>k</v>
      </c>
      <c r="M542" s="1">
        <f>IF(aoc_02_input[[#This Row],[Pos2]]=aoc_02_input[[#This Row],[Char]],1,0)</f>
        <v>0</v>
      </c>
      <c r="N542" s="1">
        <f>IF(aoc_02_input[[#This Row],[Pos1Valid]]&lt;&gt;aoc_02_input[[#This Row],[Pos2Valid]],1,0)</f>
        <v>0</v>
      </c>
    </row>
    <row r="543" spans="1:14" x14ac:dyDescent="0.45">
      <c r="A543" s="1" t="s">
        <v>242</v>
      </c>
      <c r="B543" s="1" t="s">
        <v>254</v>
      </c>
      <c r="C543" s="1" t="s">
        <v>899</v>
      </c>
      <c r="D543" s="1">
        <f>FIND("-",aoc_02_input[[#This Row],[InputNumbers]])</f>
        <v>3</v>
      </c>
      <c r="E543" s="1">
        <f>_xlfn.NUMBERVALUE(LEFT(aoc_02_input[[#This Row],[InputNumbers]],aoc_02_input[[#This Row],[PosDash]]-1))</f>
        <v>10</v>
      </c>
      <c r="F543" s="1">
        <f>_xlfn.NUMBERVALUE(MID(aoc_02_input[[#This Row],[InputNumbers]],aoc_02_input[[#This Row],[PosDash]]+1,5))</f>
        <v>11</v>
      </c>
      <c r="G543" s="1" t="str">
        <f>LEFT(aoc_02_input[[#This Row],[InputChar]],1)</f>
        <v>k</v>
      </c>
      <c r="H543" s="1" cm="1">
        <f t="array" ref="H543">CountChar(aoc_02_input[[#This Row],[Password]],aoc_02_input[[#This Row],[Char]])</f>
        <v>14</v>
      </c>
      <c r="I543" s="1">
        <f>IF(AND(aoc_02_input[[#This Row],[Int1]]&lt;=aoc_02_input[[#This Row],[CountOfChar]],aoc_02_input[[#This Row],[CountOfChar]]&lt;=aoc_02_input[[#This Row],[Int2]]),1,0)</f>
        <v>0</v>
      </c>
      <c r="J543" s="1" t="str">
        <f>MID(aoc_02_input[[#This Row],[Password]],aoc_02_input[[#This Row],[Int1]],1)</f>
        <v>g</v>
      </c>
      <c r="K543" s="1">
        <f>IF(aoc_02_input[[#This Row],[Pos1]]=aoc_02_input[[#This Row],[Char]],1,0)</f>
        <v>0</v>
      </c>
      <c r="L543" s="1" t="str">
        <f>MID(aoc_02_input[[#This Row],[Password]],aoc_02_input[[#This Row],[Int2]],1)</f>
        <v>k</v>
      </c>
      <c r="M543" s="1">
        <f>IF(aoc_02_input[[#This Row],[Pos2]]=aoc_02_input[[#This Row],[Char]],1,0)</f>
        <v>1</v>
      </c>
      <c r="N543" s="1">
        <f>IF(aoc_02_input[[#This Row],[Pos1Valid]]&lt;&gt;aoc_02_input[[#This Row],[Pos2Valid]],1,0)</f>
        <v>1</v>
      </c>
    </row>
    <row r="544" spans="1:14" x14ac:dyDescent="0.45">
      <c r="A544" s="1" t="s">
        <v>473</v>
      </c>
      <c r="B544" s="1" t="s">
        <v>295</v>
      </c>
      <c r="C544" s="1" t="s">
        <v>900</v>
      </c>
      <c r="D544" s="1">
        <f>FIND("-",aoc_02_input[[#This Row],[InputNumbers]])</f>
        <v>2</v>
      </c>
      <c r="E544" s="1">
        <f>_xlfn.NUMBERVALUE(LEFT(aoc_02_input[[#This Row],[InputNumbers]],aoc_02_input[[#This Row],[PosDash]]-1))</f>
        <v>2</v>
      </c>
      <c r="F544" s="1">
        <f>_xlfn.NUMBERVALUE(MID(aoc_02_input[[#This Row],[InputNumbers]],aoc_02_input[[#This Row],[PosDash]]+1,5))</f>
        <v>6</v>
      </c>
      <c r="G544" s="1" t="str">
        <f>LEFT(aoc_02_input[[#This Row],[InputChar]],1)</f>
        <v>c</v>
      </c>
      <c r="H544" s="1" cm="1">
        <f t="array" ref="H544">CountChar(aoc_02_input[[#This Row],[Password]],aoc_02_input[[#This Row],[Char]])</f>
        <v>5</v>
      </c>
      <c r="I544" s="1">
        <f>IF(AND(aoc_02_input[[#This Row],[Int1]]&lt;=aoc_02_input[[#This Row],[CountOfChar]],aoc_02_input[[#This Row],[CountOfChar]]&lt;=aoc_02_input[[#This Row],[Int2]]),1,0)</f>
        <v>1</v>
      </c>
      <c r="J544" s="1" t="str">
        <f>MID(aoc_02_input[[#This Row],[Password]],aoc_02_input[[#This Row],[Int1]],1)</f>
        <v>c</v>
      </c>
      <c r="K544" s="1">
        <f>IF(aoc_02_input[[#This Row],[Pos1]]=aoc_02_input[[#This Row],[Char]],1,0)</f>
        <v>1</v>
      </c>
      <c r="L544" s="1" t="str">
        <f>MID(aoc_02_input[[#This Row],[Password]],aoc_02_input[[#This Row],[Int2]],1)</f>
        <v>b</v>
      </c>
      <c r="M544" s="1">
        <f>IF(aoc_02_input[[#This Row],[Pos2]]=aoc_02_input[[#This Row],[Char]],1,0)</f>
        <v>0</v>
      </c>
      <c r="N544" s="1">
        <f>IF(aoc_02_input[[#This Row],[Pos1Valid]]&lt;&gt;aoc_02_input[[#This Row],[Pos2Valid]],1,0)</f>
        <v>1</v>
      </c>
    </row>
    <row r="545" spans="1:14" x14ac:dyDescent="0.45">
      <c r="A545" s="1" t="s">
        <v>755</v>
      </c>
      <c r="B545" s="1" t="s">
        <v>222</v>
      </c>
      <c r="C545" s="1" t="s">
        <v>901</v>
      </c>
      <c r="D545" s="1">
        <f>FIND("-",aoc_02_input[[#This Row],[InputNumbers]])</f>
        <v>2</v>
      </c>
      <c r="E545" s="1">
        <f>_xlfn.NUMBERVALUE(LEFT(aoc_02_input[[#This Row],[InputNumbers]],aoc_02_input[[#This Row],[PosDash]]-1))</f>
        <v>3</v>
      </c>
      <c r="F545" s="1">
        <f>_xlfn.NUMBERVALUE(MID(aoc_02_input[[#This Row],[InputNumbers]],aoc_02_input[[#This Row],[PosDash]]+1,5))</f>
        <v>10</v>
      </c>
      <c r="G545" s="1" t="str">
        <f>LEFT(aoc_02_input[[#This Row],[InputChar]],1)</f>
        <v>l</v>
      </c>
      <c r="H545" s="1" cm="1">
        <f t="array" ref="H545">CountChar(aoc_02_input[[#This Row],[Password]],aoc_02_input[[#This Row],[Char]])</f>
        <v>12</v>
      </c>
      <c r="I545" s="1">
        <f>IF(AND(aoc_02_input[[#This Row],[Int1]]&lt;=aoc_02_input[[#This Row],[CountOfChar]],aoc_02_input[[#This Row],[CountOfChar]]&lt;=aoc_02_input[[#This Row],[Int2]]),1,0)</f>
        <v>0</v>
      </c>
      <c r="J545" s="1" t="str">
        <f>MID(aoc_02_input[[#This Row],[Password]],aoc_02_input[[#This Row],[Int1]],1)</f>
        <v>d</v>
      </c>
      <c r="K545" s="1">
        <f>IF(aoc_02_input[[#This Row],[Pos1]]=aoc_02_input[[#This Row],[Char]],1,0)</f>
        <v>0</v>
      </c>
      <c r="L545" s="1" t="str">
        <f>MID(aoc_02_input[[#This Row],[Password]],aoc_02_input[[#This Row],[Int2]],1)</f>
        <v>n</v>
      </c>
      <c r="M545" s="1">
        <f>IF(aoc_02_input[[#This Row],[Pos2]]=aoc_02_input[[#This Row],[Char]],1,0)</f>
        <v>0</v>
      </c>
      <c r="N545" s="1">
        <f>IF(aoc_02_input[[#This Row],[Pos1Valid]]&lt;&gt;aoc_02_input[[#This Row],[Pos2Valid]],1,0)</f>
        <v>0</v>
      </c>
    </row>
    <row r="546" spans="1:14" x14ac:dyDescent="0.45">
      <c r="A546" s="1" t="s">
        <v>251</v>
      </c>
      <c r="B546" s="1" t="s">
        <v>254</v>
      </c>
      <c r="C546" s="1" t="s">
        <v>902</v>
      </c>
      <c r="D546" s="1">
        <f>FIND("-",aoc_02_input[[#This Row],[InputNumbers]])</f>
        <v>2</v>
      </c>
      <c r="E546" s="1">
        <f>_xlfn.NUMBERVALUE(LEFT(aoc_02_input[[#This Row],[InputNumbers]],aoc_02_input[[#This Row],[PosDash]]-1))</f>
        <v>5</v>
      </c>
      <c r="F546" s="1">
        <f>_xlfn.NUMBERVALUE(MID(aoc_02_input[[#This Row],[InputNumbers]],aoc_02_input[[#This Row],[PosDash]]+1,5))</f>
        <v>6</v>
      </c>
      <c r="G546" s="1" t="str">
        <f>LEFT(aoc_02_input[[#This Row],[InputChar]],1)</f>
        <v>k</v>
      </c>
      <c r="H546" s="1" cm="1">
        <f t="array" ref="H546">CountChar(aoc_02_input[[#This Row],[Password]],aoc_02_input[[#This Row],[Char]])</f>
        <v>3</v>
      </c>
      <c r="I546" s="1">
        <f>IF(AND(aoc_02_input[[#This Row],[Int1]]&lt;=aoc_02_input[[#This Row],[CountOfChar]],aoc_02_input[[#This Row],[CountOfChar]]&lt;=aoc_02_input[[#This Row],[Int2]]),1,0)</f>
        <v>0</v>
      </c>
      <c r="J546" s="1" t="str">
        <f>MID(aoc_02_input[[#This Row],[Password]],aoc_02_input[[#This Row],[Int1]],1)</f>
        <v>k</v>
      </c>
      <c r="K546" s="1">
        <f>IF(aoc_02_input[[#This Row],[Pos1]]=aoc_02_input[[#This Row],[Char]],1,0)</f>
        <v>1</v>
      </c>
      <c r="L546" s="1" t="str">
        <f>MID(aoc_02_input[[#This Row],[Password]],aoc_02_input[[#This Row],[Int2]],1)</f>
        <v>s</v>
      </c>
      <c r="M546" s="1">
        <f>IF(aoc_02_input[[#This Row],[Pos2]]=aoc_02_input[[#This Row],[Char]],1,0)</f>
        <v>0</v>
      </c>
      <c r="N546" s="1">
        <f>IF(aoc_02_input[[#This Row],[Pos1Valid]]&lt;&gt;aoc_02_input[[#This Row],[Pos2Valid]],1,0)</f>
        <v>1</v>
      </c>
    </row>
    <row r="547" spans="1:14" x14ac:dyDescent="0.45">
      <c r="A547" s="1" t="s">
        <v>410</v>
      </c>
      <c r="B547" s="1" t="s">
        <v>254</v>
      </c>
      <c r="C547" s="1" t="s">
        <v>903</v>
      </c>
      <c r="D547" s="1">
        <f>FIND("-",aoc_02_input[[#This Row],[InputNumbers]])</f>
        <v>2</v>
      </c>
      <c r="E547" s="1">
        <f>_xlfn.NUMBERVALUE(LEFT(aoc_02_input[[#This Row],[InputNumbers]],aoc_02_input[[#This Row],[PosDash]]-1))</f>
        <v>5</v>
      </c>
      <c r="F547" s="1">
        <f>_xlfn.NUMBERVALUE(MID(aoc_02_input[[#This Row],[InputNumbers]],aoc_02_input[[#This Row],[PosDash]]+1,5))</f>
        <v>9</v>
      </c>
      <c r="G547" s="1" t="str">
        <f>LEFT(aoc_02_input[[#This Row],[InputChar]],1)</f>
        <v>k</v>
      </c>
      <c r="H547" s="1" cm="1">
        <f t="array" ref="H547">CountChar(aoc_02_input[[#This Row],[Password]],aoc_02_input[[#This Row],[Char]])</f>
        <v>9</v>
      </c>
      <c r="I547" s="1">
        <f>IF(AND(aoc_02_input[[#This Row],[Int1]]&lt;=aoc_02_input[[#This Row],[CountOfChar]],aoc_02_input[[#This Row],[CountOfChar]]&lt;=aoc_02_input[[#This Row],[Int2]]),1,0)</f>
        <v>1</v>
      </c>
      <c r="J547" s="1" t="str">
        <f>MID(aoc_02_input[[#This Row],[Password]],aoc_02_input[[#This Row],[Int1]],1)</f>
        <v>k</v>
      </c>
      <c r="K547" s="1">
        <f>IF(aoc_02_input[[#This Row],[Pos1]]=aoc_02_input[[#This Row],[Char]],1,0)</f>
        <v>1</v>
      </c>
      <c r="L547" s="1" t="str">
        <f>MID(aoc_02_input[[#This Row],[Password]],aoc_02_input[[#This Row],[Int2]],1)</f>
        <v>k</v>
      </c>
      <c r="M547" s="1">
        <f>IF(aoc_02_input[[#This Row],[Pos2]]=aoc_02_input[[#This Row],[Char]],1,0)</f>
        <v>1</v>
      </c>
      <c r="N547" s="1">
        <f>IF(aoc_02_input[[#This Row],[Pos1Valid]]&lt;&gt;aoc_02_input[[#This Row],[Pos2Valid]],1,0)</f>
        <v>0</v>
      </c>
    </row>
    <row r="548" spans="1:14" x14ac:dyDescent="0.45">
      <c r="A548" s="1" t="s">
        <v>227</v>
      </c>
      <c r="B548" s="1" t="s">
        <v>225</v>
      </c>
      <c r="C548" s="1" t="s">
        <v>904</v>
      </c>
      <c r="D548" s="1">
        <f>FIND("-",aoc_02_input[[#This Row],[InputNumbers]])</f>
        <v>2</v>
      </c>
      <c r="E548" s="1">
        <f>_xlfn.NUMBERVALUE(LEFT(aoc_02_input[[#This Row],[InputNumbers]],aoc_02_input[[#This Row],[PosDash]]-1))</f>
        <v>4</v>
      </c>
      <c r="F548" s="1">
        <f>_xlfn.NUMBERVALUE(MID(aoc_02_input[[#This Row],[InputNumbers]],aoc_02_input[[#This Row],[PosDash]]+1,5))</f>
        <v>5</v>
      </c>
      <c r="G548" s="1" t="str">
        <f>LEFT(aoc_02_input[[#This Row],[InputChar]],1)</f>
        <v>j</v>
      </c>
      <c r="H548" s="1" cm="1">
        <f t="array" ref="H548">CountChar(aoc_02_input[[#This Row],[Password]],aoc_02_input[[#This Row],[Char]])</f>
        <v>3</v>
      </c>
      <c r="I548" s="1">
        <f>IF(AND(aoc_02_input[[#This Row],[Int1]]&lt;=aoc_02_input[[#This Row],[CountOfChar]],aoc_02_input[[#This Row],[CountOfChar]]&lt;=aoc_02_input[[#This Row],[Int2]]),1,0)</f>
        <v>0</v>
      </c>
      <c r="J548" s="1" t="str">
        <f>MID(aoc_02_input[[#This Row],[Password]],aoc_02_input[[#This Row],[Int1]],1)</f>
        <v>q</v>
      </c>
      <c r="K548" s="1">
        <f>IF(aoc_02_input[[#This Row],[Pos1]]=aoc_02_input[[#This Row],[Char]],1,0)</f>
        <v>0</v>
      </c>
      <c r="L548" s="1" t="str">
        <f>MID(aoc_02_input[[#This Row],[Password]],aoc_02_input[[#This Row],[Int2]],1)</f>
        <v>j</v>
      </c>
      <c r="M548" s="1">
        <f>IF(aoc_02_input[[#This Row],[Pos2]]=aoc_02_input[[#This Row],[Char]],1,0)</f>
        <v>1</v>
      </c>
      <c r="N548" s="1">
        <f>IF(aoc_02_input[[#This Row],[Pos1Valid]]&lt;&gt;aoc_02_input[[#This Row],[Pos2Valid]],1,0)</f>
        <v>1</v>
      </c>
    </row>
    <row r="549" spans="1:14" x14ac:dyDescent="0.45">
      <c r="A549" s="1" t="s">
        <v>271</v>
      </c>
      <c r="B549" s="1" t="s">
        <v>249</v>
      </c>
      <c r="C549" s="1" t="s">
        <v>905</v>
      </c>
      <c r="D549" s="1">
        <f>FIND("-",aoc_02_input[[#This Row],[InputNumbers]])</f>
        <v>2</v>
      </c>
      <c r="E549" s="1">
        <f>_xlfn.NUMBERVALUE(LEFT(aoc_02_input[[#This Row],[InputNumbers]],aoc_02_input[[#This Row],[PosDash]]-1))</f>
        <v>9</v>
      </c>
      <c r="F549" s="1">
        <f>_xlfn.NUMBERVALUE(MID(aoc_02_input[[#This Row],[InputNumbers]],aoc_02_input[[#This Row],[PosDash]]+1,5))</f>
        <v>10</v>
      </c>
      <c r="G549" s="1" t="str">
        <f>LEFT(aoc_02_input[[#This Row],[InputChar]],1)</f>
        <v>q</v>
      </c>
      <c r="H549" s="1" cm="1">
        <f t="array" ref="H549">CountChar(aoc_02_input[[#This Row],[Password]],aoc_02_input[[#This Row],[Char]])</f>
        <v>9</v>
      </c>
      <c r="I549" s="1">
        <f>IF(AND(aoc_02_input[[#This Row],[Int1]]&lt;=aoc_02_input[[#This Row],[CountOfChar]],aoc_02_input[[#This Row],[CountOfChar]]&lt;=aoc_02_input[[#This Row],[Int2]]),1,0)</f>
        <v>1</v>
      </c>
      <c r="J549" s="1" t="str">
        <f>MID(aoc_02_input[[#This Row],[Password]],aoc_02_input[[#This Row],[Int1]],1)</f>
        <v>q</v>
      </c>
      <c r="K549" s="1">
        <f>IF(aoc_02_input[[#This Row],[Pos1]]=aoc_02_input[[#This Row],[Char]],1,0)</f>
        <v>1</v>
      </c>
      <c r="L549" s="1" t="str">
        <f>MID(aoc_02_input[[#This Row],[Password]],aoc_02_input[[#This Row],[Int2]],1)</f>
        <v>z</v>
      </c>
      <c r="M549" s="1">
        <f>IF(aoc_02_input[[#This Row],[Pos2]]=aoc_02_input[[#This Row],[Char]],1,0)</f>
        <v>0</v>
      </c>
      <c r="N549" s="1">
        <f>IF(aoc_02_input[[#This Row],[Pos1Valid]]&lt;&gt;aoc_02_input[[#This Row],[Pos2Valid]],1,0)</f>
        <v>1</v>
      </c>
    </row>
    <row r="550" spans="1:14" x14ac:dyDescent="0.45">
      <c r="A550" s="1" t="s">
        <v>304</v>
      </c>
      <c r="B550" s="1" t="s">
        <v>295</v>
      </c>
      <c r="C550" s="1" t="s">
        <v>906</v>
      </c>
      <c r="D550" s="1">
        <f>FIND("-",aoc_02_input[[#This Row],[InputNumbers]])</f>
        <v>2</v>
      </c>
      <c r="E550" s="1">
        <f>_xlfn.NUMBERVALUE(LEFT(aoc_02_input[[#This Row],[InputNumbers]],aoc_02_input[[#This Row],[PosDash]]-1))</f>
        <v>2</v>
      </c>
      <c r="F550" s="1">
        <f>_xlfn.NUMBERVALUE(MID(aoc_02_input[[#This Row],[InputNumbers]],aoc_02_input[[#This Row],[PosDash]]+1,5))</f>
        <v>16</v>
      </c>
      <c r="G550" s="1" t="str">
        <f>LEFT(aoc_02_input[[#This Row],[InputChar]],1)</f>
        <v>c</v>
      </c>
      <c r="H550" s="1" cm="1">
        <f t="array" ref="H550">CountChar(aoc_02_input[[#This Row],[Password]],aoc_02_input[[#This Row],[Char]])</f>
        <v>13</v>
      </c>
      <c r="I550" s="1">
        <f>IF(AND(aoc_02_input[[#This Row],[Int1]]&lt;=aoc_02_input[[#This Row],[CountOfChar]],aoc_02_input[[#This Row],[CountOfChar]]&lt;=aoc_02_input[[#This Row],[Int2]]),1,0)</f>
        <v>1</v>
      </c>
      <c r="J550" s="1" t="str">
        <f>MID(aoc_02_input[[#This Row],[Password]],aoc_02_input[[#This Row],[Int1]],1)</f>
        <v>c</v>
      </c>
      <c r="K550" s="1">
        <f>IF(aoc_02_input[[#This Row],[Pos1]]=aoc_02_input[[#This Row],[Char]],1,0)</f>
        <v>1</v>
      </c>
      <c r="L550" s="1" t="str">
        <f>MID(aoc_02_input[[#This Row],[Password]],aoc_02_input[[#This Row],[Int2]],1)</f>
        <v>c</v>
      </c>
      <c r="M550" s="1">
        <f>IF(aoc_02_input[[#This Row],[Pos2]]=aoc_02_input[[#This Row],[Char]],1,0)</f>
        <v>1</v>
      </c>
      <c r="N550" s="1">
        <f>IF(aoc_02_input[[#This Row],[Pos1Valid]]&lt;&gt;aoc_02_input[[#This Row],[Pos2Valid]],1,0)</f>
        <v>0</v>
      </c>
    </row>
    <row r="551" spans="1:14" x14ac:dyDescent="0.45">
      <c r="A551" s="1" t="s">
        <v>283</v>
      </c>
      <c r="B551" s="1" t="s">
        <v>222</v>
      </c>
      <c r="C551" s="1" t="s">
        <v>907</v>
      </c>
      <c r="D551" s="1">
        <f>FIND("-",aoc_02_input[[#This Row],[InputNumbers]])</f>
        <v>2</v>
      </c>
      <c r="E551" s="1">
        <f>_xlfn.NUMBERVALUE(LEFT(aoc_02_input[[#This Row],[InputNumbers]],aoc_02_input[[#This Row],[PosDash]]-1))</f>
        <v>3</v>
      </c>
      <c r="F551" s="1">
        <f>_xlfn.NUMBERVALUE(MID(aoc_02_input[[#This Row],[InputNumbers]],aoc_02_input[[#This Row],[PosDash]]+1,5))</f>
        <v>4</v>
      </c>
      <c r="G551" s="1" t="str">
        <f>LEFT(aoc_02_input[[#This Row],[InputChar]],1)</f>
        <v>l</v>
      </c>
      <c r="H551" s="1" cm="1">
        <f t="array" ref="H551">CountChar(aoc_02_input[[#This Row],[Password]],aoc_02_input[[#This Row],[Char]])</f>
        <v>2</v>
      </c>
      <c r="I551" s="1">
        <f>IF(AND(aoc_02_input[[#This Row],[Int1]]&lt;=aoc_02_input[[#This Row],[CountOfChar]],aoc_02_input[[#This Row],[CountOfChar]]&lt;=aoc_02_input[[#This Row],[Int2]]),1,0)</f>
        <v>0</v>
      </c>
      <c r="J551" s="1" t="str">
        <f>MID(aoc_02_input[[#This Row],[Password]],aoc_02_input[[#This Row],[Int1]],1)</f>
        <v>j</v>
      </c>
      <c r="K551" s="1">
        <f>IF(aoc_02_input[[#This Row],[Pos1]]=aoc_02_input[[#This Row],[Char]],1,0)</f>
        <v>0</v>
      </c>
      <c r="L551" s="1" t="str">
        <f>MID(aoc_02_input[[#This Row],[Password]],aoc_02_input[[#This Row],[Int2]],1)</f>
        <v>l</v>
      </c>
      <c r="M551" s="1">
        <f>IF(aoc_02_input[[#This Row],[Pos2]]=aoc_02_input[[#This Row],[Char]],1,0)</f>
        <v>1</v>
      </c>
      <c r="N551" s="1">
        <f>IF(aoc_02_input[[#This Row],[Pos1Valid]]&lt;&gt;aoc_02_input[[#This Row],[Pos2Valid]],1,0)</f>
        <v>1</v>
      </c>
    </row>
    <row r="552" spans="1:14" x14ac:dyDescent="0.45">
      <c r="A552" s="1" t="s">
        <v>234</v>
      </c>
      <c r="B552" s="1" t="s">
        <v>210</v>
      </c>
      <c r="C552" s="1" t="s">
        <v>908</v>
      </c>
      <c r="D552" s="1">
        <f>FIND("-",aoc_02_input[[#This Row],[InputNumbers]])</f>
        <v>2</v>
      </c>
      <c r="E552" s="1">
        <f>_xlfn.NUMBERVALUE(LEFT(aoc_02_input[[#This Row],[InputNumbers]],aoc_02_input[[#This Row],[PosDash]]-1))</f>
        <v>7</v>
      </c>
      <c r="F552" s="1">
        <f>_xlfn.NUMBERVALUE(MID(aoc_02_input[[#This Row],[InputNumbers]],aoc_02_input[[#This Row],[PosDash]]+1,5))</f>
        <v>8</v>
      </c>
      <c r="G552" s="1" t="str">
        <f>LEFT(aoc_02_input[[#This Row],[InputChar]],1)</f>
        <v>v</v>
      </c>
      <c r="H552" s="1" cm="1">
        <f t="array" ref="H552">CountChar(aoc_02_input[[#This Row],[Password]],aoc_02_input[[#This Row],[Char]])</f>
        <v>4</v>
      </c>
      <c r="I552" s="1">
        <f>IF(AND(aoc_02_input[[#This Row],[Int1]]&lt;=aoc_02_input[[#This Row],[CountOfChar]],aoc_02_input[[#This Row],[CountOfChar]]&lt;=aoc_02_input[[#This Row],[Int2]]),1,0)</f>
        <v>0</v>
      </c>
      <c r="J552" s="1" t="str">
        <f>MID(aoc_02_input[[#This Row],[Password]],aoc_02_input[[#This Row],[Int1]],1)</f>
        <v>x</v>
      </c>
      <c r="K552" s="1">
        <f>IF(aoc_02_input[[#This Row],[Pos1]]=aoc_02_input[[#This Row],[Char]],1,0)</f>
        <v>0</v>
      </c>
      <c r="L552" s="1" t="str">
        <f>MID(aoc_02_input[[#This Row],[Password]],aoc_02_input[[#This Row],[Int2]],1)</f>
        <v>k</v>
      </c>
      <c r="M552" s="1">
        <f>IF(aoc_02_input[[#This Row],[Pos2]]=aoc_02_input[[#This Row],[Char]],1,0)</f>
        <v>0</v>
      </c>
      <c r="N552" s="1">
        <f>IF(aoc_02_input[[#This Row],[Pos1Valid]]&lt;&gt;aoc_02_input[[#This Row],[Pos2Valid]],1,0)</f>
        <v>0</v>
      </c>
    </row>
    <row r="553" spans="1:14" x14ac:dyDescent="0.45">
      <c r="A553" s="1" t="s">
        <v>657</v>
      </c>
      <c r="B553" s="1" t="s">
        <v>210</v>
      </c>
      <c r="C553" s="1" t="s">
        <v>909</v>
      </c>
      <c r="D553" s="1">
        <f>FIND("-",aoc_02_input[[#This Row],[InputNumbers]])</f>
        <v>2</v>
      </c>
      <c r="E553" s="1">
        <f>_xlfn.NUMBERVALUE(LEFT(aoc_02_input[[#This Row],[InputNumbers]],aoc_02_input[[#This Row],[PosDash]]-1))</f>
        <v>2</v>
      </c>
      <c r="F553" s="1">
        <f>_xlfn.NUMBERVALUE(MID(aoc_02_input[[#This Row],[InputNumbers]],aoc_02_input[[#This Row],[PosDash]]+1,5))</f>
        <v>14</v>
      </c>
      <c r="G553" s="1" t="str">
        <f>LEFT(aoc_02_input[[#This Row],[InputChar]],1)</f>
        <v>v</v>
      </c>
      <c r="H553" s="1" cm="1">
        <f t="array" ref="H553">CountChar(aoc_02_input[[#This Row],[Password]],aoc_02_input[[#This Row],[Char]])</f>
        <v>10</v>
      </c>
      <c r="I553" s="1">
        <f>IF(AND(aoc_02_input[[#This Row],[Int1]]&lt;=aoc_02_input[[#This Row],[CountOfChar]],aoc_02_input[[#This Row],[CountOfChar]]&lt;=aoc_02_input[[#This Row],[Int2]]),1,0)</f>
        <v>1</v>
      </c>
      <c r="J553" s="1" t="str">
        <f>MID(aoc_02_input[[#This Row],[Password]],aoc_02_input[[#This Row],[Int1]],1)</f>
        <v>n</v>
      </c>
      <c r="K553" s="1">
        <f>IF(aoc_02_input[[#This Row],[Pos1]]=aoc_02_input[[#This Row],[Char]],1,0)</f>
        <v>0</v>
      </c>
      <c r="L553" s="1" t="str">
        <f>MID(aoc_02_input[[#This Row],[Password]],aoc_02_input[[#This Row],[Int2]],1)</f>
        <v>v</v>
      </c>
      <c r="M553" s="1">
        <f>IF(aoc_02_input[[#This Row],[Pos2]]=aoc_02_input[[#This Row],[Char]],1,0)</f>
        <v>1</v>
      </c>
      <c r="N553" s="1">
        <f>IF(aoc_02_input[[#This Row],[Pos1Valid]]&lt;&gt;aoc_02_input[[#This Row],[Pos2Valid]],1,0)</f>
        <v>1</v>
      </c>
    </row>
    <row r="554" spans="1:14" x14ac:dyDescent="0.45">
      <c r="A554" s="1" t="s">
        <v>494</v>
      </c>
      <c r="B554" s="1" t="s">
        <v>243</v>
      </c>
      <c r="C554" s="1" t="s">
        <v>910</v>
      </c>
      <c r="D554" s="1">
        <f>FIND("-",aoc_02_input[[#This Row],[InputNumbers]])</f>
        <v>2</v>
      </c>
      <c r="E554" s="1">
        <f>_xlfn.NUMBERVALUE(LEFT(aoc_02_input[[#This Row],[InputNumbers]],aoc_02_input[[#This Row],[PosDash]]-1))</f>
        <v>7</v>
      </c>
      <c r="F554" s="1">
        <f>_xlfn.NUMBERVALUE(MID(aoc_02_input[[#This Row],[InputNumbers]],aoc_02_input[[#This Row],[PosDash]]+1,5))</f>
        <v>10</v>
      </c>
      <c r="G554" s="1" t="str">
        <f>LEFT(aoc_02_input[[#This Row],[InputChar]],1)</f>
        <v>f</v>
      </c>
      <c r="H554" s="1" cm="1">
        <f t="array" ref="H554">CountChar(aoc_02_input[[#This Row],[Password]],aoc_02_input[[#This Row],[Char]])</f>
        <v>10</v>
      </c>
      <c r="I554" s="1">
        <f>IF(AND(aoc_02_input[[#This Row],[Int1]]&lt;=aoc_02_input[[#This Row],[CountOfChar]],aoc_02_input[[#This Row],[CountOfChar]]&lt;=aoc_02_input[[#This Row],[Int2]]),1,0)</f>
        <v>1</v>
      </c>
      <c r="J554" s="1" t="str">
        <f>MID(aoc_02_input[[#This Row],[Password]],aoc_02_input[[#This Row],[Int1]],1)</f>
        <v>f</v>
      </c>
      <c r="K554" s="1">
        <f>IF(aoc_02_input[[#This Row],[Pos1]]=aoc_02_input[[#This Row],[Char]],1,0)</f>
        <v>1</v>
      </c>
      <c r="L554" s="1" t="str">
        <f>MID(aoc_02_input[[#This Row],[Password]],aoc_02_input[[#This Row],[Int2]],1)</f>
        <v>f</v>
      </c>
      <c r="M554" s="1">
        <f>IF(aoc_02_input[[#This Row],[Pos2]]=aoc_02_input[[#This Row],[Char]],1,0)</f>
        <v>1</v>
      </c>
      <c r="N554" s="1">
        <f>IF(aoc_02_input[[#This Row],[Pos1Valid]]&lt;&gt;aoc_02_input[[#This Row],[Pos2Valid]],1,0)</f>
        <v>0</v>
      </c>
    </row>
    <row r="555" spans="1:14" x14ac:dyDescent="0.45">
      <c r="A555" s="1" t="s">
        <v>242</v>
      </c>
      <c r="B555" s="1" t="s">
        <v>210</v>
      </c>
      <c r="C555" s="1" t="s">
        <v>911</v>
      </c>
      <c r="D555" s="1">
        <f>FIND("-",aoc_02_input[[#This Row],[InputNumbers]])</f>
        <v>3</v>
      </c>
      <c r="E555" s="1">
        <f>_xlfn.NUMBERVALUE(LEFT(aoc_02_input[[#This Row],[InputNumbers]],aoc_02_input[[#This Row],[PosDash]]-1))</f>
        <v>10</v>
      </c>
      <c r="F555" s="1">
        <f>_xlfn.NUMBERVALUE(MID(aoc_02_input[[#This Row],[InputNumbers]],aoc_02_input[[#This Row],[PosDash]]+1,5))</f>
        <v>11</v>
      </c>
      <c r="G555" s="1" t="str">
        <f>LEFT(aoc_02_input[[#This Row],[InputChar]],1)</f>
        <v>v</v>
      </c>
      <c r="H555" s="1" cm="1">
        <f t="array" ref="H555">CountChar(aoc_02_input[[#This Row],[Password]],aoc_02_input[[#This Row],[Char]])</f>
        <v>8</v>
      </c>
      <c r="I555" s="1">
        <f>IF(AND(aoc_02_input[[#This Row],[Int1]]&lt;=aoc_02_input[[#This Row],[CountOfChar]],aoc_02_input[[#This Row],[CountOfChar]]&lt;=aoc_02_input[[#This Row],[Int2]]),1,0)</f>
        <v>0</v>
      </c>
      <c r="J555" s="1" t="str">
        <f>MID(aoc_02_input[[#This Row],[Password]],aoc_02_input[[#This Row],[Int1]],1)</f>
        <v>v</v>
      </c>
      <c r="K555" s="1">
        <f>IF(aoc_02_input[[#This Row],[Pos1]]=aoc_02_input[[#This Row],[Char]],1,0)</f>
        <v>1</v>
      </c>
      <c r="L555" s="1" t="str">
        <f>MID(aoc_02_input[[#This Row],[Password]],aoc_02_input[[#This Row],[Int2]],1)</f>
        <v>v</v>
      </c>
      <c r="M555" s="1">
        <f>IF(aoc_02_input[[#This Row],[Pos2]]=aoc_02_input[[#This Row],[Char]],1,0)</f>
        <v>1</v>
      </c>
      <c r="N555" s="1">
        <f>IF(aoc_02_input[[#This Row],[Pos1Valid]]&lt;&gt;aoc_02_input[[#This Row],[Pos2Valid]],1,0)</f>
        <v>0</v>
      </c>
    </row>
    <row r="556" spans="1:14" x14ac:dyDescent="0.45">
      <c r="A556" s="1" t="s">
        <v>242</v>
      </c>
      <c r="B556" s="1" t="s">
        <v>216</v>
      </c>
      <c r="C556" s="1" t="s">
        <v>912</v>
      </c>
      <c r="D556" s="1">
        <f>FIND("-",aoc_02_input[[#This Row],[InputNumbers]])</f>
        <v>3</v>
      </c>
      <c r="E556" s="1">
        <f>_xlfn.NUMBERVALUE(LEFT(aoc_02_input[[#This Row],[InputNumbers]],aoc_02_input[[#This Row],[PosDash]]-1))</f>
        <v>10</v>
      </c>
      <c r="F556" s="1">
        <f>_xlfn.NUMBERVALUE(MID(aoc_02_input[[#This Row],[InputNumbers]],aoc_02_input[[#This Row],[PosDash]]+1,5))</f>
        <v>11</v>
      </c>
      <c r="G556" s="1" t="str">
        <f>LEFT(aoc_02_input[[#This Row],[InputChar]],1)</f>
        <v>z</v>
      </c>
      <c r="H556" s="1" cm="1">
        <f t="array" ref="H556">CountChar(aoc_02_input[[#This Row],[Password]],aoc_02_input[[#This Row],[Char]])</f>
        <v>6</v>
      </c>
      <c r="I556" s="1">
        <f>IF(AND(aoc_02_input[[#This Row],[Int1]]&lt;=aoc_02_input[[#This Row],[CountOfChar]],aoc_02_input[[#This Row],[CountOfChar]]&lt;=aoc_02_input[[#This Row],[Int2]]),1,0)</f>
        <v>0</v>
      </c>
      <c r="J556" s="1" t="str">
        <f>MID(aoc_02_input[[#This Row],[Password]],aoc_02_input[[#This Row],[Int1]],1)</f>
        <v>z</v>
      </c>
      <c r="K556" s="1">
        <f>IF(aoc_02_input[[#This Row],[Pos1]]=aoc_02_input[[#This Row],[Char]],1,0)</f>
        <v>1</v>
      </c>
      <c r="L556" s="1" t="str">
        <f>MID(aoc_02_input[[#This Row],[Password]],aoc_02_input[[#This Row],[Int2]],1)</f>
        <v>z</v>
      </c>
      <c r="M556" s="1">
        <f>IF(aoc_02_input[[#This Row],[Pos2]]=aoc_02_input[[#This Row],[Char]],1,0)</f>
        <v>1</v>
      </c>
      <c r="N556" s="1">
        <f>IF(aoc_02_input[[#This Row],[Pos1Valid]]&lt;&gt;aoc_02_input[[#This Row],[Pos2Valid]],1,0)</f>
        <v>0</v>
      </c>
    </row>
    <row r="557" spans="1:14" x14ac:dyDescent="0.45">
      <c r="A557" s="1" t="s">
        <v>230</v>
      </c>
      <c r="B557" s="1" t="s">
        <v>254</v>
      </c>
      <c r="C557" s="1" t="s">
        <v>913</v>
      </c>
      <c r="D557" s="1">
        <f>FIND("-",aoc_02_input[[#This Row],[InputNumbers]])</f>
        <v>2</v>
      </c>
      <c r="E557" s="1">
        <f>_xlfn.NUMBERVALUE(LEFT(aoc_02_input[[#This Row],[InputNumbers]],aoc_02_input[[#This Row],[PosDash]]-1))</f>
        <v>2</v>
      </c>
      <c r="F557" s="1">
        <f>_xlfn.NUMBERVALUE(MID(aoc_02_input[[#This Row],[InputNumbers]],aoc_02_input[[#This Row],[PosDash]]+1,5))</f>
        <v>4</v>
      </c>
      <c r="G557" s="1" t="str">
        <f>LEFT(aoc_02_input[[#This Row],[InputChar]],1)</f>
        <v>k</v>
      </c>
      <c r="H557" s="1" cm="1">
        <f t="array" ref="H557">CountChar(aoc_02_input[[#This Row],[Password]],aoc_02_input[[#This Row],[Char]])</f>
        <v>0</v>
      </c>
      <c r="I557" s="1">
        <f>IF(AND(aoc_02_input[[#This Row],[Int1]]&lt;=aoc_02_input[[#This Row],[CountOfChar]],aoc_02_input[[#This Row],[CountOfChar]]&lt;=aoc_02_input[[#This Row],[Int2]]),1,0)</f>
        <v>0</v>
      </c>
      <c r="J557" s="1" t="str">
        <f>MID(aoc_02_input[[#This Row],[Password]],aoc_02_input[[#This Row],[Int1]],1)</f>
        <v>g</v>
      </c>
      <c r="K557" s="1">
        <f>IF(aoc_02_input[[#This Row],[Pos1]]=aoc_02_input[[#This Row],[Char]],1,0)</f>
        <v>0</v>
      </c>
      <c r="L557" s="1" t="str">
        <f>MID(aoc_02_input[[#This Row],[Password]],aoc_02_input[[#This Row],[Int2]],1)</f>
        <v>r</v>
      </c>
      <c r="M557" s="1">
        <f>IF(aoc_02_input[[#This Row],[Pos2]]=aoc_02_input[[#This Row],[Char]],1,0)</f>
        <v>0</v>
      </c>
      <c r="N557" s="1">
        <f>IF(aoc_02_input[[#This Row],[Pos1Valid]]&lt;&gt;aoc_02_input[[#This Row],[Pos2Valid]],1,0)</f>
        <v>0</v>
      </c>
    </row>
    <row r="558" spans="1:14" x14ac:dyDescent="0.45">
      <c r="A558" s="1" t="s">
        <v>473</v>
      </c>
      <c r="B558" s="1" t="s">
        <v>207</v>
      </c>
      <c r="C558" s="1" t="s">
        <v>914</v>
      </c>
      <c r="D558" s="1">
        <f>FIND("-",aoc_02_input[[#This Row],[InputNumbers]])</f>
        <v>2</v>
      </c>
      <c r="E558" s="1">
        <f>_xlfn.NUMBERVALUE(LEFT(aoc_02_input[[#This Row],[InputNumbers]],aoc_02_input[[#This Row],[PosDash]]-1))</f>
        <v>2</v>
      </c>
      <c r="F558" s="1">
        <f>_xlfn.NUMBERVALUE(MID(aoc_02_input[[#This Row],[InputNumbers]],aoc_02_input[[#This Row],[PosDash]]+1,5))</f>
        <v>6</v>
      </c>
      <c r="G558" s="1" t="str">
        <f>LEFT(aoc_02_input[[#This Row],[InputChar]],1)</f>
        <v>b</v>
      </c>
      <c r="H558" s="1" cm="1">
        <f t="array" ref="H558">CountChar(aoc_02_input[[#This Row],[Password]],aoc_02_input[[#This Row],[Char]])</f>
        <v>8</v>
      </c>
      <c r="I558" s="1">
        <f>IF(AND(aoc_02_input[[#This Row],[Int1]]&lt;=aoc_02_input[[#This Row],[CountOfChar]],aoc_02_input[[#This Row],[CountOfChar]]&lt;=aoc_02_input[[#This Row],[Int2]]),1,0)</f>
        <v>0</v>
      </c>
      <c r="J558" s="1" t="str">
        <f>MID(aoc_02_input[[#This Row],[Password]],aoc_02_input[[#This Row],[Int1]],1)</f>
        <v>b</v>
      </c>
      <c r="K558" s="1">
        <f>IF(aoc_02_input[[#This Row],[Pos1]]=aoc_02_input[[#This Row],[Char]],1,0)</f>
        <v>1</v>
      </c>
      <c r="L558" s="1" t="str">
        <f>MID(aoc_02_input[[#This Row],[Password]],aoc_02_input[[#This Row],[Int2]],1)</f>
        <v>v</v>
      </c>
      <c r="M558" s="1">
        <f>IF(aoc_02_input[[#This Row],[Pos2]]=aoc_02_input[[#This Row],[Char]],1,0)</f>
        <v>0</v>
      </c>
      <c r="N558" s="1">
        <f>IF(aoc_02_input[[#This Row],[Pos1Valid]]&lt;&gt;aoc_02_input[[#This Row],[Pos2Valid]],1,0)</f>
        <v>1</v>
      </c>
    </row>
    <row r="559" spans="1:14" x14ac:dyDescent="0.45">
      <c r="A559" s="1" t="s">
        <v>644</v>
      </c>
      <c r="B559" s="1" t="s">
        <v>243</v>
      </c>
      <c r="C559" s="1" t="s">
        <v>915</v>
      </c>
      <c r="D559" s="1">
        <f>FIND("-",aoc_02_input[[#This Row],[InputNumbers]])</f>
        <v>3</v>
      </c>
      <c r="E559" s="1">
        <f>_xlfn.NUMBERVALUE(LEFT(aoc_02_input[[#This Row],[InputNumbers]],aoc_02_input[[#This Row],[PosDash]]-1))</f>
        <v>18</v>
      </c>
      <c r="F559" s="1">
        <f>_xlfn.NUMBERVALUE(MID(aoc_02_input[[#This Row],[InputNumbers]],aoc_02_input[[#This Row],[PosDash]]+1,5))</f>
        <v>20</v>
      </c>
      <c r="G559" s="1" t="str">
        <f>LEFT(aoc_02_input[[#This Row],[InputChar]],1)</f>
        <v>f</v>
      </c>
      <c r="H559" s="1" cm="1">
        <f t="array" ref="H559">CountChar(aoc_02_input[[#This Row],[Password]],aoc_02_input[[#This Row],[Char]])</f>
        <v>19</v>
      </c>
      <c r="I559" s="1">
        <f>IF(AND(aoc_02_input[[#This Row],[Int1]]&lt;=aoc_02_input[[#This Row],[CountOfChar]],aoc_02_input[[#This Row],[CountOfChar]]&lt;=aoc_02_input[[#This Row],[Int2]]),1,0)</f>
        <v>1</v>
      </c>
      <c r="J559" s="1" t="str">
        <f>MID(aoc_02_input[[#This Row],[Password]],aoc_02_input[[#This Row],[Int1]],1)</f>
        <v>f</v>
      </c>
      <c r="K559" s="1">
        <f>IF(aoc_02_input[[#This Row],[Pos1]]=aoc_02_input[[#This Row],[Char]],1,0)</f>
        <v>1</v>
      </c>
      <c r="L559" s="1" t="str">
        <f>MID(aoc_02_input[[#This Row],[Password]],aoc_02_input[[#This Row],[Int2]],1)</f>
        <v>f</v>
      </c>
      <c r="M559" s="1">
        <f>IF(aoc_02_input[[#This Row],[Pos2]]=aoc_02_input[[#This Row],[Char]],1,0)</f>
        <v>1</v>
      </c>
      <c r="N559" s="1">
        <f>IF(aoc_02_input[[#This Row],[Pos1Valid]]&lt;&gt;aoc_02_input[[#This Row],[Pos2Valid]],1,0)</f>
        <v>0</v>
      </c>
    </row>
    <row r="560" spans="1:14" x14ac:dyDescent="0.45">
      <c r="A560" s="1" t="s">
        <v>473</v>
      </c>
      <c r="B560" s="1" t="s">
        <v>213</v>
      </c>
      <c r="C560" s="1" t="s">
        <v>916</v>
      </c>
      <c r="D560" s="1">
        <f>FIND("-",aoc_02_input[[#This Row],[InputNumbers]])</f>
        <v>2</v>
      </c>
      <c r="E560" s="1">
        <f>_xlfn.NUMBERVALUE(LEFT(aoc_02_input[[#This Row],[InputNumbers]],aoc_02_input[[#This Row],[PosDash]]-1))</f>
        <v>2</v>
      </c>
      <c r="F560" s="1">
        <f>_xlfn.NUMBERVALUE(MID(aoc_02_input[[#This Row],[InputNumbers]],aoc_02_input[[#This Row],[PosDash]]+1,5))</f>
        <v>6</v>
      </c>
      <c r="G560" s="1" t="str">
        <f>LEFT(aoc_02_input[[#This Row],[InputChar]],1)</f>
        <v>m</v>
      </c>
      <c r="H560" s="1" cm="1">
        <f t="array" ref="H560">CountChar(aoc_02_input[[#This Row],[Password]],aoc_02_input[[#This Row],[Char]])</f>
        <v>8</v>
      </c>
      <c r="I560" s="1">
        <f>IF(AND(aoc_02_input[[#This Row],[Int1]]&lt;=aoc_02_input[[#This Row],[CountOfChar]],aoc_02_input[[#This Row],[CountOfChar]]&lt;=aoc_02_input[[#This Row],[Int2]]),1,0)</f>
        <v>0</v>
      </c>
      <c r="J560" s="1" t="str">
        <f>MID(aoc_02_input[[#This Row],[Password]],aoc_02_input[[#This Row],[Int1]],1)</f>
        <v>m</v>
      </c>
      <c r="K560" s="1">
        <f>IF(aoc_02_input[[#This Row],[Pos1]]=aoc_02_input[[#This Row],[Char]],1,0)</f>
        <v>1</v>
      </c>
      <c r="L560" s="1" t="str">
        <f>MID(aoc_02_input[[#This Row],[Password]],aoc_02_input[[#This Row],[Int2]],1)</f>
        <v>m</v>
      </c>
      <c r="M560" s="1">
        <f>IF(aoc_02_input[[#This Row],[Pos2]]=aoc_02_input[[#This Row],[Char]],1,0)</f>
        <v>1</v>
      </c>
      <c r="N560" s="1">
        <f>IF(aoc_02_input[[#This Row],[Pos1Valid]]&lt;&gt;aoc_02_input[[#This Row],[Pos2Valid]],1,0)</f>
        <v>0</v>
      </c>
    </row>
    <row r="561" spans="1:14" x14ac:dyDescent="0.45">
      <c r="A561" s="1" t="s">
        <v>494</v>
      </c>
      <c r="B561" s="1" t="s">
        <v>249</v>
      </c>
      <c r="C561" s="1" t="s">
        <v>917</v>
      </c>
      <c r="D561" s="1">
        <f>FIND("-",aoc_02_input[[#This Row],[InputNumbers]])</f>
        <v>2</v>
      </c>
      <c r="E561" s="1">
        <f>_xlfn.NUMBERVALUE(LEFT(aoc_02_input[[#This Row],[InputNumbers]],aoc_02_input[[#This Row],[PosDash]]-1))</f>
        <v>7</v>
      </c>
      <c r="F561" s="1">
        <f>_xlfn.NUMBERVALUE(MID(aoc_02_input[[#This Row],[InputNumbers]],aoc_02_input[[#This Row],[PosDash]]+1,5))</f>
        <v>10</v>
      </c>
      <c r="G561" s="1" t="str">
        <f>LEFT(aoc_02_input[[#This Row],[InputChar]],1)</f>
        <v>q</v>
      </c>
      <c r="H561" s="1" cm="1">
        <f t="array" ref="H561">CountChar(aoc_02_input[[#This Row],[Password]],aoc_02_input[[#This Row],[Char]])</f>
        <v>7</v>
      </c>
      <c r="I561" s="1">
        <f>IF(AND(aoc_02_input[[#This Row],[Int1]]&lt;=aoc_02_input[[#This Row],[CountOfChar]],aoc_02_input[[#This Row],[CountOfChar]]&lt;=aoc_02_input[[#This Row],[Int2]]),1,0)</f>
        <v>1</v>
      </c>
      <c r="J561" s="1" t="str">
        <f>MID(aoc_02_input[[#This Row],[Password]],aoc_02_input[[#This Row],[Int1]],1)</f>
        <v>q</v>
      </c>
      <c r="K561" s="1">
        <f>IF(aoc_02_input[[#This Row],[Pos1]]=aoc_02_input[[#This Row],[Char]],1,0)</f>
        <v>1</v>
      </c>
      <c r="L561" s="1" t="str">
        <f>MID(aoc_02_input[[#This Row],[Password]],aoc_02_input[[#This Row],[Int2]],1)</f>
        <v>r</v>
      </c>
      <c r="M561" s="1">
        <f>IF(aoc_02_input[[#This Row],[Pos2]]=aoc_02_input[[#This Row],[Char]],1,0)</f>
        <v>0</v>
      </c>
      <c r="N561" s="1">
        <f>IF(aoc_02_input[[#This Row],[Pos1Valid]]&lt;&gt;aoc_02_input[[#This Row],[Pos2Valid]],1,0)</f>
        <v>1</v>
      </c>
    </row>
    <row r="562" spans="1:14" x14ac:dyDescent="0.45">
      <c r="A562" s="1" t="s">
        <v>339</v>
      </c>
      <c r="B562" s="1" t="s">
        <v>295</v>
      </c>
      <c r="C562" s="1" t="s">
        <v>918</v>
      </c>
      <c r="D562" s="1">
        <f>FIND("-",aoc_02_input[[#This Row],[InputNumbers]])</f>
        <v>2</v>
      </c>
      <c r="E562" s="1">
        <f>_xlfn.NUMBERVALUE(LEFT(aoc_02_input[[#This Row],[InputNumbers]],aoc_02_input[[#This Row],[PosDash]]-1))</f>
        <v>6</v>
      </c>
      <c r="F562" s="1">
        <f>_xlfn.NUMBERVALUE(MID(aoc_02_input[[#This Row],[InputNumbers]],aoc_02_input[[#This Row],[PosDash]]+1,5))</f>
        <v>10</v>
      </c>
      <c r="G562" s="1" t="str">
        <f>LEFT(aoc_02_input[[#This Row],[InputChar]],1)</f>
        <v>c</v>
      </c>
      <c r="H562" s="1" cm="1">
        <f t="array" ref="H562">CountChar(aoc_02_input[[#This Row],[Password]],aoc_02_input[[#This Row],[Char]])</f>
        <v>5</v>
      </c>
      <c r="I562" s="1">
        <f>IF(AND(aoc_02_input[[#This Row],[Int1]]&lt;=aoc_02_input[[#This Row],[CountOfChar]],aoc_02_input[[#This Row],[CountOfChar]]&lt;=aoc_02_input[[#This Row],[Int2]]),1,0)</f>
        <v>0</v>
      </c>
      <c r="J562" s="1" t="str">
        <f>MID(aoc_02_input[[#This Row],[Password]],aoc_02_input[[#This Row],[Int1]],1)</f>
        <v>c</v>
      </c>
      <c r="K562" s="1">
        <f>IF(aoc_02_input[[#This Row],[Pos1]]=aoc_02_input[[#This Row],[Char]],1,0)</f>
        <v>1</v>
      </c>
      <c r="L562" s="1" t="str">
        <f>MID(aoc_02_input[[#This Row],[Password]],aoc_02_input[[#This Row],[Int2]],1)</f>
        <v>c</v>
      </c>
      <c r="M562" s="1">
        <f>IF(aoc_02_input[[#This Row],[Pos2]]=aoc_02_input[[#This Row],[Char]],1,0)</f>
        <v>1</v>
      </c>
      <c r="N562" s="1">
        <f>IF(aoc_02_input[[#This Row],[Pos1Valid]]&lt;&gt;aoc_02_input[[#This Row],[Pos2Valid]],1,0)</f>
        <v>0</v>
      </c>
    </row>
    <row r="563" spans="1:14" x14ac:dyDescent="0.45">
      <c r="A563" s="1" t="s">
        <v>283</v>
      </c>
      <c r="B563" s="1" t="s">
        <v>216</v>
      </c>
      <c r="C563" s="1" t="s">
        <v>919</v>
      </c>
      <c r="D563" s="1">
        <f>FIND("-",aoc_02_input[[#This Row],[InputNumbers]])</f>
        <v>2</v>
      </c>
      <c r="E563" s="1">
        <f>_xlfn.NUMBERVALUE(LEFT(aoc_02_input[[#This Row],[InputNumbers]],aoc_02_input[[#This Row],[PosDash]]-1))</f>
        <v>3</v>
      </c>
      <c r="F563" s="1">
        <f>_xlfn.NUMBERVALUE(MID(aoc_02_input[[#This Row],[InputNumbers]],aoc_02_input[[#This Row],[PosDash]]+1,5))</f>
        <v>4</v>
      </c>
      <c r="G563" s="1" t="str">
        <f>LEFT(aoc_02_input[[#This Row],[InputChar]],1)</f>
        <v>z</v>
      </c>
      <c r="H563" s="1" cm="1">
        <f t="array" ref="H563">CountChar(aoc_02_input[[#This Row],[Password]],aoc_02_input[[#This Row],[Char]])</f>
        <v>3</v>
      </c>
      <c r="I563" s="1">
        <f>IF(AND(aoc_02_input[[#This Row],[Int1]]&lt;=aoc_02_input[[#This Row],[CountOfChar]],aoc_02_input[[#This Row],[CountOfChar]]&lt;=aoc_02_input[[#This Row],[Int2]]),1,0)</f>
        <v>1</v>
      </c>
      <c r="J563" s="1" t="str">
        <f>MID(aoc_02_input[[#This Row],[Password]],aoc_02_input[[#This Row],[Int1]],1)</f>
        <v>x</v>
      </c>
      <c r="K563" s="1">
        <f>IF(aoc_02_input[[#This Row],[Pos1]]=aoc_02_input[[#This Row],[Char]],1,0)</f>
        <v>0</v>
      </c>
      <c r="L563" s="1" t="str">
        <f>MID(aoc_02_input[[#This Row],[Password]],aoc_02_input[[#This Row],[Int2]],1)</f>
        <v>z</v>
      </c>
      <c r="M563" s="1">
        <f>IF(aoc_02_input[[#This Row],[Pos2]]=aoc_02_input[[#This Row],[Char]],1,0)</f>
        <v>1</v>
      </c>
      <c r="N563" s="1">
        <f>IF(aoc_02_input[[#This Row],[Pos1Valid]]&lt;&gt;aoc_02_input[[#This Row],[Pos2Valid]],1,0)</f>
        <v>1</v>
      </c>
    </row>
    <row r="564" spans="1:14" x14ac:dyDescent="0.45">
      <c r="A564" s="1" t="s">
        <v>230</v>
      </c>
      <c r="B564" s="1" t="s">
        <v>265</v>
      </c>
      <c r="C564" s="1" t="s">
        <v>920</v>
      </c>
      <c r="D564" s="1">
        <f>FIND("-",aoc_02_input[[#This Row],[InputNumbers]])</f>
        <v>2</v>
      </c>
      <c r="E564" s="1">
        <f>_xlfn.NUMBERVALUE(LEFT(aoc_02_input[[#This Row],[InputNumbers]],aoc_02_input[[#This Row],[PosDash]]-1))</f>
        <v>2</v>
      </c>
      <c r="F564" s="1">
        <f>_xlfn.NUMBERVALUE(MID(aoc_02_input[[#This Row],[InputNumbers]],aoc_02_input[[#This Row],[PosDash]]+1,5))</f>
        <v>4</v>
      </c>
      <c r="G564" s="1" t="str">
        <f>LEFT(aoc_02_input[[#This Row],[InputChar]],1)</f>
        <v>r</v>
      </c>
      <c r="H564" s="1" cm="1">
        <f t="array" ref="H564">CountChar(aoc_02_input[[#This Row],[Password]],aoc_02_input[[#This Row],[Char]])</f>
        <v>2</v>
      </c>
      <c r="I564" s="1">
        <f>IF(AND(aoc_02_input[[#This Row],[Int1]]&lt;=aoc_02_input[[#This Row],[CountOfChar]],aoc_02_input[[#This Row],[CountOfChar]]&lt;=aoc_02_input[[#This Row],[Int2]]),1,0)</f>
        <v>1</v>
      </c>
      <c r="J564" s="1" t="str">
        <f>MID(aoc_02_input[[#This Row],[Password]],aoc_02_input[[#This Row],[Int1]],1)</f>
        <v>r</v>
      </c>
      <c r="K564" s="1">
        <f>IF(aoc_02_input[[#This Row],[Pos1]]=aoc_02_input[[#This Row],[Char]],1,0)</f>
        <v>1</v>
      </c>
      <c r="L564" s="1" t="str">
        <f>MID(aoc_02_input[[#This Row],[Password]],aoc_02_input[[#This Row],[Int2]],1)</f>
        <v>f</v>
      </c>
      <c r="M564" s="1">
        <f>IF(aoc_02_input[[#This Row],[Pos2]]=aoc_02_input[[#This Row],[Char]],1,0)</f>
        <v>0</v>
      </c>
      <c r="N564" s="1">
        <f>IF(aoc_02_input[[#This Row],[Pos1Valid]]&lt;&gt;aoc_02_input[[#This Row],[Pos2Valid]],1,0)</f>
        <v>1</v>
      </c>
    </row>
    <row r="565" spans="1:14" x14ac:dyDescent="0.45">
      <c r="A565" s="1" t="s">
        <v>292</v>
      </c>
      <c r="B565" s="1" t="s">
        <v>213</v>
      </c>
      <c r="C565" s="1" t="s">
        <v>921</v>
      </c>
      <c r="D565" s="1">
        <f>FIND("-",aoc_02_input[[#This Row],[InputNumbers]])</f>
        <v>2</v>
      </c>
      <c r="E565" s="1">
        <f>_xlfn.NUMBERVALUE(LEFT(aoc_02_input[[#This Row],[InputNumbers]],aoc_02_input[[#This Row],[PosDash]]-1))</f>
        <v>7</v>
      </c>
      <c r="F565" s="1">
        <f>_xlfn.NUMBERVALUE(MID(aoc_02_input[[#This Row],[InputNumbers]],aoc_02_input[[#This Row],[PosDash]]+1,5))</f>
        <v>9</v>
      </c>
      <c r="G565" s="1" t="str">
        <f>LEFT(aoc_02_input[[#This Row],[InputChar]],1)</f>
        <v>m</v>
      </c>
      <c r="H565" s="1" cm="1">
        <f t="array" ref="H565">CountChar(aoc_02_input[[#This Row],[Password]],aoc_02_input[[#This Row],[Char]])</f>
        <v>6</v>
      </c>
      <c r="I565" s="1">
        <f>IF(AND(aoc_02_input[[#This Row],[Int1]]&lt;=aoc_02_input[[#This Row],[CountOfChar]],aoc_02_input[[#This Row],[CountOfChar]]&lt;=aoc_02_input[[#This Row],[Int2]]),1,0)</f>
        <v>0</v>
      </c>
      <c r="J565" s="1" t="str">
        <f>MID(aoc_02_input[[#This Row],[Password]],aoc_02_input[[#This Row],[Int1]],1)</f>
        <v>m</v>
      </c>
      <c r="K565" s="1">
        <f>IF(aoc_02_input[[#This Row],[Pos1]]=aoc_02_input[[#This Row],[Char]],1,0)</f>
        <v>1</v>
      </c>
      <c r="L565" s="1" t="str">
        <f>MID(aoc_02_input[[#This Row],[Password]],aoc_02_input[[#This Row],[Int2]],1)</f>
        <v>l</v>
      </c>
      <c r="M565" s="1">
        <f>IF(aoc_02_input[[#This Row],[Pos2]]=aoc_02_input[[#This Row],[Char]],1,0)</f>
        <v>0</v>
      </c>
      <c r="N565" s="1">
        <f>IF(aoc_02_input[[#This Row],[Pos1Valid]]&lt;&gt;aoc_02_input[[#This Row],[Pos2Valid]],1,0)</f>
        <v>1</v>
      </c>
    </row>
    <row r="566" spans="1:14" x14ac:dyDescent="0.45">
      <c r="A566" s="1" t="s">
        <v>766</v>
      </c>
      <c r="B566" s="1" t="s">
        <v>207</v>
      </c>
      <c r="C566" s="1" t="s">
        <v>922</v>
      </c>
      <c r="D566" s="1">
        <f>FIND("-",aoc_02_input[[#This Row],[InputNumbers]])</f>
        <v>2</v>
      </c>
      <c r="E566" s="1">
        <f>_xlfn.NUMBERVALUE(LEFT(aoc_02_input[[#This Row],[InputNumbers]],aoc_02_input[[#This Row],[PosDash]]-1))</f>
        <v>9</v>
      </c>
      <c r="F566" s="1">
        <f>_xlfn.NUMBERVALUE(MID(aoc_02_input[[#This Row],[InputNumbers]],aoc_02_input[[#This Row],[PosDash]]+1,5))</f>
        <v>13</v>
      </c>
      <c r="G566" s="1" t="str">
        <f>LEFT(aoc_02_input[[#This Row],[InputChar]],1)</f>
        <v>b</v>
      </c>
      <c r="H566" s="1" cm="1">
        <f t="array" ref="H566">CountChar(aoc_02_input[[#This Row],[Password]],aoc_02_input[[#This Row],[Char]])</f>
        <v>13</v>
      </c>
      <c r="I566" s="1">
        <f>IF(AND(aoc_02_input[[#This Row],[Int1]]&lt;=aoc_02_input[[#This Row],[CountOfChar]],aoc_02_input[[#This Row],[CountOfChar]]&lt;=aoc_02_input[[#This Row],[Int2]]),1,0)</f>
        <v>1</v>
      </c>
      <c r="J566" s="1" t="str">
        <f>MID(aoc_02_input[[#This Row],[Password]],aoc_02_input[[#This Row],[Int1]],1)</f>
        <v>b</v>
      </c>
      <c r="K566" s="1">
        <f>IF(aoc_02_input[[#This Row],[Pos1]]=aoc_02_input[[#This Row],[Char]],1,0)</f>
        <v>1</v>
      </c>
      <c r="L566" s="1" t="str">
        <f>MID(aoc_02_input[[#This Row],[Password]],aoc_02_input[[#This Row],[Int2]],1)</f>
        <v>b</v>
      </c>
      <c r="M566" s="1">
        <f>IF(aoc_02_input[[#This Row],[Pos2]]=aoc_02_input[[#This Row],[Char]],1,0)</f>
        <v>1</v>
      </c>
      <c r="N566" s="1">
        <f>IF(aoc_02_input[[#This Row],[Pos1Valid]]&lt;&gt;aoc_02_input[[#This Row],[Pos2Valid]],1,0)</f>
        <v>0</v>
      </c>
    </row>
    <row r="567" spans="1:14" x14ac:dyDescent="0.45">
      <c r="A567" s="1" t="s">
        <v>561</v>
      </c>
      <c r="B567" s="1" t="s">
        <v>216</v>
      </c>
      <c r="C567" s="1" t="s">
        <v>923</v>
      </c>
      <c r="D567" s="1">
        <f>FIND("-",aoc_02_input[[#This Row],[InputNumbers]])</f>
        <v>2</v>
      </c>
      <c r="E567" s="1">
        <f>_xlfn.NUMBERVALUE(LEFT(aoc_02_input[[#This Row],[InputNumbers]],aoc_02_input[[#This Row],[PosDash]]-1))</f>
        <v>4</v>
      </c>
      <c r="F567" s="1">
        <f>_xlfn.NUMBERVALUE(MID(aoc_02_input[[#This Row],[InputNumbers]],aoc_02_input[[#This Row],[PosDash]]+1,5))</f>
        <v>14</v>
      </c>
      <c r="G567" s="1" t="str">
        <f>LEFT(aoc_02_input[[#This Row],[InputChar]],1)</f>
        <v>z</v>
      </c>
      <c r="H567" s="1" cm="1">
        <f t="array" ref="H567">CountChar(aoc_02_input[[#This Row],[Password]],aoc_02_input[[#This Row],[Char]])</f>
        <v>11</v>
      </c>
      <c r="I567" s="1">
        <f>IF(AND(aoc_02_input[[#This Row],[Int1]]&lt;=aoc_02_input[[#This Row],[CountOfChar]],aoc_02_input[[#This Row],[CountOfChar]]&lt;=aoc_02_input[[#This Row],[Int2]]),1,0)</f>
        <v>1</v>
      </c>
      <c r="J567" s="1" t="str">
        <f>MID(aoc_02_input[[#This Row],[Password]],aoc_02_input[[#This Row],[Int1]],1)</f>
        <v>v</v>
      </c>
      <c r="K567" s="1">
        <f>IF(aoc_02_input[[#This Row],[Pos1]]=aoc_02_input[[#This Row],[Char]],1,0)</f>
        <v>0</v>
      </c>
      <c r="L567" s="1" t="str">
        <f>MID(aoc_02_input[[#This Row],[Password]],aoc_02_input[[#This Row],[Int2]],1)</f>
        <v>b</v>
      </c>
      <c r="M567" s="1">
        <f>IF(aoc_02_input[[#This Row],[Pos2]]=aoc_02_input[[#This Row],[Char]],1,0)</f>
        <v>0</v>
      </c>
      <c r="N567" s="1">
        <f>IF(aoc_02_input[[#This Row],[Pos1Valid]]&lt;&gt;aoc_02_input[[#This Row],[Pos2Valid]],1,0)</f>
        <v>0</v>
      </c>
    </row>
    <row r="568" spans="1:14" x14ac:dyDescent="0.45">
      <c r="A568" s="1" t="s">
        <v>654</v>
      </c>
      <c r="B568" s="1" t="s">
        <v>278</v>
      </c>
      <c r="C568" s="1" t="s">
        <v>924</v>
      </c>
      <c r="D568" s="1">
        <f>FIND("-",aoc_02_input[[#This Row],[InputNumbers]])</f>
        <v>2</v>
      </c>
      <c r="E568" s="1">
        <f>_xlfn.NUMBERVALUE(LEFT(aoc_02_input[[#This Row],[InputNumbers]],aoc_02_input[[#This Row],[PosDash]]-1))</f>
        <v>2</v>
      </c>
      <c r="F568" s="1">
        <f>_xlfn.NUMBERVALUE(MID(aoc_02_input[[#This Row],[InputNumbers]],aoc_02_input[[#This Row],[PosDash]]+1,5))</f>
        <v>9</v>
      </c>
      <c r="G568" s="1" t="str">
        <f>LEFT(aoc_02_input[[#This Row],[InputChar]],1)</f>
        <v>x</v>
      </c>
      <c r="H568" s="1" cm="1">
        <f t="array" ref="H568">CountChar(aoc_02_input[[#This Row],[Password]],aoc_02_input[[#This Row],[Char]])</f>
        <v>9</v>
      </c>
      <c r="I568" s="1">
        <f>IF(AND(aoc_02_input[[#This Row],[Int1]]&lt;=aoc_02_input[[#This Row],[CountOfChar]],aoc_02_input[[#This Row],[CountOfChar]]&lt;=aoc_02_input[[#This Row],[Int2]]),1,0)</f>
        <v>1</v>
      </c>
      <c r="J568" s="1" t="str">
        <f>MID(aoc_02_input[[#This Row],[Password]],aoc_02_input[[#This Row],[Int1]],1)</f>
        <v>b</v>
      </c>
      <c r="K568" s="1">
        <f>IF(aoc_02_input[[#This Row],[Pos1]]=aoc_02_input[[#This Row],[Char]],1,0)</f>
        <v>0</v>
      </c>
      <c r="L568" s="1" t="str">
        <f>MID(aoc_02_input[[#This Row],[Password]],aoc_02_input[[#This Row],[Int2]],1)</f>
        <v>x</v>
      </c>
      <c r="M568" s="1">
        <f>IF(aoc_02_input[[#This Row],[Pos2]]=aoc_02_input[[#This Row],[Char]],1,0)</f>
        <v>1</v>
      </c>
      <c r="N568" s="1">
        <f>IF(aoc_02_input[[#This Row],[Pos1Valid]]&lt;&gt;aoc_02_input[[#This Row],[Pos2Valid]],1,0)</f>
        <v>1</v>
      </c>
    </row>
    <row r="569" spans="1:14" x14ac:dyDescent="0.45">
      <c r="A569" s="1" t="s">
        <v>264</v>
      </c>
      <c r="B569" s="1" t="s">
        <v>210</v>
      </c>
      <c r="C569" s="1" t="s">
        <v>925</v>
      </c>
      <c r="D569" s="1">
        <f>FIND("-",aoc_02_input[[#This Row],[InputNumbers]])</f>
        <v>2</v>
      </c>
      <c r="E569" s="1">
        <f>_xlfn.NUMBERVALUE(LEFT(aoc_02_input[[#This Row],[InputNumbers]],aoc_02_input[[#This Row],[PosDash]]-1))</f>
        <v>9</v>
      </c>
      <c r="F569" s="1">
        <f>_xlfn.NUMBERVALUE(MID(aoc_02_input[[#This Row],[InputNumbers]],aoc_02_input[[#This Row],[PosDash]]+1,5))</f>
        <v>11</v>
      </c>
      <c r="G569" s="1" t="str">
        <f>LEFT(aoc_02_input[[#This Row],[InputChar]],1)</f>
        <v>v</v>
      </c>
      <c r="H569" s="1" cm="1">
        <f t="array" ref="H569">CountChar(aoc_02_input[[#This Row],[Password]],aoc_02_input[[#This Row],[Char]])</f>
        <v>4</v>
      </c>
      <c r="I569" s="1">
        <f>IF(AND(aoc_02_input[[#This Row],[Int1]]&lt;=aoc_02_input[[#This Row],[CountOfChar]],aoc_02_input[[#This Row],[CountOfChar]]&lt;=aoc_02_input[[#This Row],[Int2]]),1,0)</f>
        <v>0</v>
      </c>
      <c r="J569" s="1" t="str">
        <f>MID(aoc_02_input[[#This Row],[Password]],aoc_02_input[[#This Row],[Int1]],1)</f>
        <v>j</v>
      </c>
      <c r="K569" s="1">
        <f>IF(aoc_02_input[[#This Row],[Pos1]]=aoc_02_input[[#This Row],[Char]],1,0)</f>
        <v>0</v>
      </c>
      <c r="L569" s="1" t="str">
        <f>MID(aoc_02_input[[#This Row],[Password]],aoc_02_input[[#This Row],[Int2]],1)</f>
        <v>v</v>
      </c>
      <c r="M569" s="1">
        <f>IF(aoc_02_input[[#This Row],[Pos2]]=aoc_02_input[[#This Row],[Char]],1,0)</f>
        <v>1</v>
      </c>
      <c r="N569" s="1">
        <f>IF(aoc_02_input[[#This Row],[Pos1Valid]]&lt;&gt;aoc_02_input[[#This Row],[Pos2Valid]],1,0)</f>
        <v>1</v>
      </c>
    </row>
    <row r="570" spans="1:14" x14ac:dyDescent="0.45">
      <c r="A570" s="1" t="s">
        <v>212</v>
      </c>
      <c r="B570" s="1" t="s">
        <v>278</v>
      </c>
      <c r="C570" s="1" t="s">
        <v>926</v>
      </c>
      <c r="D570" s="1">
        <f>FIND("-",aoc_02_input[[#This Row],[InputNumbers]])</f>
        <v>2</v>
      </c>
      <c r="E570" s="1">
        <f>_xlfn.NUMBERVALUE(LEFT(aoc_02_input[[#This Row],[InputNumbers]],aoc_02_input[[#This Row],[PosDash]]-1))</f>
        <v>2</v>
      </c>
      <c r="F570" s="1">
        <f>_xlfn.NUMBERVALUE(MID(aoc_02_input[[#This Row],[InputNumbers]],aoc_02_input[[#This Row],[PosDash]]+1,5))</f>
        <v>5</v>
      </c>
      <c r="G570" s="1" t="str">
        <f>LEFT(aoc_02_input[[#This Row],[InputChar]],1)</f>
        <v>x</v>
      </c>
      <c r="H570" s="1" cm="1">
        <f t="array" ref="H570">CountChar(aoc_02_input[[#This Row],[Password]],aoc_02_input[[#This Row],[Char]])</f>
        <v>6</v>
      </c>
      <c r="I570" s="1">
        <f>IF(AND(aoc_02_input[[#This Row],[Int1]]&lt;=aoc_02_input[[#This Row],[CountOfChar]],aoc_02_input[[#This Row],[CountOfChar]]&lt;=aoc_02_input[[#This Row],[Int2]]),1,0)</f>
        <v>0</v>
      </c>
      <c r="J570" s="1" t="str">
        <f>MID(aoc_02_input[[#This Row],[Password]],aoc_02_input[[#This Row],[Int1]],1)</f>
        <v>x</v>
      </c>
      <c r="K570" s="1">
        <f>IF(aoc_02_input[[#This Row],[Pos1]]=aoc_02_input[[#This Row],[Char]],1,0)</f>
        <v>1</v>
      </c>
      <c r="L570" s="1" t="str">
        <f>MID(aoc_02_input[[#This Row],[Password]],aoc_02_input[[#This Row],[Int2]],1)</f>
        <v>x</v>
      </c>
      <c r="M570" s="1">
        <f>IF(aoc_02_input[[#This Row],[Pos2]]=aoc_02_input[[#This Row],[Char]],1,0)</f>
        <v>1</v>
      </c>
      <c r="N570" s="1">
        <f>IF(aoc_02_input[[#This Row],[Pos1Valid]]&lt;&gt;aoc_02_input[[#This Row],[Pos2Valid]],1,0)</f>
        <v>0</v>
      </c>
    </row>
    <row r="571" spans="1:14" x14ac:dyDescent="0.45">
      <c r="A571" s="1" t="s">
        <v>616</v>
      </c>
      <c r="B571" s="1" t="s">
        <v>254</v>
      </c>
      <c r="C571" s="1" t="s">
        <v>927</v>
      </c>
      <c r="D571" s="1">
        <f>FIND("-",aoc_02_input[[#This Row],[InputNumbers]])</f>
        <v>2</v>
      </c>
      <c r="E571" s="1">
        <f>_xlfn.NUMBERVALUE(LEFT(aoc_02_input[[#This Row],[InputNumbers]],aoc_02_input[[#This Row],[PosDash]]-1))</f>
        <v>8</v>
      </c>
      <c r="F571" s="1">
        <f>_xlfn.NUMBERVALUE(MID(aoc_02_input[[#This Row],[InputNumbers]],aoc_02_input[[#This Row],[PosDash]]+1,5))</f>
        <v>12</v>
      </c>
      <c r="G571" s="1" t="str">
        <f>LEFT(aoc_02_input[[#This Row],[InputChar]],1)</f>
        <v>k</v>
      </c>
      <c r="H571" s="1" cm="1">
        <f t="array" ref="H571">CountChar(aoc_02_input[[#This Row],[Password]],aoc_02_input[[#This Row],[Char]])</f>
        <v>4</v>
      </c>
      <c r="I571" s="1">
        <f>IF(AND(aoc_02_input[[#This Row],[Int1]]&lt;=aoc_02_input[[#This Row],[CountOfChar]],aoc_02_input[[#This Row],[CountOfChar]]&lt;=aoc_02_input[[#This Row],[Int2]]),1,0)</f>
        <v>0</v>
      </c>
      <c r="J571" s="1" t="str">
        <f>MID(aoc_02_input[[#This Row],[Password]],aoc_02_input[[#This Row],[Int1]],1)</f>
        <v>g</v>
      </c>
      <c r="K571" s="1">
        <f>IF(aoc_02_input[[#This Row],[Pos1]]=aoc_02_input[[#This Row],[Char]],1,0)</f>
        <v>0</v>
      </c>
      <c r="L571" s="1" t="str">
        <f>MID(aoc_02_input[[#This Row],[Password]],aoc_02_input[[#This Row],[Int2]],1)</f>
        <v>c</v>
      </c>
      <c r="M571" s="1">
        <f>IF(aoc_02_input[[#This Row],[Pos2]]=aoc_02_input[[#This Row],[Char]],1,0)</f>
        <v>0</v>
      </c>
      <c r="N571" s="1">
        <f>IF(aoc_02_input[[#This Row],[Pos1Valid]]&lt;&gt;aoc_02_input[[#This Row],[Pos2Valid]],1,0)</f>
        <v>0</v>
      </c>
    </row>
    <row r="572" spans="1:14" x14ac:dyDescent="0.45">
      <c r="A572" s="1" t="s">
        <v>473</v>
      </c>
      <c r="B572" s="1" t="s">
        <v>235</v>
      </c>
      <c r="C572" s="1" t="s">
        <v>928</v>
      </c>
      <c r="D572" s="1">
        <f>FIND("-",aoc_02_input[[#This Row],[InputNumbers]])</f>
        <v>2</v>
      </c>
      <c r="E572" s="1">
        <f>_xlfn.NUMBERVALUE(LEFT(aoc_02_input[[#This Row],[InputNumbers]],aoc_02_input[[#This Row],[PosDash]]-1))</f>
        <v>2</v>
      </c>
      <c r="F572" s="1">
        <f>_xlfn.NUMBERVALUE(MID(aoc_02_input[[#This Row],[InputNumbers]],aoc_02_input[[#This Row],[PosDash]]+1,5))</f>
        <v>6</v>
      </c>
      <c r="G572" s="1" t="str">
        <f>LEFT(aoc_02_input[[#This Row],[InputChar]],1)</f>
        <v>d</v>
      </c>
      <c r="H572" s="1" cm="1">
        <f t="array" ref="H572">CountChar(aoc_02_input[[#This Row],[Password]],aoc_02_input[[#This Row],[Char]])</f>
        <v>2</v>
      </c>
      <c r="I572" s="1">
        <f>IF(AND(aoc_02_input[[#This Row],[Int1]]&lt;=aoc_02_input[[#This Row],[CountOfChar]],aoc_02_input[[#This Row],[CountOfChar]]&lt;=aoc_02_input[[#This Row],[Int2]]),1,0)</f>
        <v>1</v>
      </c>
      <c r="J572" s="1" t="str">
        <f>MID(aoc_02_input[[#This Row],[Password]],aoc_02_input[[#This Row],[Int1]],1)</f>
        <v>d</v>
      </c>
      <c r="K572" s="1">
        <f>IF(aoc_02_input[[#This Row],[Pos1]]=aoc_02_input[[#This Row],[Char]],1,0)</f>
        <v>1</v>
      </c>
      <c r="L572" s="1" t="str">
        <f>MID(aoc_02_input[[#This Row],[Password]],aoc_02_input[[#This Row],[Int2]],1)</f>
        <v>k</v>
      </c>
      <c r="M572" s="1">
        <f>IF(aoc_02_input[[#This Row],[Pos2]]=aoc_02_input[[#This Row],[Char]],1,0)</f>
        <v>0</v>
      </c>
      <c r="N572" s="1">
        <f>IF(aoc_02_input[[#This Row],[Pos1Valid]]&lt;&gt;aoc_02_input[[#This Row],[Pos2Valid]],1,0)</f>
        <v>1</v>
      </c>
    </row>
    <row r="573" spans="1:14" x14ac:dyDescent="0.45">
      <c r="A573" s="1" t="s">
        <v>283</v>
      </c>
      <c r="B573" s="1" t="s">
        <v>213</v>
      </c>
      <c r="C573" s="1" t="s">
        <v>929</v>
      </c>
      <c r="D573" s="1">
        <f>FIND("-",aoc_02_input[[#This Row],[InputNumbers]])</f>
        <v>2</v>
      </c>
      <c r="E573" s="1">
        <f>_xlfn.NUMBERVALUE(LEFT(aoc_02_input[[#This Row],[InputNumbers]],aoc_02_input[[#This Row],[PosDash]]-1))</f>
        <v>3</v>
      </c>
      <c r="F573" s="1">
        <f>_xlfn.NUMBERVALUE(MID(aoc_02_input[[#This Row],[InputNumbers]],aoc_02_input[[#This Row],[PosDash]]+1,5))</f>
        <v>4</v>
      </c>
      <c r="G573" s="1" t="str">
        <f>LEFT(aoc_02_input[[#This Row],[InputChar]],1)</f>
        <v>m</v>
      </c>
      <c r="H573" s="1" cm="1">
        <f t="array" ref="H573">CountChar(aoc_02_input[[#This Row],[Password]],aoc_02_input[[#This Row],[Char]])</f>
        <v>5</v>
      </c>
      <c r="I573" s="1">
        <f>IF(AND(aoc_02_input[[#This Row],[Int1]]&lt;=aoc_02_input[[#This Row],[CountOfChar]],aoc_02_input[[#This Row],[CountOfChar]]&lt;=aoc_02_input[[#This Row],[Int2]]),1,0)</f>
        <v>0</v>
      </c>
      <c r="J573" s="1" t="str">
        <f>MID(aoc_02_input[[#This Row],[Password]],aoc_02_input[[#This Row],[Int1]],1)</f>
        <v>m</v>
      </c>
      <c r="K573" s="1">
        <f>IF(aoc_02_input[[#This Row],[Pos1]]=aoc_02_input[[#This Row],[Char]],1,0)</f>
        <v>1</v>
      </c>
      <c r="L573" s="1" t="str">
        <f>MID(aoc_02_input[[#This Row],[Password]],aoc_02_input[[#This Row],[Int2]],1)</f>
        <v>m</v>
      </c>
      <c r="M573" s="1">
        <f>IF(aoc_02_input[[#This Row],[Pos2]]=aoc_02_input[[#This Row],[Char]],1,0)</f>
        <v>1</v>
      </c>
      <c r="N573" s="1">
        <f>IF(aoc_02_input[[#This Row],[Pos1Valid]]&lt;&gt;aoc_02_input[[#This Row],[Pos2Valid]],1,0)</f>
        <v>0</v>
      </c>
    </row>
    <row r="574" spans="1:14" x14ac:dyDescent="0.45">
      <c r="A574" s="1" t="s">
        <v>271</v>
      </c>
      <c r="B574" s="1" t="s">
        <v>216</v>
      </c>
      <c r="C574" s="1" t="s">
        <v>930</v>
      </c>
      <c r="D574" s="1">
        <f>FIND("-",aoc_02_input[[#This Row],[InputNumbers]])</f>
        <v>2</v>
      </c>
      <c r="E574" s="1">
        <f>_xlfn.NUMBERVALUE(LEFT(aoc_02_input[[#This Row],[InputNumbers]],aoc_02_input[[#This Row],[PosDash]]-1))</f>
        <v>9</v>
      </c>
      <c r="F574" s="1">
        <f>_xlfn.NUMBERVALUE(MID(aoc_02_input[[#This Row],[InputNumbers]],aoc_02_input[[#This Row],[PosDash]]+1,5))</f>
        <v>10</v>
      </c>
      <c r="G574" s="1" t="str">
        <f>LEFT(aoc_02_input[[#This Row],[InputChar]],1)</f>
        <v>z</v>
      </c>
      <c r="H574" s="1" cm="1">
        <f t="array" ref="H574">CountChar(aoc_02_input[[#This Row],[Password]],aoc_02_input[[#This Row],[Char]])</f>
        <v>1</v>
      </c>
      <c r="I574" s="1">
        <f>IF(AND(aoc_02_input[[#This Row],[Int1]]&lt;=aoc_02_input[[#This Row],[CountOfChar]],aoc_02_input[[#This Row],[CountOfChar]]&lt;=aoc_02_input[[#This Row],[Int2]]),1,0)</f>
        <v>0</v>
      </c>
      <c r="J574" s="1" t="str">
        <f>MID(aoc_02_input[[#This Row],[Password]],aoc_02_input[[#This Row],[Int1]],1)</f>
        <v>r</v>
      </c>
      <c r="K574" s="1">
        <f>IF(aoc_02_input[[#This Row],[Pos1]]=aoc_02_input[[#This Row],[Char]],1,0)</f>
        <v>0</v>
      </c>
      <c r="L574" s="1" t="str">
        <f>MID(aoc_02_input[[#This Row],[Password]],aoc_02_input[[#This Row],[Int2]],1)</f>
        <v>s</v>
      </c>
      <c r="M574" s="1">
        <f>IF(aoc_02_input[[#This Row],[Pos2]]=aoc_02_input[[#This Row],[Char]],1,0)</f>
        <v>0</v>
      </c>
      <c r="N574" s="1">
        <f>IF(aoc_02_input[[#This Row],[Pos1Valid]]&lt;&gt;aoc_02_input[[#This Row],[Pos2Valid]],1,0)</f>
        <v>0</v>
      </c>
    </row>
    <row r="575" spans="1:14" x14ac:dyDescent="0.45">
      <c r="A575" s="1" t="s">
        <v>361</v>
      </c>
      <c r="B575" s="1" t="s">
        <v>225</v>
      </c>
      <c r="C575" s="1" t="s">
        <v>931</v>
      </c>
      <c r="D575" s="1">
        <f>FIND("-",aoc_02_input[[#This Row],[InputNumbers]])</f>
        <v>2</v>
      </c>
      <c r="E575" s="1">
        <f>_xlfn.NUMBERVALUE(LEFT(aoc_02_input[[#This Row],[InputNumbers]],aoc_02_input[[#This Row],[PosDash]]-1))</f>
        <v>2</v>
      </c>
      <c r="F575" s="1">
        <f>_xlfn.NUMBERVALUE(MID(aoc_02_input[[#This Row],[InputNumbers]],aoc_02_input[[#This Row],[PosDash]]+1,5))</f>
        <v>7</v>
      </c>
      <c r="G575" s="1" t="str">
        <f>LEFT(aoc_02_input[[#This Row],[InputChar]],1)</f>
        <v>j</v>
      </c>
      <c r="H575" s="1" cm="1">
        <f t="array" ref="H575">CountChar(aoc_02_input[[#This Row],[Password]],aoc_02_input[[#This Row],[Char]])</f>
        <v>3</v>
      </c>
      <c r="I575" s="1">
        <f>IF(AND(aoc_02_input[[#This Row],[Int1]]&lt;=aoc_02_input[[#This Row],[CountOfChar]],aoc_02_input[[#This Row],[CountOfChar]]&lt;=aoc_02_input[[#This Row],[Int2]]),1,0)</f>
        <v>1</v>
      </c>
      <c r="J575" s="1" t="str">
        <f>MID(aoc_02_input[[#This Row],[Password]],aoc_02_input[[#This Row],[Int1]],1)</f>
        <v>j</v>
      </c>
      <c r="K575" s="1">
        <f>IF(aoc_02_input[[#This Row],[Pos1]]=aoc_02_input[[#This Row],[Char]],1,0)</f>
        <v>1</v>
      </c>
      <c r="L575" s="1" t="str">
        <f>MID(aoc_02_input[[#This Row],[Password]],aoc_02_input[[#This Row],[Int2]],1)</f>
        <v>g</v>
      </c>
      <c r="M575" s="1">
        <f>IF(aoc_02_input[[#This Row],[Pos2]]=aoc_02_input[[#This Row],[Char]],1,0)</f>
        <v>0</v>
      </c>
      <c r="N575" s="1">
        <f>IF(aoc_02_input[[#This Row],[Pos1Valid]]&lt;&gt;aoc_02_input[[#This Row],[Pos2Valid]],1,0)</f>
        <v>1</v>
      </c>
    </row>
    <row r="576" spans="1:14" x14ac:dyDescent="0.45">
      <c r="A576" s="1" t="s">
        <v>283</v>
      </c>
      <c r="B576" s="1" t="s">
        <v>225</v>
      </c>
      <c r="C576" s="1" t="s">
        <v>932</v>
      </c>
      <c r="D576" s="1">
        <f>FIND("-",aoc_02_input[[#This Row],[InputNumbers]])</f>
        <v>2</v>
      </c>
      <c r="E576" s="1">
        <f>_xlfn.NUMBERVALUE(LEFT(aoc_02_input[[#This Row],[InputNumbers]],aoc_02_input[[#This Row],[PosDash]]-1))</f>
        <v>3</v>
      </c>
      <c r="F576" s="1">
        <f>_xlfn.NUMBERVALUE(MID(aoc_02_input[[#This Row],[InputNumbers]],aoc_02_input[[#This Row],[PosDash]]+1,5))</f>
        <v>4</v>
      </c>
      <c r="G576" s="1" t="str">
        <f>LEFT(aoc_02_input[[#This Row],[InputChar]],1)</f>
        <v>j</v>
      </c>
      <c r="H576" s="1" cm="1">
        <f t="array" ref="H576">CountChar(aoc_02_input[[#This Row],[Password]],aoc_02_input[[#This Row],[Char]])</f>
        <v>4</v>
      </c>
      <c r="I576" s="1">
        <f>IF(AND(aoc_02_input[[#This Row],[Int1]]&lt;=aoc_02_input[[#This Row],[CountOfChar]],aoc_02_input[[#This Row],[CountOfChar]]&lt;=aoc_02_input[[#This Row],[Int2]]),1,0)</f>
        <v>1</v>
      </c>
      <c r="J576" s="1" t="str">
        <f>MID(aoc_02_input[[#This Row],[Password]],aoc_02_input[[#This Row],[Int1]],1)</f>
        <v>j</v>
      </c>
      <c r="K576" s="1">
        <f>IF(aoc_02_input[[#This Row],[Pos1]]=aoc_02_input[[#This Row],[Char]],1,0)</f>
        <v>1</v>
      </c>
      <c r="L576" s="1" t="str">
        <f>MID(aoc_02_input[[#This Row],[Password]],aoc_02_input[[#This Row],[Int2]],1)</f>
        <v>j</v>
      </c>
      <c r="M576" s="1">
        <f>IF(aoc_02_input[[#This Row],[Pos2]]=aoc_02_input[[#This Row],[Char]],1,0)</f>
        <v>1</v>
      </c>
      <c r="N576" s="1">
        <f>IF(aoc_02_input[[#This Row],[Pos1Valid]]&lt;&gt;aoc_02_input[[#This Row],[Pos2Valid]],1,0)</f>
        <v>0</v>
      </c>
    </row>
    <row r="577" spans="1:14" x14ac:dyDescent="0.45">
      <c r="A577" s="1" t="s">
        <v>267</v>
      </c>
      <c r="B577" s="1" t="s">
        <v>265</v>
      </c>
      <c r="C577" s="1" t="s">
        <v>933</v>
      </c>
      <c r="D577" s="1">
        <f>FIND("-",aoc_02_input[[#This Row],[InputNumbers]])</f>
        <v>2</v>
      </c>
      <c r="E577" s="1">
        <f>_xlfn.NUMBERVALUE(LEFT(aoc_02_input[[#This Row],[InputNumbers]],aoc_02_input[[#This Row],[PosDash]]-1))</f>
        <v>4</v>
      </c>
      <c r="F577" s="1">
        <f>_xlfn.NUMBERVALUE(MID(aoc_02_input[[#This Row],[InputNumbers]],aoc_02_input[[#This Row],[PosDash]]+1,5))</f>
        <v>13</v>
      </c>
      <c r="G577" s="1" t="str">
        <f>LEFT(aoc_02_input[[#This Row],[InputChar]],1)</f>
        <v>r</v>
      </c>
      <c r="H577" s="1" cm="1">
        <f t="array" ref="H577">CountChar(aoc_02_input[[#This Row],[Password]],aoc_02_input[[#This Row],[Char]])</f>
        <v>2</v>
      </c>
      <c r="I577" s="1">
        <f>IF(AND(aoc_02_input[[#This Row],[Int1]]&lt;=aoc_02_input[[#This Row],[CountOfChar]],aoc_02_input[[#This Row],[CountOfChar]]&lt;=aoc_02_input[[#This Row],[Int2]]),1,0)</f>
        <v>0</v>
      </c>
      <c r="J577" s="1" t="str">
        <f>MID(aoc_02_input[[#This Row],[Password]],aoc_02_input[[#This Row],[Int1]],1)</f>
        <v>r</v>
      </c>
      <c r="K577" s="1">
        <f>IF(aoc_02_input[[#This Row],[Pos1]]=aoc_02_input[[#This Row],[Char]],1,0)</f>
        <v>1</v>
      </c>
      <c r="L577" s="1" t="str">
        <f>MID(aoc_02_input[[#This Row],[Password]],aoc_02_input[[#This Row],[Int2]],1)</f>
        <v>x</v>
      </c>
      <c r="M577" s="1">
        <f>IF(aoc_02_input[[#This Row],[Pos2]]=aoc_02_input[[#This Row],[Char]],1,0)</f>
        <v>0</v>
      </c>
      <c r="N577" s="1">
        <f>IF(aoc_02_input[[#This Row],[Pos1Valid]]&lt;&gt;aoc_02_input[[#This Row],[Pos2Valid]],1,0)</f>
        <v>1</v>
      </c>
    </row>
    <row r="578" spans="1:14" x14ac:dyDescent="0.45">
      <c r="A578" s="1" t="s">
        <v>394</v>
      </c>
      <c r="B578" s="1" t="s">
        <v>252</v>
      </c>
      <c r="C578" s="1" t="s">
        <v>934</v>
      </c>
      <c r="D578" s="1">
        <f>FIND("-",aoc_02_input[[#This Row],[InputNumbers]])</f>
        <v>2</v>
      </c>
      <c r="E578" s="1">
        <f>_xlfn.NUMBERVALUE(LEFT(aoc_02_input[[#This Row],[InputNumbers]],aoc_02_input[[#This Row],[PosDash]]-1))</f>
        <v>4</v>
      </c>
      <c r="F578" s="1">
        <f>_xlfn.NUMBERVALUE(MID(aoc_02_input[[#This Row],[InputNumbers]],aoc_02_input[[#This Row],[PosDash]]+1,5))</f>
        <v>7</v>
      </c>
      <c r="G578" s="1" t="str">
        <f>LEFT(aoc_02_input[[#This Row],[InputChar]],1)</f>
        <v>p</v>
      </c>
      <c r="H578" s="1" cm="1">
        <f t="array" ref="H578">CountChar(aoc_02_input[[#This Row],[Password]],aoc_02_input[[#This Row],[Char]])</f>
        <v>5</v>
      </c>
      <c r="I578" s="1">
        <f>IF(AND(aoc_02_input[[#This Row],[Int1]]&lt;=aoc_02_input[[#This Row],[CountOfChar]],aoc_02_input[[#This Row],[CountOfChar]]&lt;=aoc_02_input[[#This Row],[Int2]]),1,0)</f>
        <v>1</v>
      </c>
      <c r="J578" s="1" t="str">
        <f>MID(aoc_02_input[[#This Row],[Password]],aoc_02_input[[#This Row],[Int1]],1)</f>
        <v>d</v>
      </c>
      <c r="K578" s="1">
        <f>IF(aoc_02_input[[#This Row],[Pos1]]=aoc_02_input[[#This Row],[Char]],1,0)</f>
        <v>0</v>
      </c>
      <c r="L578" s="1" t="str">
        <f>MID(aoc_02_input[[#This Row],[Password]],aoc_02_input[[#This Row],[Int2]],1)</f>
        <v>p</v>
      </c>
      <c r="M578" s="1">
        <f>IF(aoc_02_input[[#This Row],[Pos2]]=aoc_02_input[[#This Row],[Char]],1,0)</f>
        <v>1</v>
      </c>
      <c r="N578" s="1">
        <f>IF(aoc_02_input[[#This Row],[Pos1Valid]]&lt;&gt;aoc_02_input[[#This Row],[Pos2Valid]],1,0)</f>
        <v>1</v>
      </c>
    </row>
    <row r="579" spans="1:14" x14ac:dyDescent="0.45">
      <c r="A579" s="1" t="s">
        <v>212</v>
      </c>
      <c r="B579" s="1" t="s">
        <v>225</v>
      </c>
      <c r="C579" s="1" t="s">
        <v>935</v>
      </c>
      <c r="D579" s="1">
        <f>FIND("-",aoc_02_input[[#This Row],[InputNumbers]])</f>
        <v>2</v>
      </c>
      <c r="E579" s="1">
        <f>_xlfn.NUMBERVALUE(LEFT(aoc_02_input[[#This Row],[InputNumbers]],aoc_02_input[[#This Row],[PosDash]]-1))</f>
        <v>2</v>
      </c>
      <c r="F579" s="1">
        <f>_xlfn.NUMBERVALUE(MID(aoc_02_input[[#This Row],[InputNumbers]],aoc_02_input[[#This Row],[PosDash]]+1,5))</f>
        <v>5</v>
      </c>
      <c r="G579" s="1" t="str">
        <f>LEFT(aoc_02_input[[#This Row],[InputChar]],1)</f>
        <v>j</v>
      </c>
      <c r="H579" s="1" cm="1">
        <f t="array" ref="H579">CountChar(aoc_02_input[[#This Row],[Password]],aoc_02_input[[#This Row],[Char]])</f>
        <v>5</v>
      </c>
      <c r="I579" s="1">
        <f>IF(AND(aoc_02_input[[#This Row],[Int1]]&lt;=aoc_02_input[[#This Row],[CountOfChar]],aoc_02_input[[#This Row],[CountOfChar]]&lt;=aoc_02_input[[#This Row],[Int2]]),1,0)</f>
        <v>1</v>
      </c>
      <c r="J579" s="1" t="str">
        <f>MID(aoc_02_input[[#This Row],[Password]],aoc_02_input[[#This Row],[Int1]],1)</f>
        <v>f</v>
      </c>
      <c r="K579" s="1">
        <f>IF(aoc_02_input[[#This Row],[Pos1]]=aoc_02_input[[#This Row],[Char]],1,0)</f>
        <v>0</v>
      </c>
      <c r="L579" s="1" t="str">
        <f>MID(aoc_02_input[[#This Row],[Password]],aoc_02_input[[#This Row],[Int2]],1)</f>
        <v>j</v>
      </c>
      <c r="M579" s="1">
        <f>IF(aoc_02_input[[#This Row],[Pos2]]=aoc_02_input[[#This Row],[Char]],1,0)</f>
        <v>1</v>
      </c>
      <c r="N579" s="1">
        <f>IF(aoc_02_input[[#This Row],[Pos1Valid]]&lt;&gt;aoc_02_input[[#This Row],[Pos2Valid]],1,0)</f>
        <v>1</v>
      </c>
    </row>
    <row r="580" spans="1:14" x14ac:dyDescent="0.45">
      <c r="A580" s="1" t="s">
        <v>452</v>
      </c>
      <c r="B580" s="1" t="s">
        <v>278</v>
      </c>
      <c r="C580" s="1" t="s">
        <v>936</v>
      </c>
      <c r="D580" s="1">
        <f>FIND("-",aoc_02_input[[#This Row],[InputNumbers]])</f>
        <v>3</v>
      </c>
      <c r="E580" s="1">
        <f>_xlfn.NUMBERVALUE(LEFT(aoc_02_input[[#This Row],[InputNumbers]],aoc_02_input[[#This Row],[PosDash]]-1))</f>
        <v>14</v>
      </c>
      <c r="F580" s="1">
        <f>_xlfn.NUMBERVALUE(MID(aoc_02_input[[#This Row],[InputNumbers]],aoc_02_input[[#This Row],[PosDash]]+1,5))</f>
        <v>15</v>
      </c>
      <c r="G580" s="1" t="str">
        <f>LEFT(aoc_02_input[[#This Row],[InputChar]],1)</f>
        <v>x</v>
      </c>
      <c r="H580" s="1" cm="1">
        <f t="array" ref="H580">CountChar(aoc_02_input[[#This Row],[Password]],aoc_02_input[[#This Row],[Char]])</f>
        <v>6</v>
      </c>
      <c r="I580" s="1">
        <f>IF(AND(aoc_02_input[[#This Row],[Int1]]&lt;=aoc_02_input[[#This Row],[CountOfChar]],aoc_02_input[[#This Row],[CountOfChar]]&lt;=aoc_02_input[[#This Row],[Int2]]),1,0)</f>
        <v>0</v>
      </c>
      <c r="J580" s="1" t="str">
        <f>MID(aoc_02_input[[#This Row],[Password]],aoc_02_input[[#This Row],[Int1]],1)</f>
        <v>x</v>
      </c>
      <c r="K580" s="1">
        <f>IF(aoc_02_input[[#This Row],[Pos1]]=aoc_02_input[[#This Row],[Char]],1,0)</f>
        <v>1</v>
      </c>
      <c r="L580" s="1" t="str">
        <f>MID(aoc_02_input[[#This Row],[Password]],aoc_02_input[[#This Row],[Int2]],1)</f>
        <v>x</v>
      </c>
      <c r="M580" s="1">
        <f>IF(aoc_02_input[[#This Row],[Pos2]]=aoc_02_input[[#This Row],[Char]],1,0)</f>
        <v>1</v>
      </c>
      <c r="N580" s="1">
        <f>IF(aoc_02_input[[#This Row],[Pos1Valid]]&lt;&gt;aoc_02_input[[#This Row],[Pos2Valid]],1,0)</f>
        <v>0</v>
      </c>
    </row>
    <row r="581" spans="1:14" x14ac:dyDescent="0.45">
      <c r="A581" s="1" t="s">
        <v>937</v>
      </c>
      <c r="B581" s="1" t="s">
        <v>265</v>
      </c>
      <c r="C581" s="1" t="s">
        <v>938</v>
      </c>
      <c r="D581" s="1">
        <f>FIND("-",aoc_02_input[[#This Row],[InputNumbers]])</f>
        <v>3</v>
      </c>
      <c r="E581" s="1">
        <f>_xlfn.NUMBERVALUE(LEFT(aoc_02_input[[#This Row],[InputNumbers]],aoc_02_input[[#This Row],[PosDash]]-1))</f>
        <v>10</v>
      </c>
      <c r="F581" s="1">
        <f>_xlfn.NUMBERVALUE(MID(aoc_02_input[[#This Row],[InputNumbers]],aoc_02_input[[#This Row],[PosDash]]+1,5))</f>
        <v>20</v>
      </c>
      <c r="G581" s="1" t="str">
        <f>LEFT(aoc_02_input[[#This Row],[InputChar]],1)</f>
        <v>r</v>
      </c>
      <c r="H581" s="1" cm="1">
        <f t="array" ref="H581">CountChar(aoc_02_input[[#This Row],[Password]],aoc_02_input[[#This Row],[Char]])</f>
        <v>9</v>
      </c>
      <c r="I581" s="1">
        <f>IF(AND(aoc_02_input[[#This Row],[Int1]]&lt;=aoc_02_input[[#This Row],[CountOfChar]],aoc_02_input[[#This Row],[CountOfChar]]&lt;=aoc_02_input[[#This Row],[Int2]]),1,0)</f>
        <v>0</v>
      </c>
      <c r="J581" s="1" t="str">
        <f>MID(aoc_02_input[[#This Row],[Password]],aoc_02_input[[#This Row],[Int1]],1)</f>
        <v>v</v>
      </c>
      <c r="K581" s="1">
        <f>IF(aoc_02_input[[#This Row],[Pos1]]=aoc_02_input[[#This Row],[Char]],1,0)</f>
        <v>0</v>
      </c>
      <c r="L581" s="1" t="str">
        <f>MID(aoc_02_input[[#This Row],[Password]],aoc_02_input[[#This Row],[Int2]],1)</f>
        <v>r</v>
      </c>
      <c r="M581" s="1">
        <f>IF(aoc_02_input[[#This Row],[Pos2]]=aoc_02_input[[#This Row],[Char]],1,0)</f>
        <v>1</v>
      </c>
      <c r="N581" s="1">
        <f>IF(aoc_02_input[[#This Row],[Pos1Valid]]&lt;&gt;aoc_02_input[[#This Row],[Pos2Valid]],1,0)</f>
        <v>1</v>
      </c>
    </row>
    <row r="582" spans="1:14" x14ac:dyDescent="0.45">
      <c r="A582" s="1" t="s">
        <v>240</v>
      </c>
      <c r="B582" s="1" t="s">
        <v>210</v>
      </c>
      <c r="C582" s="1" t="s">
        <v>939</v>
      </c>
      <c r="D582" s="1">
        <f>FIND("-",aoc_02_input[[#This Row],[InputNumbers]])</f>
        <v>3</v>
      </c>
      <c r="E582" s="1">
        <f>_xlfn.NUMBERVALUE(LEFT(aoc_02_input[[#This Row],[InputNumbers]],aoc_02_input[[#This Row],[PosDash]]-1))</f>
        <v>12</v>
      </c>
      <c r="F582" s="1">
        <f>_xlfn.NUMBERVALUE(MID(aoc_02_input[[#This Row],[InputNumbers]],aoc_02_input[[#This Row],[PosDash]]+1,5))</f>
        <v>16</v>
      </c>
      <c r="G582" s="1" t="str">
        <f>LEFT(aoc_02_input[[#This Row],[InputChar]],1)</f>
        <v>v</v>
      </c>
      <c r="H582" s="1" cm="1">
        <f t="array" ref="H582">CountChar(aoc_02_input[[#This Row],[Password]],aoc_02_input[[#This Row],[Char]])</f>
        <v>15</v>
      </c>
      <c r="I582" s="1">
        <f>IF(AND(aoc_02_input[[#This Row],[Int1]]&lt;=aoc_02_input[[#This Row],[CountOfChar]],aoc_02_input[[#This Row],[CountOfChar]]&lt;=aoc_02_input[[#This Row],[Int2]]),1,0)</f>
        <v>1</v>
      </c>
      <c r="J582" s="1" t="str">
        <f>MID(aoc_02_input[[#This Row],[Password]],aoc_02_input[[#This Row],[Int1]],1)</f>
        <v>v</v>
      </c>
      <c r="K582" s="1">
        <f>IF(aoc_02_input[[#This Row],[Pos1]]=aoc_02_input[[#This Row],[Char]],1,0)</f>
        <v>1</v>
      </c>
      <c r="L582" s="1" t="str">
        <f>MID(aoc_02_input[[#This Row],[Password]],aoc_02_input[[#This Row],[Int2]],1)</f>
        <v>d</v>
      </c>
      <c r="M582" s="1">
        <f>IF(aoc_02_input[[#This Row],[Pos2]]=aoc_02_input[[#This Row],[Char]],1,0)</f>
        <v>0</v>
      </c>
      <c r="N582" s="1">
        <f>IF(aoc_02_input[[#This Row],[Pos1Valid]]&lt;&gt;aoc_02_input[[#This Row],[Pos2Valid]],1,0)</f>
        <v>1</v>
      </c>
    </row>
    <row r="583" spans="1:14" x14ac:dyDescent="0.45">
      <c r="A583" s="1" t="s">
        <v>301</v>
      </c>
      <c r="B583" s="1" t="s">
        <v>238</v>
      </c>
      <c r="C583" s="1" t="s">
        <v>940</v>
      </c>
      <c r="D583" s="1">
        <f>FIND("-",aoc_02_input[[#This Row],[InputNumbers]])</f>
        <v>3</v>
      </c>
      <c r="E583" s="1">
        <f>_xlfn.NUMBERVALUE(LEFT(aoc_02_input[[#This Row],[InputNumbers]],aoc_02_input[[#This Row],[PosDash]]-1))</f>
        <v>14</v>
      </c>
      <c r="F583" s="1">
        <f>_xlfn.NUMBERVALUE(MID(aoc_02_input[[#This Row],[InputNumbers]],aoc_02_input[[#This Row],[PosDash]]+1,5))</f>
        <v>19</v>
      </c>
      <c r="G583" s="1" t="str">
        <f>LEFT(aoc_02_input[[#This Row],[InputChar]],1)</f>
        <v>w</v>
      </c>
      <c r="H583" s="1" cm="1">
        <f t="array" ref="H583">CountChar(aoc_02_input[[#This Row],[Password]],aoc_02_input[[#This Row],[Char]])</f>
        <v>15</v>
      </c>
      <c r="I583" s="1">
        <f>IF(AND(aoc_02_input[[#This Row],[Int1]]&lt;=aoc_02_input[[#This Row],[CountOfChar]],aoc_02_input[[#This Row],[CountOfChar]]&lt;=aoc_02_input[[#This Row],[Int2]]),1,0)</f>
        <v>1</v>
      </c>
      <c r="J583" s="1" t="str">
        <f>MID(aoc_02_input[[#This Row],[Password]],aoc_02_input[[#This Row],[Int1]],1)</f>
        <v>w</v>
      </c>
      <c r="K583" s="1">
        <f>IF(aoc_02_input[[#This Row],[Pos1]]=aoc_02_input[[#This Row],[Char]],1,0)</f>
        <v>1</v>
      </c>
      <c r="L583" s="1" t="str">
        <f>MID(aoc_02_input[[#This Row],[Password]],aoc_02_input[[#This Row],[Int2]],1)</f>
        <v>w</v>
      </c>
      <c r="M583" s="1">
        <f>IF(aoc_02_input[[#This Row],[Pos2]]=aoc_02_input[[#This Row],[Char]],1,0)</f>
        <v>1</v>
      </c>
      <c r="N583" s="1">
        <f>IF(aoc_02_input[[#This Row],[Pos1Valid]]&lt;&gt;aoc_02_input[[#This Row],[Pos2Valid]],1,0)</f>
        <v>0</v>
      </c>
    </row>
    <row r="584" spans="1:14" x14ac:dyDescent="0.45">
      <c r="A584" s="1" t="s">
        <v>349</v>
      </c>
      <c r="B584" s="1" t="s">
        <v>207</v>
      </c>
      <c r="C584" s="1" t="s">
        <v>941</v>
      </c>
      <c r="D584" s="1">
        <f>FIND("-",aoc_02_input[[#This Row],[InputNumbers]])</f>
        <v>2</v>
      </c>
      <c r="E584" s="1">
        <f>_xlfn.NUMBERVALUE(LEFT(aoc_02_input[[#This Row],[InputNumbers]],aoc_02_input[[#This Row],[PosDash]]-1))</f>
        <v>7</v>
      </c>
      <c r="F584" s="1">
        <f>_xlfn.NUMBERVALUE(MID(aoc_02_input[[#This Row],[InputNumbers]],aoc_02_input[[#This Row],[PosDash]]+1,5))</f>
        <v>16</v>
      </c>
      <c r="G584" s="1" t="str">
        <f>LEFT(aoc_02_input[[#This Row],[InputChar]],1)</f>
        <v>b</v>
      </c>
      <c r="H584" s="1" cm="1">
        <f t="array" ref="H584">CountChar(aoc_02_input[[#This Row],[Password]],aoc_02_input[[#This Row],[Char]])</f>
        <v>12</v>
      </c>
      <c r="I584" s="1">
        <f>IF(AND(aoc_02_input[[#This Row],[Int1]]&lt;=aoc_02_input[[#This Row],[CountOfChar]],aoc_02_input[[#This Row],[CountOfChar]]&lt;=aoc_02_input[[#This Row],[Int2]]),1,0)</f>
        <v>1</v>
      </c>
      <c r="J584" s="1" t="str">
        <f>MID(aoc_02_input[[#This Row],[Password]],aoc_02_input[[#This Row],[Int1]],1)</f>
        <v>b</v>
      </c>
      <c r="K584" s="1">
        <f>IF(aoc_02_input[[#This Row],[Pos1]]=aoc_02_input[[#This Row],[Char]],1,0)</f>
        <v>1</v>
      </c>
      <c r="L584" s="1" t="str">
        <f>MID(aoc_02_input[[#This Row],[Password]],aoc_02_input[[#This Row],[Int2]],1)</f>
        <v>b</v>
      </c>
      <c r="M584" s="1">
        <f>IF(aoc_02_input[[#This Row],[Pos2]]=aoc_02_input[[#This Row],[Char]],1,0)</f>
        <v>1</v>
      </c>
      <c r="N584" s="1">
        <f>IF(aoc_02_input[[#This Row],[Pos1Valid]]&lt;&gt;aoc_02_input[[#This Row],[Pos2Valid]],1,0)</f>
        <v>0</v>
      </c>
    </row>
    <row r="585" spans="1:14" x14ac:dyDescent="0.45">
      <c r="A585" s="1" t="s">
        <v>424</v>
      </c>
      <c r="B585" s="1" t="s">
        <v>265</v>
      </c>
      <c r="C585" s="1" t="s">
        <v>942</v>
      </c>
      <c r="D585" s="1">
        <f>FIND("-",aoc_02_input[[#This Row],[InputNumbers]])</f>
        <v>2</v>
      </c>
      <c r="E585" s="1">
        <f>_xlfn.NUMBERVALUE(LEFT(aoc_02_input[[#This Row],[InputNumbers]],aoc_02_input[[#This Row],[PosDash]]-1))</f>
        <v>3</v>
      </c>
      <c r="F585" s="1">
        <f>_xlfn.NUMBERVALUE(MID(aoc_02_input[[#This Row],[InputNumbers]],aoc_02_input[[#This Row],[PosDash]]+1,5))</f>
        <v>9</v>
      </c>
      <c r="G585" s="1" t="str">
        <f>LEFT(aoc_02_input[[#This Row],[InputChar]],1)</f>
        <v>r</v>
      </c>
      <c r="H585" s="1" cm="1">
        <f t="array" ref="H585">CountChar(aoc_02_input[[#This Row],[Password]],aoc_02_input[[#This Row],[Char]])</f>
        <v>4</v>
      </c>
      <c r="I585" s="1">
        <f>IF(AND(aoc_02_input[[#This Row],[Int1]]&lt;=aoc_02_input[[#This Row],[CountOfChar]],aoc_02_input[[#This Row],[CountOfChar]]&lt;=aoc_02_input[[#This Row],[Int2]]),1,0)</f>
        <v>1</v>
      </c>
      <c r="J585" s="1" t="str">
        <f>MID(aoc_02_input[[#This Row],[Password]],aoc_02_input[[#This Row],[Int1]],1)</f>
        <v>r</v>
      </c>
      <c r="K585" s="1">
        <f>IF(aoc_02_input[[#This Row],[Pos1]]=aoc_02_input[[#This Row],[Char]],1,0)</f>
        <v>1</v>
      </c>
      <c r="L585" s="1" t="str">
        <f>MID(aoc_02_input[[#This Row],[Password]],aoc_02_input[[#This Row],[Int2]],1)</f>
        <v>n</v>
      </c>
      <c r="M585" s="1">
        <f>IF(aoc_02_input[[#This Row],[Pos2]]=aoc_02_input[[#This Row],[Char]],1,0)</f>
        <v>0</v>
      </c>
      <c r="N585" s="1">
        <f>IF(aoc_02_input[[#This Row],[Pos1Valid]]&lt;&gt;aoc_02_input[[#This Row],[Pos2Valid]],1,0)</f>
        <v>1</v>
      </c>
    </row>
    <row r="586" spans="1:14" x14ac:dyDescent="0.45">
      <c r="A586" s="1" t="s">
        <v>445</v>
      </c>
      <c r="B586" s="1" t="s">
        <v>213</v>
      </c>
      <c r="C586" s="1" t="s">
        <v>943</v>
      </c>
      <c r="D586" s="1">
        <f>FIND("-",aoc_02_input[[#This Row],[InputNumbers]])</f>
        <v>3</v>
      </c>
      <c r="E586" s="1">
        <f>_xlfn.NUMBERVALUE(LEFT(aoc_02_input[[#This Row],[InputNumbers]],aoc_02_input[[#This Row],[PosDash]]-1))</f>
        <v>17</v>
      </c>
      <c r="F586" s="1">
        <f>_xlfn.NUMBERVALUE(MID(aoc_02_input[[#This Row],[InputNumbers]],aoc_02_input[[#This Row],[PosDash]]+1,5))</f>
        <v>18</v>
      </c>
      <c r="G586" s="1" t="str">
        <f>LEFT(aoc_02_input[[#This Row],[InputChar]],1)</f>
        <v>m</v>
      </c>
      <c r="H586" s="1" cm="1">
        <f t="array" ref="H586">CountChar(aoc_02_input[[#This Row],[Password]],aoc_02_input[[#This Row],[Char]])</f>
        <v>17</v>
      </c>
      <c r="I586" s="1">
        <f>IF(AND(aoc_02_input[[#This Row],[Int1]]&lt;=aoc_02_input[[#This Row],[CountOfChar]],aoc_02_input[[#This Row],[CountOfChar]]&lt;=aoc_02_input[[#This Row],[Int2]]),1,0)</f>
        <v>1</v>
      </c>
      <c r="J586" s="1" t="str">
        <f>MID(aoc_02_input[[#This Row],[Password]],aoc_02_input[[#This Row],[Int1]],1)</f>
        <v>n</v>
      </c>
      <c r="K586" s="1">
        <f>IF(aoc_02_input[[#This Row],[Pos1]]=aoc_02_input[[#This Row],[Char]],1,0)</f>
        <v>0</v>
      </c>
      <c r="L586" s="1" t="str">
        <f>MID(aoc_02_input[[#This Row],[Password]],aoc_02_input[[#This Row],[Int2]],1)</f>
        <v>m</v>
      </c>
      <c r="M586" s="1">
        <f>IF(aoc_02_input[[#This Row],[Pos2]]=aoc_02_input[[#This Row],[Char]],1,0)</f>
        <v>1</v>
      </c>
      <c r="N586" s="1">
        <f>IF(aoc_02_input[[#This Row],[Pos1Valid]]&lt;&gt;aoc_02_input[[#This Row],[Pos2Valid]],1,0)</f>
        <v>1</v>
      </c>
    </row>
    <row r="587" spans="1:14" x14ac:dyDescent="0.45">
      <c r="A587" s="1" t="s">
        <v>288</v>
      </c>
      <c r="B587" s="1" t="s">
        <v>246</v>
      </c>
      <c r="C587" s="1" t="s">
        <v>944</v>
      </c>
      <c r="D587" s="1">
        <f>FIND("-",aoc_02_input[[#This Row],[InputNumbers]])</f>
        <v>2</v>
      </c>
      <c r="E587" s="1">
        <f>_xlfn.NUMBERVALUE(LEFT(aoc_02_input[[#This Row],[InputNumbers]],aoc_02_input[[#This Row],[PosDash]]-1))</f>
        <v>1</v>
      </c>
      <c r="F587" s="1">
        <f>_xlfn.NUMBERVALUE(MID(aoc_02_input[[#This Row],[InputNumbers]],aoc_02_input[[#This Row],[PosDash]]+1,5))</f>
        <v>4</v>
      </c>
      <c r="G587" s="1" t="str">
        <f>LEFT(aoc_02_input[[#This Row],[InputChar]],1)</f>
        <v>n</v>
      </c>
      <c r="H587" s="1" cm="1">
        <f t="array" ref="H587">CountChar(aoc_02_input[[#This Row],[Password]],aoc_02_input[[#This Row],[Char]])</f>
        <v>10</v>
      </c>
      <c r="I587" s="1">
        <f>IF(AND(aoc_02_input[[#This Row],[Int1]]&lt;=aoc_02_input[[#This Row],[CountOfChar]],aoc_02_input[[#This Row],[CountOfChar]]&lt;=aoc_02_input[[#This Row],[Int2]]),1,0)</f>
        <v>0</v>
      </c>
      <c r="J587" s="1" t="str">
        <f>MID(aoc_02_input[[#This Row],[Password]],aoc_02_input[[#This Row],[Int1]],1)</f>
        <v>n</v>
      </c>
      <c r="K587" s="1">
        <f>IF(aoc_02_input[[#This Row],[Pos1]]=aoc_02_input[[#This Row],[Char]],1,0)</f>
        <v>1</v>
      </c>
      <c r="L587" s="1" t="str">
        <f>MID(aoc_02_input[[#This Row],[Password]],aoc_02_input[[#This Row],[Int2]],1)</f>
        <v>n</v>
      </c>
      <c r="M587" s="1">
        <f>IF(aoc_02_input[[#This Row],[Pos2]]=aoc_02_input[[#This Row],[Char]],1,0)</f>
        <v>1</v>
      </c>
      <c r="N587" s="1">
        <f>IF(aoc_02_input[[#This Row],[Pos1Valid]]&lt;&gt;aoc_02_input[[#This Row],[Pos2Valid]],1,0)</f>
        <v>0</v>
      </c>
    </row>
    <row r="588" spans="1:14" x14ac:dyDescent="0.45">
      <c r="A588" s="1" t="s">
        <v>365</v>
      </c>
      <c r="B588" s="1" t="s">
        <v>238</v>
      </c>
      <c r="C588" s="1" t="s">
        <v>945</v>
      </c>
      <c r="D588" s="1">
        <f>FIND("-",aoc_02_input[[#This Row],[InputNumbers]])</f>
        <v>2</v>
      </c>
      <c r="E588" s="1">
        <f>_xlfn.NUMBERVALUE(LEFT(aoc_02_input[[#This Row],[InputNumbers]],aoc_02_input[[#This Row],[PosDash]]-1))</f>
        <v>6</v>
      </c>
      <c r="F588" s="1">
        <f>_xlfn.NUMBERVALUE(MID(aoc_02_input[[#This Row],[InputNumbers]],aoc_02_input[[#This Row],[PosDash]]+1,5))</f>
        <v>9</v>
      </c>
      <c r="G588" s="1" t="str">
        <f>LEFT(aoc_02_input[[#This Row],[InputChar]],1)</f>
        <v>w</v>
      </c>
      <c r="H588" s="1" cm="1">
        <f t="array" ref="H588">CountChar(aoc_02_input[[#This Row],[Password]],aoc_02_input[[#This Row],[Char]])</f>
        <v>3</v>
      </c>
      <c r="I588" s="1">
        <f>IF(AND(aoc_02_input[[#This Row],[Int1]]&lt;=aoc_02_input[[#This Row],[CountOfChar]],aoc_02_input[[#This Row],[CountOfChar]]&lt;=aoc_02_input[[#This Row],[Int2]]),1,0)</f>
        <v>0</v>
      </c>
      <c r="J588" s="1" t="str">
        <f>MID(aoc_02_input[[#This Row],[Password]],aoc_02_input[[#This Row],[Int1]],1)</f>
        <v>n</v>
      </c>
      <c r="K588" s="1">
        <f>IF(aoc_02_input[[#This Row],[Pos1]]=aoc_02_input[[#This Row],[Char]],1,0)</f>
        <v>0</v>
      </c>
      <c r="L588" s="1" t="str">
        <f>MID(aoc_02_input[[#This Row],[Password]],aoc_02_input[[#This Row],[Int2]],1)</f>
        <v>z</v>
      </c>
      <c r="M588" s="1">
        <f>IF(aoc_02_input[[#This Row],[Pos2]]=aoc_02_input[[#This Row],[Char]],1,0)</f>
        <v>0</v>
      </c>
      <c r="N588" s="1">
        <f>IF(aoc_02_input[[#This Row],[Pos1Valid]]&lt;&gt;aoc_02_input[[#This Row],[Pos2Valid]],1,0)</f>
        <v>0</v>
      </c>
    </row>
    <row r="589" spans="1:14" x14ac:dyDescent="0.45">
      <c r="A589" s="1" t="s">
        <v>316</v>
      </c>
      <c r="B589" s="1" t="s">
        <v>254</v>
      </c>
      <c r="C589" s="1" t="s">
        <v>946</v>
      </c>
      <c r="D589" s="1">
        <f>FIND("-",aoc_02_input[[#This Row],[InputNumbers]])</f>
        <v>2</v>
      </c>
      <c r="E589" s="1">
        <f>_xlfn.NUMBERVALUE(LEFT(aoc_02_input[[#This Row],[InputNumbers]],aoc_02_input[[#This Row],[PosDash]]-1))</f>
        <v>1</v>
      </c>
      <c r="F589" s="1">
        <f>_xlfn.NUMBERVALUE(MID(aoc_02_input[[#This Row],[InputNumbers]],aoc_02_input[[#This Row],[PosDash]]+1,5))</f>
        <v>6</v>
      </c>
      <c r="G589" s="1" t="str">
        <f>LEFT(aoc_02_input[[#This Row],[InputChar]],1)</f>
        <v>k</v>
      </c>
      <c r="H589" s="1" cm="1">
        <f t="array" ref="H589">CountChar(aoc_02_input[[#This Row],[Password]],aoc_02_input[[#This Row],[Char]])</f>
        <v>3</v>
      </c>
      <c r="I589" s="1">
        <f>IF(AND(aoc_02_input[[#This Row],[Int1]]&lt;=aoc_02_input[[#This Row],[CountOfChar]],aoc_02_input[[#This Row],[CountOfChar]]&lt;=aoc_02_input[[#This Row],[Int2]]),1,0)</f>
        <v>1</v>
      </c>
      <c r="J589" s="1" t="str">
        <f>MID(aoc_02_input[[#This Row],[Password]],aoc_02_input[[#This Row],[Int1]],1)</f>
        <v>k</v>
      </c>
      <c r="K589" s="1">
        <f>IF(aoc_02_input[[#This Row],[Pos1]]=aoc_02_input[[#This Row],[Char]],1,0)</f>
        <v>1</v>
      </c>
      <c r="L589" s="1" t="str">
        <f>MID(aoc_02_input[[#This Row],[Password]],aoc_02_input[[#This Row],[Int2]],1)</f>
        <v>k</v>
      </c>
      <c r="M589" s="1">
        <f>IF(aoc_02_input[[#This Row],[Pos2]]=aoc_02_input[[#This Row],[Char]],1,0)</f>
        <v>1</v>
      </c>
      <c r="N589" s="1">
        <f>IF(aoc_02_input[[#This Row],[Pos1Valid]]&lt;&gt;aoc_02_input[[#This Row],[Pos2Valid]],1,0)</f>
        <v>0</v>
      </c>
    </row>
    <row r="590" spans="1:14" x14ac:dyDescent="0.45">
      <c r="A590" s="1" t="s">
        <v>410</v>
      </c>
      <c r="B590" s="1" t="s">
        <v>210</v>
      </c>
      <c r="C590" s="1" t="s">
        <v>947</v>
      </c>
      <c r="D590" s="1">
        <f>FIND("-",aoc_02_input[[#This Row],[InputNumbers]])</f>
        <v>2</v>
      </c>
      <c r="E590" s="1">
        <f>_xlfn.NUMBERVALUE(LEFT(aoc_02_input[[#This Row],[InputNumbers]],aoc_02_input[[#This Row],[PosDash]]-1))</f>
        <v>5</v>
      </c>
      <c r="F590" s="1">
        <f>_xlfn.NUMBERVALUE(MID(aoc_02_input[[#This Row],[InputNumbers]],aoc_02_input[[#This Row],[PosDash]]+1,5))</f>
        <v>9</v>
      </c>
      <c r="G590" s="1" t="str">
        <f>LEFT(aoc_02_input[[#This Row],[InputChar]],1)</f>
        <v>v</v>
      </c>
      <c r="H590" s="1" cm="1">
        <f t="array" ref="H590">CountChar(aoc_02_input[[#This Row],[Password]],aoc_02_input[[#This Row],[Char]])</f>
        <v>8</v>
      </c>
      <c r="I590" s="1">
        <f>IF(AND(aoc_02_input[[#This Row],[Int1]]&lt;=aoc_02_input[[#This Row],[CountOfChar]],aoc_02_input[[#This Row],[CountOfChar]]&lt;=aoc_02_input[[#This Row],[Int2]]),1,0)</f>
        <v>1</v>
      </c>
      <c r="J590" s="1" t="str">
        <f>MID(aoc_02_input[[#This Row],[Password]],aoc_02_input[[#This Row],[Int1]],1)</f>
        <v>v</v>
      </c>
      <c r="K590" s="1">
        <f>IF(aoc_02_input[[#This Row],[Pos1]]=aoc_02_input[[#This Row],[Char]],1,0)</f>
        <v>1</v>
      </c>
      <c r="L590" s="1" t="str">
        <f>MID(aoc_02_input[[#This Row],[Password]],aoc_02_input[[#This Row],[Int2]],1)</f>
        <v>v</v>
      </c>
      <c r="M590" s="1">
        <f>IF(aoc_02_input[[#This Row],[Pos2]]=aoc_02_input[[#This Row],[Char]],1,0)</f>
        <v>1</v>
      </c>
      <c r="N590" s="1">
        <f>IF(aoc_02_input[[#This Row],[Pos1Valid]]&lt;&gt;aoc_02_input[[#This Row],[Pos2Valid]],1,0)</f>
        <v>0</v>
      </c>
    </row>
    <row r="591" spans="1:14" x14ac:dyDescent="0.45">
      <c r="A591" s="1" t="s">
        <v>299</v>
      </c>
      <c r="B591" s="1" t="s">
        <v>249</v>
      </c>
      <c r="C591" s="1" t="s">
        <v>948</v>
      </c>
      <c r="D591" s="1">
        <f>FIND("-",aoc_02_input[[#This Row],[InputNumbers]])</f>
        <v>2</v>
      </c>
      <c r="E591" s="1">
        <f>_xlfn.NUMBERVALUE(LEFT(aoc_02_input[[#This Row],[InputNumbers]],aoc_02_input[[#This Row],[PosDash]]-1))</f>
        <v>1</v>
      </c>
      <c r="F591" s="1">
        <f>_xlfn.NUMBERVALUE(MID(aoc_02_input[[#This Row],[InputNumbers]],aoc_02_input[[#This Row],[PosDash]]+1,5))</f>
        <v>2</v>
      </c>
      <c r="G591" s="1" t="str">
        <f>LEFT(aoc_02_input[[#This Row],[InputChar]],1)</f>
        <v>q</v>
      </c>
      <c r="H591" s="1" cm="1">
        <f t="array" ref="H591">CountChar(aoc_02_input[[#This Row],[Password]],aoc_02_input[[#This Row],[Char]])</f>
        <v>3</v>
      </c>
      <c r="I591" s="1">
        <f>IF(AND(aoc_02_input[[#This Row],[Int1]]&lt;=aoc_02_input[[#This Row],[CountOfChar]],aoc_02_input[[#This Row],[CountOfChar]]&lt;=aoc_02_input[[#This Row],[Int2]]),1,0)</f>
        <v>0</v>
      </c>
      <c r="J591" s="1" t="str">
        <f>MID(aoc_02_input[[#This Row],[Password]],aoc_02_input[[#This Row],[Int1]],1)</f>
        <v>q</v>
      </c>
      <c r="K591" s="1">
        <f>IF(aoc_02_input[[#This Row],[Pos1]]=aoc_02_input[[#This Row],[Char]],1,0)</f>
        <v>1</v>
      </c>
      <c r="L591" s="1" t="str">
        <f>MID(aoc_02_input[[#This Row],[Password]],aoc_02_input[[#This Row],[Int2]],1)</f>
        <v>q</v>
      </c>
      <c r="M591" s="1">
        <f>IF(aoc_02_input[[#This Row],[Pos2]]=aoc_02_input[[#This Row],[Char]],1,0)</f>
        <v>1</v>
      </c>
      <c r="N591" s="1">
        <f>IF(aoc_02_input[[#This Row],[Pos1Valid]]&lt;&gt;aoc_02_input[[#This Row],[Pos2Valid]],1,0)</f>
        <v>0</v>
      </c>
    </row>
    <row r="592" spans="1:14" x14ac:dyDescent="0.45">
      <c r="A592" s="1" t="s">
        <v>256</v>
      </c>
      <c r="B592" s="1" t="s">
        <v>207</v>
      </c>
      <c r="C592" s="1" t="s">
        <v>949</v>
      </c>
      <c r="D592" s="1">
        <f>FIND("-",aoc_02_input[[#This Row],[InputNumbers]])</f>
        <v>2</v>
      </c>
      <c r="E592" s="1">
        <f>_xlfn.NUMBERVALUE(LEFT(aoc_02_input[[#This Row],[InputNumbers]],aoc_02_input[[#This Row],[PosDash]]-1))</f>
        <v>5</v>
      </c>
      <c r="F592" s="1">
        <f>_xlfn.NUMBERVALUE(MID(aoc_02_input[[#This Row],[InputNumbers]],aoc_02_input[[#This Row],[PosDash]]+1,5))</f>
        <v>7</v>
      </c>
      <c r="G592" s="1" t="str">
        <f>LEFT(aoc_02_input[[#This Row],[InputChar]],1)</f>
        <v>b</v>
      </c>
      <c r="H592" s="1" cm="1">
        <f t="array" ref="H592">CountChar(aoc_02_input[[#This Row],[Password]],aoc_02_input[[#This Row],[Char]])</f>
        <v>3</v>
      </c>
      <c r="I592" s="1">
        <f>IF(AND(aoc_02_input[[#This Row],[Int1]]&lt;=aoc_02_input[[#This Row],[CountOfChar]],aoc_02_input[[#This Row],[CountOfChar]]&lt;=aoc_02_input[[#This Row],[Int2]]),1,0)</f>
        <v>0</v>
      </c>
      <c r="J592" s="1" t="str">
        <f>MID(aoc_02_input[[#This Row],[Password]],aoc_02_input[[#This Row],[Int1]],1)</f>
        <v>d</v>
      </c>
      <c r="K592" s="1">
        <f>IF(aoc_02_input[[#This Row],[Pos1]]=aoc_02_input[[#This Row],[Char]],1,0)</f>
        <v>0</v>
      </c>
      <c r="L592" s="1" t="str">
        <f>MID(aoc_02_input[[#This Row],[Password]],aoc_02_input[[#This Row],[Int2]],1)</f>
        <v>b</v>
      </c>
      <c r="M592" s="1">
        <f>IF(aoc_02_input[[#This Row],[Pos2]]=aoc_02_input[[#This Row],[Char]],1,0)</f>
        <v>1</v>
      </c>
      <c r="N592" s="1">
        <f>IF(aoc_02_input[[#This Row],[Pos1Valid]]&lt;&gt;aoc_02_input[[#This Row],[Pos2Valid]],1,0)</f>
        <v>1</v>
      </c>
    </row>
    <row r="593" spans="1:14" x14ac:dyDescent="0.45">
      <c r="A593" s="1" t="s">
        <v>392</v>
      </c>
      <c r="B593" s="1" t="s">
        <v>265</v>
      </c>
      <c r="C593" s="1" t="s">
        <v>950</v>
      </c>
      <c r="D593" s="1">
        <f>FIND("-",aoc_02_input[[#This Row],[InputNumbers]])</f>
        <v>2</v>
      </c>
      <c r="E593" s="1">
        <f>_xlfn.NUMBERVALUE(LEFT(aoc_02_input[[#This Row],[InputNumbers]],aoc_02_input[[#This Row],[PosDash]]-1))</f>
        <v>8</v>
      </c>
      <c r="F593" s="1">
        <f>_xlfn.NUMBERVALUE(MID(aoc_02_input[[#This Row],[InputNumbers]],aoc_02_input[[#This Row],[PosDash]]+1,5))</f>
        <v>9</v>
      </c>
      <c r="G593" s="1" t="str">
        <f>LEFT(aoc_02_input[[#This Row],[InputChar]],1)</f>
        <v>r</v>
      </c>
      <c r="H593" s="1" cm="1">
        <f t="array" ref="H593">CountChar(aoc_02_input[[#This Row],[Password]],aoc_02_input[[#This Row],[Char]])</f>
        <v>7</v>
      </c>
      <c r="I593" s="1">
        <f>IF(AND(aoc_02_input[[#This Row],[Int1]]&lt;=aoc_02_input[[#This Row],[CountOfChar]],aoc_02_input[[#This Row],[CountOfChar]]&lt;=aoc_02_input[[#This Row],[Int2]]),1,0)</f>
        <v>0</v>
      </c>
      <c r="J593" s="1" t="str">
        <f>MID(aoc_02_input[[#This Row],[Password]],aoc_02_input[[#This Row],[Int1]],1)</f>
        <v>r</v>
      </c>
      <c r="K593" s="1">
        <f>IF(aoc_02_input[[#This Row],[Pos1]]=aoc_02_input[[#This Row],[Char]],1,0)</f>
        <v>1</v>
      </c>
      <c r="L593" s="1" t="str">
        <f>MID(aoc_02_input[[#This Row],[Password]],aoc_02_input[[#This Row],[Int2]],1)</f>
        <v>w</v>
      </c>
      <c r="M593" s="1">
        <f>IF(aoc_02_input[[#This Row],[Pos2]]=aoc_02_input[[#This Row],[Char]],1,0)</f>
        <v>0</v>
      </c>
      <c r="N593" s="1">
        <f>IF(aoc_02_input[[#This Row],[Pos1Valid]]&lt;&gt;aoc_02_input[[#This Row],[Pos2Valid]],1,0)</f>
        <v>1</v>
      </c>
    </row>
    <row r="594" spans="1:14" x14ac:dyDescent="0.45">
      <c r="A594" s="1" t="s">
        <v>230</v>
      </c>
      <c r="B594" s="1" t="s">
        <v>235</v>
      </c>
      <c r="C594" s="1" t="s">
        <v>951</v>
      </c>
      <c r="D594" s="1">
        <f>FIND("-",aoc_02_input[[#This Row],[InputNumbers]])</f>
        <v>2</v>
      </c>
      <c r="E594" s="1">
        <f>_xlfn.NUMBERVALUE(LEFT(aoc_02_input[[#This Row],[InputNumbers]],aoc_02_input[[#This Row],[PosDash]]-1))</f>
        <v>2</v>
      </c>
      <c r="F594" s="1">
        <f>_xlfn.NUMBERVALUE(MID(aoc_02_input[[#This Row],[InputNumbers]],aoc_02_input[[#This Row],[PosDash]]+1,5))</f>
        <v>4</v>
      </c>
      <c r="G594" s="1" t="str">
        <f>LEFT(aoc_02_input[[#This Row],[InputChar]],1)</f>
        <v>d</v>
      </c>
      <c r="H594" s="1" cm="1">
        <f t="array" ref="H594">CountChar(aoc_02_input[[#This Row],[Password]],aoc_02_input[[#This Row],[Char]])</f>
        <v>4</v>
      </c>
      <c r="I594" s="1">
        <f>IF(AND(aoc_02_input[[#This Row],[Int1]]&lt;=aoc_02_input[[#This Row],[CountOfChar]],aoc_02_input[[#This Row],[CountOfChar]]&lt;=aoc_02_input[[#This Row],[Int2]]),1,0)</f>
        <v>1</v>
      </c>
      <c r="J594" s="1" t="str">
        <f>MID(aoc_02_input[[#This Row],[Password]],aoc_02_input[[#This Row],[Int1]],1)</f>
        <v>d</v>
      </c>
      <c r="K594" s="1">
        <f>IF(aoc_02_input[[#This Row],[Pos1]]=aoc_02_input[[#This Row],[Char]],1,0)</f>
        <v>1</v>
      </c>
      <c r="L594" s="1" t="str">
        <f>MID(aoc_02_input[[#This Row],[Password]],aoc_02_input[[#This Row],[Int2]],1)</f>
        <v>c</v>
      </c>
      <c r="M594" s="1">
        <f>IF(aoc_02_input[[#This Row],[Pos2]]=aoc_02_input[[#This Row],[Char]],1,0)</f>
        <v>0</v>
      </c>
      <c r="N594" s="1">
        <f>IF(aoc_02_input[[#This Row],[Pos1Valid]]&lt;&gt;aoc_02_input[[#This Row],[Pos2Valid]],1,0)</f>
        <v>1</v>
      </c>
    </row>
    <row r="595" spans="1:14" x14ac:dyDescent="0.45">
      <c r="A595" s="1" t="s">
        <v>218</v>
      </c>
      <c r="B595" s="1" t="s">
        <v>254</v>
      </c>
      <c r="C595" s="1" t="s">
        <v>952</v>
      </c>
      <c r="D595" s="1">
        <f>FIND("-",aoc_02_input[[#This Row],[InputNumbers]])</f>
        <v>2</v>
      </c>
      <c r="E595" s="1">
        <f>_xlfn.NUMBERVALUE(LEFT(aoc_02_input[[#This Row],[InputNumbers]],aoc_02_input[[#This Row],[PosDash]]-1))</f>
        <v>6</v>
      </c>
      <c r="F595" s="1">
        <f>_xlfn.NUMBERVALUE(MID(aoc_02_input[[#This Row],[InputNumbers]],aoc_02_input[[#This Row],[PosDash]]+1,5))</f>
        <v>8</v>
      </c>
      <c r="G595" s="1" t="str">
        <f>LEFT(aoc_02_input[[#This Row],[InputChar]],1)</f>
        <v>k</v>
      </c>
      <c r="H595" s="1" cm="1">
        <f t="array" ref="H595">CountChar(aoc_02_input[[#This Row],[Password]],aoc_02_input[[#This Row],[Char]])</f>
        <v>5</v>
      </c>
      <c r="I595" s="1">
        <f>IF(AND(aoc_02_input[[#This Row],[Int1]]&lt;=aoc_02_input[[#This Row],[CountOfChar]],aoc_02_input[[#This Row],[CountOfChar]]&lt;=aoc_02_input[[#This Row],[Int2]]),1,0)</f>
        <v>0</v>
      </c>
      <c r="J595" s="1" t="str">
        <f>MID(aoc_02_input[[#This Row],[Password]],aoc_02_input[[#This Row],[Int1]],1)</f>
        <v>k</v>
      </c>
      <c r="K595" s="1">
        <f>IF(aoc_02_input[[#This Row],[Pos1]]=aoc_02_input[[#This Row],[Char]],1,0)</f>
        <v>1</v>
      </c>
      <c r="L595" s="1" t="str">
        <f>MID(aoc_02_input[[#This Row],[Password]],aoc_02_input[[#This Row],[Int2]],1)</f>
        <v>b</v>
      </c>
      <c r="M595" s="1">
        <f>IF(aoc_02_input[[#This Row],[Pos2]]=aoc_02_input[[#This Row],[Char]],1,0)</f>
        <v>0</v>
      </c>
      <c r="N595" s="1">
        <f>IF(aoc_02_input[[#This Row],[Pos1Valid]]&lt;&gt;aoc_02_input[[#This Row],[Pos2Valid]],1,0)</f>
        <v>1</v>
      </c>
    </row>
    <row r="596" spans="1:14" x14ac:dyDescent="0.45">
      <c r="A596" s="1" t="s">
        <v>953</v>
      </c>
      <c r="B596" s="1" t="s">
        <v>295</v>
      </c>
      <c r="C596" s="1" t="s">
        <v>954</v>
      </c>
      <c r="D596" s="1">
        <f>FIND("-",aoc_02_input[[#This Row],[InputNumbers]])</f>
        <v>2</v>
      </c>
      <c r="E596" s="1">
        <f>_xlfn.NUMBERVALUE(LEFT(aoc_02_input[[#This Row],[InputNumbers]],aoc_02_input[[#This Row],[PosDash]]-1))</f>
        <v>2</v>
      </c>
      <c r="F596" s="1">
        <f>_xlfn.NUMBERVALUE(MID(aoc_02_input[[#This Row],[InputNumbers]],aoc_02_input[[#This Row],[PosDash]]+1,5))</f>
        <v>8</v>
      </c>
      <c r="G596" s="1" t="str">
        <f>LEFT(aoc_02_input[[#This Row],[InputChar]],1)</f>
        <v>c</v>
      </c>
      <c r="H596" s="1" cm="1">
        <f t="array" ref="H596">CountChar(aoc_02_input[[#This Row],[Password]],aoc_02_input[[#This Row],[Char]])</f>
        <v>10</v>
      </c>
      <c r="I596" s="1">
        <f>IF(AND(aoc_02_input[[#This Row],[Int1]]&lt;=aoc_02_input[[#This Row],[CountOfChar]],aoc_02_input[[#This Row],[CountOfChar]]&lt;=aoc_02_input[[#This Row],[Int2]]),1,0)</f>
        <v>0</v>
      </c>
      <c r="J596" s="1" t="str">
        <f>MID(aoc_02_input[[#This Row],[Password]],aoc_02_input[[#This Row],[Int1]],1)</f>
        <v>c</v>
      </c>
      <c r="K596" s="1">
        <f>IF(aoc_02_input[[#This Row],[Pos1]]=aoc_02_input[[#This Row],[Char]],1,0)</f>
        <v>1</v>
      </c>
      <c r="L596" s="1" t="str">
        <f>MID(aoc_02_input[[#This Row],[Password]],aoc_02_input[[#This Row],[Int2]],1)</f>
        <v>c</v>
      </c>
      <c r="M596" s="1">
        <f>IF(aoc_02_input[[#This Row],[Pos2]]=aoc_02_input[[#This Row],[Char]],1,0)</f>
        <v>1</v>
      </c>
      <c r="N596" s="1">
        <f>IF(aoc_02_input[[#This Row],[Pos1Valid]]&lt;&gt;aoc_02_input[[#This Row],[Pos2Valid]],1,0)</f>
        <v>0</v>
      </c>
    </row>
    <row r="597" spans="1:14" x14ac:dyDescent="0.45">
      <c r="A597" s="1" t="s">
        <v>283</v>
      </c>
      <c r="B597" s="1" t="s">
        <v>295</v>
      </c>
      <c r="C597" s="1" t="s">
        <v>955</v>
      </c>
      <c r="D597" s="1">
        <f>FIND("-",aoc_02_input[[#This Row],[InputNumbers]])</f>
        <v>2</v>
      </c>
      <c r="E597" s="1">
        <f>_xlfn.NUMBERVALUE(LEFT(aoc_02_input[[#This Row],[InputNumbers]],aoc_02_input[[#This Row],[PosDash]]-1))</f>
        <v>3</v>
      </c>
      <c r="F597" s="1">
        <f>_xlfn.NUMBERVALUE(MID(aoc_02_input[[#This Row],[InputNumbers]],aoc_02_input[[#This Row],[PosDash]]+1,5))</f>
        <v>4</v>
      </c>
      <c r="G597" s="1" t="str">
        <f>LEFT(aoc_02_input[[#This Row],[InputChar]],1)</f>
        <v>c</v>
      </c>
      <c r="H597" s="1" cm="1">
        <f t="array" ref="H597">CountChar(aoc_02_input[[#This Row],[Password]],aoc_02_input[[#This Row],[Char]])</f>
        <v>4</v>
      </c>
      <c r="I597" s="1">
        <f>IF(AND(aoc_02_input[[#This Row],[Int1]]&lt;=aoc_02_input[[#This Row],[CountOfChar]],aoc_02_input[[#This Row],[CountOfChar]]&lt;=aoc_02_input[[#This Row],[Int2]]),1,0)</f>
        <v>1</v>
      </c>
      <c r="J597" s="1" t="str">
        <f>MID(aoc_02_input[[#This Row],[Password]],aoc_02_input[[#This Row],[Int1]],1)</f>
        <v>h</v>
      </c>
      <c r="K597" s="1">
        <f>IF(aoc_02_input[[#This Row],[Pos1]]=aoc_02_input[[#This Row],[Char]],1,0)</f>
        <v>0</v>
      </c>
      <c r="L597" s="1" t="str">
        <f>MID(aoc_02_input[[#This Row],[Password]],aoc_02_input[[#This Row],[Int2]],1)</f>
        <v>b</v>
      </c>
      <c r="M597" s="1">
        <f>IF(aoc_02_input[[#This Row],[Pos2]]=aoc_02_input[[#This Row],[Char]],1,0)</f>
        <v>0</v>
      </c>
      <c r="N597" s="1">
        <f>IF(aoc_02_input[[#This Row],[Pos1Valid]]&lt;&gt;aoc_02_input[[#This Row],[Pos2Valid]],1,0)</f>
        <v>0</v>
      </c>
    </row>
    <row r="598" spans="1:14" x14ac:dyDescent="0.45">
      <c r="A598" s="1" t="s">
        <v>320</v>
      </c>
      <c r="B598" s="1" t="s">
        <v>222</v>
      </c>
      <c r="C598" s="1" t="s">
        <v>956</v>
      </c>
      <c r="D598" s="1">
        <f>FIND("-",aoc_02_input[[#This Row],[InputNumbers]])</f>
        <v>2</v>
      </c>
      <c r="E598" s="1">
        <f>_xlfn.NUMBERVALUE(LEFT(aoc_02_input[[#This Row],[InputNumbers]],aoc_02_input[[#This Row],[PosDash]]-1))</f>
        <v>6</v>
      </c>
      <c r="F598" s="1">
        <f>_xlfn.NUMBERVALUE(MID(aoc_02_input[[#This Row],[InputNumbers]],aoc_02_input[[#This Row],[PosDash]]+1,5))</f>
        <v>7</v>
      </c>
      <c r="G598" s="1" t="str">
        <f>LEFT(aoc_02_input[[#This Row],[InputChar]],1)</f>
        <v>l</v>
      </c>
      <c r="H598" s="1" cm="1">
        <f t="array" ref="H598">CountChar(aoc_02_input[[#This Row],[Password]],aoc_02_input[[#This Row],[Char]])</f>
        <v>6</v>
      </c>
      <c r="I598" s="1">
        <f>IF(AND(aoc_02_input[[#This Row],[Int1]]&lt;=aoc_02_input[[#This Row],[CountOfChar]],aoc_02_input[[#This Row],[CountOfChar]]&lt;=aoc_02_input[[#This Row],[Int2]]),1,0)</f>
        <v>1</v>
      </c>
      <c r="J598" s="1" t="str">
        <f>MID(aoc_02_input[[#This Row],[Password]],aoc_02_input[[#This Row],[Int1]],1)</f>
        <v>r</v>
      </c>
      <c r="K598" s="1">
        <f>IF(aoc_02_input[[#This Row],[Pos1]]=aoc_02_input[[#This Row],[Char]],1,0)</f>
        <v>0</v>
      </c>
      <c r="L598" s="1" t="str">
        <f>MID(aoc_02_input[[#This Row],[Password]],aoc_02_input[[#This Row],[Int2]],1)</f>
        <v>h</v>
      </c>
      <c r="M598" s="1">
        <f>IF(aoc_02_input[[#This Row],[Pos2]]=aoc_02_input[[#This Row],[Char]],1,0)</f>
        <v>0</v>
      </c>
      <c r="N598" s="1">
        <f>IF(aoc_02_input[[#This Row],[Pos1Valid]]&lt;&gt;aoc_02_input[[#This Row],[Pos2Valid]],1,0)</f>
        <v>0</v>
      </c>
    </row>
    <row r="599" spans="1:14" x14ac:dyDescent="0.45">
      <c r="A599" s="1" t="s">
        <v>361</v>
      </c>
      <c r="B599" s="1" t="s">
        <v>222</v>
      </c>
      <c r="C599" s="1" t="s">
        <v>957</v>
      </c>
      <c r="D599" s="1">
        <f>FIND("-",aoc_02_input[[#This Row],[InputNumbers]])</f>
        <v>2</v>
      </c>
      <c r="E599" s="1">
        <f>_xlfn.NUMBERVALUE(LEFT(aoc_02_input[[#This Row],[InputNumbers]],aoc_02_input[[#This Row],[PosDash]]-1))</f>
        <v>2</v>
      </c>
      <c r="F599" s="1">
        <f>_xlfn.NUMBERVALUE(MID(aoc_02_input[[#This Row],[InputNumbers]],aoc_02_input[[#This Row],[PosDash]]+1,5))</f>
        <v>7</v>
      </c>
      <c r="G599" s="1" t="str">
        <f>LEFT(aoc_02_input[[#This Row],[InputChar]],1)</f>
        <v>l</v>
      </c>
      <c r="H599" s="1" cm="1">
        <f t="array" ref="H599">CountChar(aoc_02_input[[#This Row],[Password]],aoc_02_input[[#This Row],[Char]])</f>
        <v>5</v>
      </c>
      <c r="I599" s="1">
        <f>IF(AND(aoc_02_input[[#This Row],[Int1]]&lt;=aoc_02_input[[#This Row],[CountOfChar]],aoc_02_input[[#This Row],[CountOfChar]]&lt;=aoc_02_input[[#This Row],[Int2]]),1,0)</f>
        <v>1</v>
      </c>
      <c r="J599" s="1" t="str">
        <f>MID(aoc_02_input[[#This Row],[Password]],aoc_02_input[[#This Row],[Int1]],1)</f>
        <v>w</v>
      </c>
      <c r="K599" s="1">
        <f>IF(aoc_02_input[[#This Row],[Pos1]]=aoc_02_input[[#This Row],[Char]],1,0)</f>
        <v>0</v>
      </c>
      <c r="L599" s="1" t="str">
        <f>MID(aoc_02_input[[#This Row],[Password]],aoc_02_input[[#This Row],[Int2]],1)</f>
        <v>f</v>
      </c>
      <c r="M599" s="1">
        <f>IF(aoc_02_input[[#This Row],[Pos2]]=aoc_02_input[[#This Row],[Char]],1,0)</f>
        <v>0</v>
      </c>
      <c r="N599" s="1">
        <f>IF(aoc_02_input[[#This Row],[Pos1Valid]]&lt;&gt;aoc_02_input[[#This Row],[Pos2Valid]],1,0)</f>
        <v>0</v>
      </c>
    </row>
    <row r="600" spans="1:14" x14ac:dyDescent="0.45">
      <c r="A600" s="1" t="s">
        <v>330</v>
      </c>
      <c r="B600" s="1" t="s">
        <v>225</v>
      </c>
      <c r="C600" s="1" t="s">
        <v>958</v>
      </c>
      <c r="D600" s="1">
        <f>FIND("-",aoc_02_input[[#This Row],[InputNumbers]])</f>
        <v>3</v>
      </c>
      <c r="E600" s="1">
        <f>_xlfn.NUMBERVALUE(LEFT(aoc_02_input[[#This Row],[InputNumbers]],aoc_02_input[[#This Row],[PosDash]]-1))</f>
        <v>13</v>
      </c>
      <c r="F600" s="1">
        <f>_xlfn.NUMBERVALUE(MID(aoc_02_input[[#This Row],[InputNumbers]],aoc_02_input[[#This Row],[PosDash]]+1,5))</f>
        <v>14</v>
      </c>
      <c r="G600" s="1" t="str">
        <f>LEFT(aoc_02_input[[#This Row],[InputChar]],1)</f>
        <v>j</v>
      </c>
      <c r="H600" s="1" cm="1">
        <f t="array" ref="H600">CountChar(aoc_02_input[[#This Row],[Password]],aoc_02_input[[#This Row],[Char]])</f>
        <v>12</v>
      </c>
      <c r="I600" s="1">
        <f>IF(AND(aoc_02_input[[#This Row],[Int1]]&lt;=aoc_02_input[[#This Row],[CountOfChar]],aoc_02_input[[#This Row],[CountOfChar]]&lt;=aoc_02_input[[#This Row],[Int2]]),1,0)</f>
        <v>0</v>
      </c>
      <c r="J600" s="1" t="str">
        <f>MID(aoc_02_input[[#This Row],[Password]],aoc_02_input[[#This Row],[Int1]],1)</f>
        <v>j</v>
      </c>
      <c r="K600" s="1">
        <f>IF(aoc_02_input[[#This Row],[Pos1]]=aoc_02_input[[#This Row],[Char]],1,0)</f>
        <v>1</v>
      </c>
      <c r="L600" s="1" t="str">
        <f>MID(aoc_02_input[[#This Row],[Password]],aoc_02_input[[#This Row],[Int2]],1)</f>
        <v>b</v>
      </c>
      <c r="M600" s="1">
        <f>IF(aoc_02_input[[#This Row],[Pos2]]=aoc_02_input[[#This Row],[Char]],1,0)</f>
        <v>0</v>
      </c>
      <c r="N600" s="1">
        <f>IF(aoc_02_input[[#This Row],[Pos1Valid]]&lt;&gt;aoc_02_input[[#This Row],[Pos2Valid]],1,0)</f>
        <v>1</v>
      </c>
    </row>
    <row r="601" spans="1:14" x14ac:dyDescent="0.45">
      <c r="A601" s="1" t="s">
        <v>417</v>
      </c>
      <c r="B601" s="1" t="s">
        <v>210</v>
      </c>
      <c r="C601" s="1" t="s">
        <v>959</v>
      </c>
      <c r="D601" s="1">
        <f>FIND("-",aoc_02_input[[#This Row],[InputNumbers]])</f>
        <v>3</v>
      </c>
      <c r="E601" s="1">
        <f>_xlfn.NUMBERVALUE(LEFT(aoc_02_input[[#This Row],[InputNumbers]],aoc_02_input[[#This Row],[PosDash]]-1))</f>
        <v>12</v>
      </c>
      <c r="F601" s="1">
        <f>_xlfn.NUMBERVALUE(MID(aoc_02_input[[#This Row],[InputNumbers]],aoc_02_input[[#This Row],[PosDash]]+1,5))</f>
        <v>13</v>
      </c>
      <c r="G601" s="1" t="str">
        <f>LEFT(aoc_02_input[[#This Row],[InputChar]],1)</f>
        <v>v</v>
      </c>
      <c r="H601" s="1" cm="1">
        <f t="array" ref="H601">CountChar(aoc_02_input[[#This Row],[Password]],aoc_02_input[[#This Row],[Char]])</f>
        <v>13</v>
      </c>
      <c r="I601" s="1">
        <f>IF(AND(aoc_02_input[[#This Row],[Int1]]&lt;=aoc_02_input[[#This Row],[CountOfChar]],aoc_02_input[[#This Row],[CountOfChar]]&lt;=aoc_02_input[[#This Row],[Int2]]),1,0)</f>
        <v>1</v>
      </c>
      <c r="J601" s="1" t="str">
        <f>MID(aoc_02_input[[#This Row],[Password]],aoc_02_input[[#This Row],[Int1]],1)</f>
        <v>v</v>
      </c>
      <c r="K601" s="1">
        <f>IF(aoc_02_input[[#This Row],[Pos1]]=aoc_02_input[[#This Row],[Char]],1,0)</f>
        <v>1</v>
      </c>
      <c r="L601" s="1" t="str">
        <f>MID(aoc_02_input[[#This Row],[Password]],aoc_02_input[[#This Row],[Int2]],1)</f>
        <v>v</v>
      </c>
      <c r="M601" s="1">
        <f>IF(aoc_02_input[[#This Row],[Pos2]]=aoc_02_input[[#This Row],[Char]],1,0)</f>
        <v>1</v>
      </c>
      <c r="N601" s="1">
        <f>IF(aoc_02_input[[#This Row],[Pos1Valid]]&lt;&gt;aoc_02_input[[#This Row],[Pos2Valid]],1,0)</f>
        <v>0</v>
      </c>
    </row>
    <row r="602" spans="1:14" x14ac:dyDescent="0.45">
      <c r="A602" s="1" t="s">
        <v>392</v>
      </c>
      <c r="B602" s="1" t="s">
        <v>219</v>
      </c>
      <c r="C602" s="1" t="s">
        <v>960</v>
      </c>
      <c r="D602" s="1">
        <f>FIND("-",aoc_02_input[[#This Row],[InputNumbers]])</f>
        <v>2</v>
      </c>
      <c r="E602" s="1">
        <f>_xlfn.NUMBERVALUE(LEFT(aoc_02_input[[#This Row],[InputNumbers]],aoc_02_input[[#This Row],[PosDash]]-1))</f>
        <v>8</v>
      </c>
      <c r="F602" s="1">
        <f>_xlfn.NUMBERVALUE(MID(aoc_02_input[[#This Row],[InputNumbers]],aoc_02_input[[#This Row],[PosDash]]+1,5))</f>
        <v>9</v>
      </c>
      <c r="G602" s="1" t="str">
        <f>LEFT(aoc_02_input[[#This Row],[InputChar]],1)</f>
        <v>g</v>
      </c>
      <c r="H602" s="1" cm="1">
        <f t="array" ref="H602">CountChar(aoc_02_input[[#This Row],[Password]],aoc_02_input[[#This Row],[Char]])</f>
        <v>7</v>
      </c>
      <c r="I602" s="1">
        <f>IF(AND(aoc_02_input[[#This Row],[Int1]]&lt;=aoc_02_input[[#This Row],[CountOfChar]],aoc_02_input[[#This Row],[CountOfChar]]&lt;=aoc_02_input[[#This Row],[Int2]]),1,0)</f>
        <v>0</v>
      </c>
      <c r="J602" s="1" t="str">
        <f>MID(aoc_02_input[[#This Row],[Password]],aoc_02_input[[#This Row],[Int1]],1)</f>
        <v>g</v>
      </c>
      <c r="K602" s="1">
        <f>IF(aoc_02_input[[#This Row],[Pos1]]=aoc_02_input[[#This Row],[Char]],1,0)</f>
        <v>1</v>
      </c>
      <c r="L602" s="1" t="str">
        <f>MID(aoc_02_input[[#This Row],[Password]],aoc_02_input[[#This Row],[Int2]],1)</f>
        <v>g</v>
      </c>
      <c r="M602" s="1">
        <f>IF(aoc_02_input[[#This Row],[Pos2]]=aoc_02_input[[#This Row],[Char]],1,0)</f>
        <v>1</v>
      </c>
      <c r="N602" s="1">
        <f>IF(aoc_02_input[[#This Row],[Pos1Valid]]&lt;&gt;aoc_02_input[[#This Row],[Pos2Valid]],1,0)</f>
        <v>0</v>
      </c>
    </row>
    <row r="603" spans="1:14" x14ac:dyDescent="0.45">
      <c r="A603" s="1" t="s">
        <v>283</v>
      </c>
      <c r="B603" s="1" t="s">
        <v>243</v>
      </c>
      <c r="C603" s="1" t="s">
        <v>961</v>
      </c>
      <c r="D603" s="1">
        <f>FIND("-",aoc_02_input[[#This Row],[InputNumbers]])</f>
        <v>2</v>
      </c>
      <c r="E603" s="1">
        <f>_xlfn.NUMBERVALUE(LEFT(aoc_02_input[[#This Row],[InputNumbers]],aoc_02_input[[#This Row],[PosDash]]-1))</f>
        <v>3</v>
      </c>
      <c r="F603" s="1">
        <f>_xlfn.NUMBERVALUE(MID(aoc_02_input[[#This Row],[InputNumbers]],aoc_02_input[[#This Row],[PosDash]]+1,5))</f>
        <v>4</v>
      </c>
      <c r="G603" s="1" t="str">
        <f>LEFT(aoc_02_input[[#This Row],[InputChar]],1)</f>
        <v>f</v>
      </c>
      <c r="H603" s="1" cm="1">
        <f t="array" ref="H603">CountChar(aoc_02_input[[#This Row],[Password]],aoc_02_input[[#This Row],[Char]])</f>
        <v>2</v>
      </c>
      <c r="I603" s="1">
        <f>IF(AND(aoc_02_input[[#This Row],[Int1]]&lt;=aoc_02_input[[#This Row],[CountOfChar]],aoc_02_input[[#This Row],[CountOfChar]]&lt;=aoc_02_input[[#This Row],[Int2]]),1,0)</f>
        <v>0</v>
      </c>
      <c r="J603" s="1" t="str">
        <f>MID(aoc_02_input[[#This Row],[Password]],aoc_02_input[[#This Row],[Int1]],1)</f>
        <v>w</v>
      </c>
      <c r="K603" s="1">
        <f>IF(aoc_02_input[[#This Row],[Pos1]]=aoc_02_input[[#This Row],[Char]],1,0)</f>
        <v>0</v>
      </c>
      <c r="L603" s="1" t="str">
        <f>MID(aoc_02_input[[#This Row],[Password]],aoc_02_input[[#This Row],[Int2]],1)</f>
        <v>g</v>
      </c>
      <c r="M603" s="1">
        <f>IF(aoc_02_input[[#This Row],[Pos2]]=aoc_02_input[[#This Row],[Char]],1,0)</f>
        <v>0</v>
      </c>
      <c r="N603" s="1">
        <f>IF(aoc_02_input[[#This Row],[Pos1Valid]]&lt;&gt;aoc_02_input[[#This Row],[Pos2Valid]],1,0)</f>
        <v>0</v>
      </c>
    </row>
    <row r="604" spans="1:14" x14ac:dyDescent="0.45">
      <c r="A604" s="1" t="s">
        <v>394</v>
      </c>
      <c r="B604" s="1" t="s">
        <v>213</v>
      </c>
      <c r="C604" s="1" t="s">
        <v>962</v>
      </c>
      <c r="D604" s="1">
        <f>FIND("-",aoc_02_input[[#This Row],[InputNumbers]])</f>
        <v>2</v>
      </c>
      <c r="E604" s="1">
        <f>_xlfn.NUMBERVALUE(LEFT(aoc_02_input[[#This Row],[InputNumbers]],aoc_02_input[[#This Row],[PosDash]]-1))</f>
        <v>4</v>
      </c>
      <c r="F604" s="1">
        <f>_xlfn.NUMBERVALUE(MID(aoc_02_input[[#This Row],[InputNumbers]],aoc_02_input[[#This Row],[PosDash]]+1,5))</f>
        <v>7</v>
      </c>
      <c r="G604" s="1" t="str">
        <f>LEFT(aoc_02_input[[#This Row],[InputChar]],1)</f>
        <v>m</v>
      </c>
      <c r="H604" s="1" cm="1">
        <f t="array" ref="H604">CountChar(aoc_02_input[[#This Row],[Password]],aoc_02_input[[#This Row],[Char]])</f>
        <v>3</v>
      </c>
      <c r="I604" s="1">
        <f>IF(AND(aoc_02_input[[#This Row],[Int1]]&lt;=aoc_02_input[[#This Row],[CountOfChar]],aoc_02_input[[#This Row],[CountOfChar]]&lt;=aoc_02_input[[#This Row],[Int2]]),1,0)</f>
        <v>0</v>
      </c>
      <c r="J604" s="1" t="str">
        <f>MID(aoc_02_input[[#This Row],[Password]],aoc_02_input[[#This Row],[Int1]],1)</f>
        <v>m</v>
      </c>
      <c r="K604" s="1">
        <f>IF(aoc_02_input[[#This Row],[Pos1]]=aoc_02_input[[#This Row],[Char]],1,0)</f>
        <v>1</v>
      </c>
      <c r="L604" s="1" t="str">
        <f>MID(aoc_02_input[[#This Row],[Password]],aoc_02_input[[#This Row],[Int2]],1)</f>
        <v>t</v>
      </c>
      <c r="M604" s="1">
        <f>IF(aoc_02_input[[#This Row],[Pos2]]=aoc_02_input[[#This Row],[Char]],1,0)</f>
        <v>0</v>
      </c>
      <c r="N604" s="1">
        <f>IF(aoc_02_input[[#This Row],[Pos1Valid]]&lt;&gt;aoc_02_input[[#This Row],[Pos2Valid]],1,0)</f>
        <v>1</v>
      </c>
    </row>
    <row r="605" spans="1:14" x14ac:dyDescent="0.45">
      <c r="A605" s="1" t="s">
        <v>675</v>
      </c>
      <c r="B605" s="1" t="s">
        <v>295</v>
      </c>
      <c r="C605" s="1" t="s">
        <v>963</v>
      </c>
      <c r="D605" s="1">
        <f>FIND("-",aoc_02_input[[#This Row],[InputNumbers]])</f>
        <v>3</v>
      </c>
      <c r="E605" s="1">
        <f>_xlfn.NUMBERVALUE(LEFT(aoc_02_input[[#This Row],[InputNumbers]],aoc_02_input[[#This Row],[PosDash]]-1))</f>
        <v>15</v>
      </c>
      <c r="F605" s="1">
        <f>_xlfn.NUMBERVALUE(MID(aoc_02_input[[#This Row],[InputNumbers]],aoc_02_input[[#This Row],[PosDash]]+1,5))</f>
        <v>17</v>
      </c>
      <c r="G605" s="1" t="str">
        <f>LEFT(aoc_02_input[[#This Row],[InputChar]],1)</f>
        <v>c</v>
      </c>
      <c r="H605" s="1" cm="1">
        <f t="array" ref="H605">CountChar(aoc_02_input[[#This Row],[Password]],aoc_02_input[[#This Row],[Char]])</f>
        <v>6</v>
      </c>
      <c r="I605" s="1">
        <f>IF(AND(aoc_02_input[[#This Row],[Int1]]&lt;=aoc_02_input[[#This Row],[CountOfChar]],aoc_02_input[[#This Row],[CountOfChar]]&lt;=aoc_02_input[[#This Row],[Int2]]),1,0)</f>
        <v>0</v>
      </c>
      <c r="J605" s="1" t="str">
        <f>MID(aoc_02_input[[#This Row],[Password]],aoc_02_input[[#This Row],[Int1]],1)</f>
        <v>h</v>
      </c>
      <c r="K605" s="1">
        <f>IF(aoc_02_input[[#This Row],[Pos1]]=aoc_02_input[[#This Row],[Char]],1,0)</f>
        <v>0</v>
      </c>
      <c r="L605" s="1" t="str">
        <f>MID(aoc_02_input[[#This Row],[Password]],aoc_02_input[[#This Row],[Int2]],1)</f>
        <v>c</v>
      </c>
      <c r="M605" s="1">
        <f>IF(aoc_02_input[[#This Row],[Pos2]]=aoc_02_input[[#This Row],[Char]],1,0)</f>
        <v>1</v>
      </c>
      <c r="N605" s="1">
        <f>IF(aoc_02_input[[#This Row],[Pos1Valid]]&lt;&gt;aoc_02_input[[#This Row],[Pos2Valid]],1,0)</f>
        <v>1</v>
      </c>
    </row>
    <row r="606" spans="1:14" x14ac:dyDescent="0.45">
      <c r="A606" s="1" t="s">
        <v>640</v>
      </c>
      <c r="B606" s="1" t="s">
        <v>210</v>
      </c>
      <c r="C606" s="1" t="s">
        <v>964</v>
      </c>
      <c r="D606" s="1">
        <f>FIND("-",aoc_02_input[[#This Row],[InputNumbers]])</f>
        <v>3</v>
      </c>
      <c r="E606" s="1">
        <f>_xlfn.NUMBERVALUE(LEFT(aoc_02_input[[#This Row],[InputNumbers]],aoc_02_input[[#This Row],[PosDash]]-1))</f>
        <v>12</v>
      </c>
      <c r="F606" s="1">
        <f>_xlfn.NUMBERVALUE(MID(aoc_02_input[[#This Row],[InputNumbers]],aoc_02_input[[#This Row],[PosDash]]+1,5))</f>
        <v>15</v>
      </c>
      <c r="G606" s="1" t="str">
        <f>LEFT(aoc_02_input[[#This Row],[InputChar]],1)</f>
        <v>v</v>
      </c>
      <c r="H606" s="1" cm="1">
        <f t="array" ref="H606">CountChar(aoc_02_input[[#This Row],[Password]],aoc_02_input[[#This Row],[Char]])</f>
        <v>12</v>
      </c>
      <c r="I606" s="1">
        <f>IF(AND(aoc_02_input[[#This Row],[Int1]]&lt;=aoc_02_input[[#This Row],[CountOfChar]],aoc_02_input[[#This Row],[CountOfChar]]&lt;=aoc_02_input[[#This Row],[Int2]]),1,0)</f>
        <v>1</v>
      </c>
      <c r="J606" s="1" t="str">
        <f>MID(aoc_02_input[[#This Row],[Password]],aoc_02_input[[#This Row],[Int1]],1)</f>
        <v>h</v>
      </c>
      <c r="K606" s="1">
        <f>IF(aoc_02_input[[#This Row],[Pos1]]=aoc_02_input[[#This Row],[Char]],1,0)</f>
        <v>0</v>
      </c>
      <c r="L606" s="1" t="str">
        <f>MID(aoc_02_input[[#This Row],[Password]],aoc_02_input[[#This Row],[Int2]],1)</f>
        <v>v</v>
      </c>
      <c r="M606" s="1">
        <f>IF(aoc_02_input[[#This Row],[Pos2]]=aoc_02_input[[#This Row],[Char]],1,0)</f>
        <v>1</v>
      </c>
      <c r="N606" s="1">
        <f>IF(aoc_02_input[[#This Row],[Pos1Valid]]&lt;&gt;aoc_02_input[[#This Row],[Pos2Valid]],1,0)</f>
        <v>1</v>
      </c>
    </row>
    <row r="607" spans="1:14" x14ac:dyDescent="0.45">
      <c r="A607" s="1" t="s">
        <v>313</v>
      </c>
      <c r="B607" s="1" t="s">
        <v>295</v>
      </c>
      <c r="C607" s="1" t="s">
        <v>965</v>
      </c>
      <c r="D607" s="1">
        <f>FIND("-",aoc_02_input[[#This Row],[InputNumbers]])</f>
        <v>2</v>
      </c>
      <c r="E607" s="1">
        <f>_xlfn.NUMBERVALUE(LEFT(aoc_02_input[[#This Row],[InputNumbers]],aoc_02_input[[#This Row],[PosDash]]-1))</f>
        <v>8</v>
      </c>
      <c r="F607" s="1">
        <f>_xlfn.NUMBERVALUE(MID(aoc_02_input[[#This Row],[InputNumbers]],aoc_02_input[[#This Row],[PosDash]]+1,5))</f>
        <v>17</v>
      </c>
      <c r="G607" s="1" t="str">
        <f>LEFT(aoc_02_input[[#This Row],[InputChar]],1)</f>
        <v>c</v>
      </c>
      <c r="H607" s="1" cm="1">
        <f t="array" ref="H607">CountChar(aoc_02_input[[#This Row],[Password]],aoc_02_input[[#This Row],[Char]])</f>
        <v>7</v>
      </c>
      <c r="I607" s="1">
        <f>IF(AND(aoc_02_input[[#This Row],[Int1]]&lt;=aoc_02_input[[#This Row],[CountOfChar]],aoc_02_input[[#This Row],[CountOfChar]]&lt;=aoc_02_input[[#This Row],[Int2]]),1,0)</f>
        <v>0</v>
      </c>
      <c r="J607" s="1" t="str">
        <f>MID(aoc_02_input[[#This Row],[Password]],aoc_02_input[[#This Row],[Int1]],1)</f>
        <v>c</v>
      </c>
      <c r="K607" s="1">
        <f>IF(aoc_02_input[[#This Row],[Pos1]]=aoc_02_input[[#This Row],[Char]],1,0)</f>
        <v>1</v>
      </c>
      <c r="L607" s="1" t="str">
        <f>MID(aoc_02_input[[#This Row],[Password]],aoc_02_input[[#This Row],[Int2]],1)</f>
        <v>p</v>
      </c>
      <c r="M607" s="1">
        <f>IF(aoc_02_input[[#This Row],[Pos2]]=aoc_02_input[[#This Row],[Char]],1,0)</f>
        <v>0</v>
      </c>
      <c r="N607" s="1">
        <f>IF(aoc_02_input[[#This Row],[Pos1Valid]]&lt;&gt;aoc_02_input[[#This Row],[Pos2Valid]],1,0)</f>
        <v>1</v>
      </c>
    </row>
    <row r="608" spans="1:14" x14ac:dyDescent="0.45">
      <c r="A608" s="1" t="s">
        <v>326</v>
      </c>
      <c r="B608" s="1" t="s">
        <v>265</v>
      </c>
      <c r="C608" s="1" t="s">
        <v>966</v>
      </c>
      <c r="D608" s="1">
        <f>FIND("-",aoc_02_input[[#This Row],[InputNumbers]])</f>
        <v>3</v>
      </c>
      <c r="E608" s="1">
        <f>_xlfn.NUMBERVALUE(LEFT(aoc_02_input[[#This Row],[InputNumbers]],aoc_02_input[[#This Row],[PosDash]]-1))</f>
        <v>10</v>
      </c>
      <c r="F608" s="1">
        <f>_xlfn.NUMBERVALUE(MID(aoc_02_input[[#This Row],[InputNumbers]],aoc_02_input[[#This Row],[PosDash]]+1,5))</f>
        <v>12</v>
      </c>
      <c r="G608" s="1" t="str">
        <f>LEFT(aoc_02_input[[#This Row],[InputChar]],1)</f>
        <v>r</v>
      </c>
      <c r="H608" s="1" cm="1">
        <f t="array" ref="H608">CountChar(aoc_02_input[[#This Row],[Password]],aoc_02_input[[#This Row],[Char]])</f>
        <v>11</v>
      </c>
      <c r="I608" s="1">
        <f>IF(AND(aoc_02_input[[#This Row],[Int1]]&lt;=aoc_02_input[[#This Row],[CountOfChar]],aoc_02_input[[#This Row],[CountOfChar]]&lt;=aoc_02_input[[#This Row],[Int2]]),1,0)</f>
        <v>1</v>
      </c>
      <c r="J608" s="1" t="str">
        <f>MID(aoc_02_input[[#This Row],[Password]],aoc_02_input[[#This Row],[Int1]],1)</f>
        <v>t</v>
      </c>
      <c r="K608" s="1">
        <f>IF(aoc_02_input[[#This Row],[Pos1]]=aoc_02_input[[#This Row],[Char]],1,0)</f>
        <v>0</v>
      </c>
      <c r="L608" s="1" t="str">
        <f>MID(aoc_02_input[[#This Row],[Password]],aoc_02_input[[#This Row],[Int2]],1)</f>
        <v>r</v>
      </c>
      <c r="M608" s="1">
        <f>IF(aoc_02_input[[#This Row],[Pos2]]=aoc_02_input[[#This Row],[Char]],1,0)</f>
        <v>1</v>
      </c>
      <c r="N608" s="1">
        <f>IF(aoc_02_input[[#This Row],[Pos1Valid]]&lt;&gt;aoc_02_input[[#This Row],[Pos2Valid]],1,0)</f>
        <v>1</v>
      </c>
    </row>
    <row r="609" spans="1:14" x14ac:dyDescent="0.45">
      <c r="A609" s="1" t="s">
        <v>755</v>
      </c>
      <c r="B609" s="1" t="s">
        <v>246</v>
      </c>
      <c r="C609" s="1" t="s">
        <v>967</v>
      </c>
      <c r="D609" s="1">
        <f>FIND("-",aoc_02_input[[#This Row],[InputNumbers]])</f>
        <v>2</v>
      </c>
      <c r="E609" s="1">
        <f>_xlfn.NUMBERVALUE(LEFT(aoc_02_input[[#This Row],[InputNumbers]],aoc_02_input[[#This Row],[PosDash]]-1))</f>
        <v>3</v>
      </c>
      <c r="F609" s="1">
        <f>_xlfn.NUMBERVALUE(MID(aoc_02_input[[#This Row],[InputNumbers]],aoc_02_input[[#This Row],[PosDash]]+1,5))</f>
        <v>10</v>
      </c>
      <c r="G609" s="1" t="str">
        <f>LEFT(aoc_02_input[[#This Row],[InputChar]],1)</f>
        <v>n</v>
      </c>
      <c r="H609" s="1" cm="1">
        <f t="array" ref="H609">CountChar(aoc_02_input[[#This Row],[Password]],aoc_02_input[[#This Row],[Char]])</f>
        <v>8</v>
      </c>
      <c r="I609" s="1">
        <f>IF(AND(aoc_02_input[[#This Row],[Int1]]&lt;=aoc_02_input[[#This Row],[CountOfChar]],aoc_02_input[[#This Row],[CountOfChar]]&lt;=aoc_02_input[[#This Row],[Int2]]),1,0)</f>
        <v>1</v>
      </c>
      <c r="J609" s="1" t="str">
        <f>MID(aoc_02_input[[#This Row],[Password]],aoc_02_input[[#This Row],[Int1]],1)</f>
        <v>z</v>
      </c>
      <c r="K609" s="1">
        <f>IF(aoc_02_input[[#This Row],[Pos1]]=aoc_02_input[[#This Row],[Char]],1,0)</f>
        <v>0</v>
      </c>
      <c r="L609" s="1" t="str">
        <f>MID(aoc_02_input[[#This Row],[Password]],aoc_02_input[[#This Row],[Int2]],1)</f>
        <v>w</v>
      </c>
      <c r="M609" s="1">
        <f>IF(aoc_02_input[[#This Row],[Pos2]]=aoc_02_input[[#This Row],[Char]],1,0)</f>
        <v>0</v>
      </c>
      <c r="N609" s="1">
        <f>IF(aoc_02_input[[#This Row],[Pos1Valid]]&lt;&gt;aoc_02_input[[#This Row],[Pos2Valid]],1,0)</f>
        <v>0</v>
      </c>
    </row>
    <row r="610" spans="1:14" x14ac:dyDescent="0.45">
      <c r="A610" s="1" t="s">
        <v>392</v>
      </c>
      <c r="B610" s="1" t="s">
        <v>278</v>
      </c>
      <c r="C610" s="1" t="s">
        <v>968</v>
      </c>
      <c r="D610" s="1">
        <f>FIND("-",aoc_02_input[[#This Row],[InputNumbers]])</f>
        <v>2</v>
      </c>
      <c r="E610" s="1">
        <f>_xlfn.NUMBERVALUE(LEFT(aoc_02_input[[#This Row],[InputNumbers]],aoc_02_input[[#This Row],[PosDash]]-1))</f>
        <v>8</v>
      </c>
      <c r="F610" s="1">
        <f>_xlfn.NUMBERVALUE(MID(aoc_02_input[[#This Row],[InputNumbers]],aoc_02_input[[#This Row],[PosDash]]+1,5))</f>
        <v>9</v>
      </c>
      <c r="G610" s="1" t="str">
        <f>LEFT(aoc_02_input[[#This Row],[InputChar]],1)</f>
        <v>x</v>
      </c>
      <c r="H610" s="1" cm="1">
        <f t="array" ref="H610">CountChar(aoc_02_input[[#This Row],[Password]],aoc_02_input[[#This Row],[Char]])</f>
        <v>7</v>
      </c>
      <c r="I610" s="1">
        <f>IF(AND(aoc_02_input[[#This Row],[Int1]]&lt;=aoc_02_input[[#This Row],[CountOfChar]],aoc_02_input[[#This Row],[CountOfChar]]&lt;=aoc_02_input[[#This Row],[Int2]]),1,0)</f>
        <v>0</v>
      </c>
      <c r="J610" s="1" t="str">
        <f>MID(aoc_02_input[[#This Row],[Password]],aoc_02_input[[#This Row],[Int1]],1)</f>
        <v>d</v>
      </c>
      <c r="K610" s="1">
        <f>IF(aoc_02_input[[#This Row],[Pos1]]=aoc_02_input[[#This Row],[Char]],1,0)</f>
        <v>0</v>
      </c>
      <c r="L610" s="1" t="str">
        <f>MID(aoc_02_input[[#This Row],[Password]],aoc_02_input[[#This Row],[Int2]],1)</f>
        <v>x</v>
      </c>
      <c r="M610" s="1">
        <f>IF(aoc_02_input[[#This Row],[Pos2]]=aoc_02_input[[#This Row],[Char]],1,0)</f>
        <v>1</v>
      </c>
      <c r="N610" s="1">
        <f>IF(aoc_02_input[[#This Row],[Pos1Valid]]&lt;&gt;aoc_02_input[[#This Row],[Pos2Valid]],1,0)</f>
        <v>1</v>
      </c>
    </row>
    <row r="611" spans="1:14" x14ac:dyDescent="0.45">
      <c r="A611" s="1" t="s">
        <v>288</v>
      </c>
      <c r="B611" s="1" t="s">
        <v>305</v>
      </c>
      <c r="C611" s="1" t="s">
        <v>969</v>
      </c>
      <c r="D611" s="1">
        <f>FIND("-",aoc_02_input[[#This Row],[InputNumbers]])</f>
        <v>2</v>
      </c>
      <c r="E611" s="1">
        <f>_xlfn.NUMBERVALUE(LEFT(aoc_02_input[[#This Row],[InputNumbers]],aoc_02_input[[#This Row],[PosDash]]-1))</f>
        <v>1</v>
      </c>
      <c r="F611" s="1">
        <f>_xlfn.NUMBERVALUE(MID(aoc_02_input[[#This Row],[InputNumbers]],aoc_02_input[[#This Row],[PosDash]]+1,5))</f>
        <v>4</v>
      </c>
      <c r="G611" s="1" t="str">
        <f>LEFT(aoc_02_input[[#This Row],[InputChar]],1)</f>
        <v>s</v>
      </c>
      <c r="H611" s="1" cm="1">
        <f t="array" ref="H611">CountChar(aoc_02_input[[#This Row],[Password]],aoc_02_input[[#This Row],[Char]])</f>
        <v>3</v>
      </c>
      <c r="I611" s="1">
        <f>IF(AND(aoc_02_input[[#This Row],[Int1]]&lt;=aoc_02_input[[#This Row],[CountOfChar]],aoc_02_input[[#This Row],[CountOfChar]]&lt;=aoc_02_input[[#This Row],[Int2]]),1,0)</f>
        <v>1</v>
      </c>
      <c r="J611" s="1" t="str">
        <f>MID(aoc_02_input[[#This Row],[Password]],aoc_02_input[[#This Row],[Int1]],1)</f>
        <v>f</v>
      </c>
      <c r="K611" s="1">
        <f>IF(aoc_02_input[[#This Row],[Pos1]]=aoc_02_input[[#This Row],[Char]],1,0)</f>
        <v>0</v>
      </c>
      <c r="L611" s="1" t="str">
        <f>MID(aoc_02_input[[#This Row],[Password]],aoc_02_input[[#This Row],[Int2]],1)</f>
        <v>s</v>
      </c>
      <c r="M611" s="1">
        <f>IF(aoc_02_input[[#This Row],[Pos2]]=aoc_02_input[[#This Row],[Char]],1,0)</f>
        <v>1</v>
      </c>
      <c r="N611" s="1">
        <f>IF(aoc_02_input[[#This Row],[Pos1Valid]]&lt;&gt;aoc_02_input[[#This Row],[Pos2Valid]],1,0)</f>
        <v>1</v>
      </c>
    </row>
    <row r="612" spans="1:14" x14ac:dyDescent="0.45">
      <c r="A612" s="1" t="s">
        <v>264</v>
      </c>
      <c r="B612" s="1" t="s">
        <v>235</v>
      </c>
      <c r="C612" s="1" t="s">
        <v>970</v>
      </c>
      <c r="D612" s="1">
        <f>FIND("-",aoc_02_input[[#This Row],[InputNumbers]])</f>
        <v>2</v>
      </c>
      <c r="E612" s="1">
        <f>_xlfn.NUMBERVALUE(LEFT(aoc_02_input[[#This Row],[InputNumbers]],aoc_02_input[[#This Row],[PosDash]]-1))</f>
        <v>9</v>
      </c>
      <c r="F612" s="1">
        <f>_xlfn.NUMBERVALUE(MID(aoc_02_input[[#This Row],[InputNumbers]],aoc_02_input[[#This Row],[PosDash]]+1,5))</f>
        <v>11</v>
      </c>
      <c r="G612" s="1" t="str">
        <f>LEFT(aoc_02_input[[#This Row],[InputChar]],1)</f>
        <v>d</v>
      </c>
      <c r="H612" s="1" cm="1">
        <f t="array" ref="H612">CountChar(aoc_02_input[[#This Row],[Password]],aoc_02_input[[#This Row],[Char]])</f>
        <v>12</v>
      </c>
      <c r="I612" s="1">
        <f>IF(AND(aoc_02_input[[#This Row],[Int1]]&lt;=aoc_02_input[[#This Row],[CountOfChar]],aoc_02_input[[#This Row],[CountOfChar]]&lt;=aoc_02_input[[#This Row],[Int2]]),1,0)</f>
        <v>0</v>
      </c>
      <c r="J612" s="1" t="str">
        <f>MID(aoc_02_input[[#This Row],[Password]],aoc_02_input[[#This Row],[Int1]],1)</f>
        <v>d</v>
      </c>
      <c r="K612" s="1">
        <f>IF(aoc_02_input[[#This Row],[Pos1]]=aoc_02_input[[#This Row],[Char]],1,0)</f>
        <v>1</v>
      </c>
      <c r="L612" s="1" t="str">
        <f>MID(aoc_02_input[[#This Row],[Password]],aoc_02_input[[#This Row],[Int2]],1)</f>
        <v>m</v>
      </c>
      <c r="M612" s="1">
        <f>IF(aoc_02_input[[#This Row],[Pos2]]=aoc_02_input[[#This Row],[Char]],1,0)</f>
        <v>0</v>
      </c>
      <c r="N612" s="1">
        <f>IF(aoc_02_input[[#This Row],[Pos1Valid]]&lt;&gt;aoc_02_input[[#This Row],[Pos2Valid]],1,0)</f>
        <v>1</v>
      </c>
    </row>
    <row r="613" spans="1:14" x14ac:dyDescent="0.45">
      <c r="A613" s="1" t="s">
        <v>309</v>
      </c>
      <c r="B613" s="1" t="s">
        <v>243</v>
      </c>
      <c r="C613" s="1" t="s">
        <v>971</v>
      </c>
      <c r="D613" s="1">
        <f>FIND("-",aoc_02_input[[#This Row],[InputNumbers]])</f>
        <v>2</v>
      </c>
      <c r="E613" s="1">
        <f>_xlfn.NUMBERVALUE(LEFT(aoc_02_input[[#This Row],[InputNumbers]],aoc_02_input[[#This Row],[PosDash]]-1))</f>
        <v>8</v>
      </c>
      <c r="F613" s="1">
        <f>_xlfn.NUMBERVALUE(MID(aoc_02_input[[#This Row],[InputNumbers]],aoc_02_input[[#This Row],[PosDash]]+1,5))</f>
        <v>11</v>
      </c>
      <c r="G613" s="1" t="str">
        <f>LEFT(aoc_02_input[[#This Row],[InputChar]],1)</f>
        <v>f</v>
      </c>
      <c r="H613" s="1" cm="1">
        <f t="array" ref="H613">CountChar(aoc_02_input[[#This Row],[Password]],aoc_02_input[[#This Row],[Char]])</f>
        <v>9</v>
      </c>
      <c r="I613" s="1">
        <f>IF(AND(aoc_02_input[[#This Row],[Int1]]&lt;=aoc_02_input[[#This Row],[CountOfChar]],aoc_02_input[[#This Row],[CountOfChar]]&lt;=aoc_02_input[[#This Row],[Int2]]),1,0)</f>
        <v>1</v>
      </c>
      <c r="J613" s="1" t="str">
        <f>MID(aoc_02_input[[#This Row],[Password]],aoc_02_input[[#This Row],[Int1]],1)</f>
        <v>f</v>
      </c>
      <c r="K613" s="1">
        <f>IF(aoc_02_input[[#This Row],[Pos1]]=aoc_02_input[[#This Row],[Char]],1,0)</f>
        <v>1</v>
      </c>
      <c r="L613" s="1" t="str">
        <f>MID(aoc_02_input[[#This Row],[Password]],aoc_02_input[[#This Row],[Int2]],1)</f>
        <v>f</v>
      </c>
      <c r="M613" s="1">
        <f>IF(aoc_02_input[[#This Row],[Pos2]]=aoc_02_input[[#This Row],[Char]],1,0)</f>
        <v>1</v>
      </c>
      <c r="N613" s="1">
        <f>IF(aoc_02_input[[#This Row],[Pos1Valid]]&lt;&gt;aoc_02_input[[#This Row],[Pos2Valid]],1,0)</f>
        <v>0</v>
      </c>
    </row>
    <row r="614" spans="1:14" x14ac:dyDescent="0.45">
      <c r="A614" s="1" t="s">
        <v>283</v>
      </c>
      <c r="B614" s="1" t="s">
        <v>219</v>
      </c>
      <c r="C614" s="1" t="s">
        <v>972</v>
      </c>
      <c r="D614" s="1">
        <f>FIND("-",aoc_02_input[[#This Row],[InputNumbers]])</f>
        <v>2</v>
      </c>
      <c r="E614" s="1">
        <f>_xlfn.NUMBERVALUE(LEFT(aoc_02_input[[#This Row],[InputNumbers]],aoc_02_input[[#This Row],[PosDash]]-1))</f>
        <v>3</v>
      </c>
      <c r="F614" s="1">
        <f>_xlfn.NUMBERVALUE(MID(aoc_02_input[[#This Row],[InputNumbers]],aoc_02_input[[#This Row],[PosDash]]+1,5))</f>
        <v>4</v>
      </c>
      <c r="G614" s="1" t="str">
        <f>LEFT(aoc_02_input[[#This Row],[InputChar]],1)</f>
        <v>g</v>
      </c>
      <c r="H614" s="1" cm="1">
        <f t="array" ref="H614">CountChar(aoc_02_input[[#This Row],[Password]],aoc_02_input[[#This Row],[Char]])</f>
        <v>3</v>
      </c>
      <c r="I614" s="1">
        <f>IF(AND(aoc_02_input[[#This Row],[Int1]]&lt;=aoc_02_input[[#This Row],[CountOfChar]],aoc_02_input[[#This Row],[CountOfChar]]&lt;=aoc_02_input[[#This Row],[Int2]]),1,0)</f>
        <v>1</v>
      </c>
      <c r="J614" s="1" t="str">
        <f>MID(aoc_02_input[[#This Row],[Password]],aoc_02_input[[#This Row],[Int1]],1)</f>
        <v>g</v>
      </c>
      <c r="K614" s="1">
        <f>IF(aoc_02_input[[#This Row],[Pos1]]=aoc_02_input[[#This Row],[Char]],1,0)</f>
        <v>1</v>
      </c>
      <c r="L614" s="1" t="str">
        <f>MID(aoc_02_input[[#This Row],[Password]],aoc_02_input[[#This Row],[Int2]],1)</f>
        <v>g</v>
      </c>
      <c r="M614" s="1">
        <f>IF(aoc_02_input[[#This Row],[Pos2]]=aoc_02_input[[#This Row],[Char]],1,0)</f>
        <v>1</v>
      </c>
      <c r="N614" s="1">
        <f>IF(aoc_02_input[[#This Row],[Pos1Valid]]&lt;&gt;aoc_02_input[[#This Row],[Pos2Valid]],1,0)</f>
        <v>0</v>
      </c>
    </row>
    <row r="615" spans="1:14" x14ac:dyDescent="0.45">
      <c r="A615" s="1" t="s">
        <v>698</v>
      </c>
      <c r="B615" s="1" t="s">
        <v>219</v>
      </c>
      <c r="C615" s="1" t="s">
        <v>973</v>
      </c>
      <c r="D615" s="1">
        <f>FIND("-",aoc_02_input[[#This Row],[InputNumbers]])</f>
        <v>2</v>
      </c>
      <c r="E615" s="1">
        <f>_xlfn.NUMBERVALUE(LEFT(aoc_02_input[[#This Row],[InputNumbers]],aoc_02_input[[#This Row],[PosDash]]-1))</f>
        <v>5</v>
      </c>
      <c r="F615" s="1">
        <f>_xlfn.NUMBERVALUE(MID(aoc_02_input[[#This Row],[InputNumbers]],aoc_02_input[[#This Row],[PosDash]]+1,5))</f>
        <v>10</v>
      </c>
      <c r="G615" s="1" t="str">
        <f>LEFT(aoc_02_input[[#This Row],[InputChar]],1)</f>
        <v>g</v>
      </c>
      <c r="H615" s="1" cm="1">
        <f t="array" ref="H615">CountChar(aoc_02_input[[#This Row],[Password]],aoc_02_input[[#This Row],[Char]])</f>
        <v>4</v>
      </c>
      <c r="I615" s="1">
        <f>IF(AND(aoc_02_input[[#This Row],[Int1]]&lt;=aoc_02_input[[#This Row],[CountOfChar]],aoc_02_input[[#This Row],[CountOfChar]]&lt;=aoc_02_input[[#This Row],[Int2]]),1,0)</f>
        <v>0</v>
      </c>
      <c r="J615" s="1" t="str">
        <f>MID(aoc_02_input[[#This Row],[Password]],aoc_02_input[[#This Row],[Int1]],1)</f>
        <v>g</v>
      </c>
      <c r="K615" s="1">
        <f>IF(aoc_02_input[[#This Row],[Pos1]]=aoc_02_input[[#This Row],[Char]],1,0)</f>
        <v>1</v>
      </c>
      <c r="L615" s="1" t="str">
        <f>MID(aoc_02_input[[#This Row],[Password]],aoc_02_input[[#This Row],[Int2]],1)</f>
        <v>g</v>
      </c>
      <c r="M615" s="1">
        <f>IF(aoc_02_input[[#This Row],[Pos2]]=aoc_02_input[[#This Row],[Char]],1,0)</f>
        <v>1</v>
      </c>
      <c r="N615" s="1">
        <f>IF(aoc_02_input[[#This Row],[Pos1Valid]]&lt;&gt;aoc_02_input[[#This Row],[Pos2Valid]],1,0)</f>
        <v>0</v>
      </c>
    </row>
    <row r="616" spans="1:14" x14ac:dyDescent="0.45">
      <c r="A616" s="1" t="s">
        <v>489</v>
      </c>
      <c r="B616" s="1" t="s">
        <v>305</v>
      </c>
      <c r="C616" s="1" t="s">
        <v>974</v>
      </c>
      <c r="D616" s="1">
        <f>FIND("-",aoc_02_input[[#This Row],[InputNumbers]])</f>
        <v>2</v>
      </c>
      <c r="E616" s="1">
        <f>_xlfn.NUMBERVALUE(LEFT(aoc_02_input[[#This Row],[InputNumbers]],aoc_02_input[[#This Row],[PosDash]]-1))</f>
        <v>3</v>
      </c>
      <c r="F616" s="1">
        <f>_xlfn.NUMBERVALUE(MID(aoc_02_input[[#This Row],[InputNumbers]],aoc_02_input[[#This Row],[PosDash]]+1,5))</f>
        <v>11</v>
      </c>
      <c r="G616" s="1" t="str">
        <f>LEFT(aoc_02_input[[#This Row],[InputChar]],1)</f>
        <v>s</v>
      </c>
      <c r="H616" s="1" cm="1">
        <f t="array" ref="H616">CountChar(aoc_02_input[[#This Row],[Password]],aoc_02_input[[#This Row],[Char]])</f>
        <v>1</v>
      </c>
      <c r="I616" s="1">
        <f>IF(AND(aoc_02_input[[#This Row],[Int1]]&lt;=aoc_02_input[[#This Row],[CountOfChar]],aoc_02_input[[#This Row],[CountOfChar]]&lt;=aoc_02_input[[#This Row],[Int2]]),1,0)</f>
        <v>0</v>
      </c>
      <c r="J616" s="1" t="str">
        <f>MID(aoc_02_input[[#This Row],[Password]],aoc_02_input[[#This Row],[Int1]],1)</f>
        <v>x</v>
      </c>
      <c r="K616" s="1">
        <f>IF(aoc_02_input[[#This Row],[Pos1]]=aoc_02_input[[#This Row],[Char]],1,0)</f>
        <v>0</v>
      </c>
      <c r="L616" s="1" t="str">
        <f>MID(aoc_02_input[[#This Row],[Password]],aoc_02_input[[#This Row],[Int2]],1)</f>
        <v>l</v>
      </c>
      <c r="M616" s="1">
        <f>IF(aoc_02_input[[#This Row],[Pos2]]=aoc_02_input[[#This Row],[Char]],1,0)</f>
        <v>0</v>
      </c>
      <c r="N616" s="1">
        <f>IF(aoc_02_input[[#This Row],[Pos1Valid]]&lt;&gt;aoc_02_input[[#This Row],[Pos2Valid]],1,0)</f>
        <v>0</v>
      </c>
    </row>
    <row r="617" spans="1:14" x14ac:dyDescent="0.45">
      <c r="A617" s="1" t="s">
        <v>227</v>
      </c>
      <c r="B617" s="1" t="s">
        <v>207</v>
      </c>
      <c r="C617" s="1" t="s">
        <v>975</v>
      </c>
      <c r="D617" s="1">
        <f>FIND("-",aoc_02_input[[#This Row],[InputNumbers]])</f>
        <v>2</v>
      </c>
      <c r="E617" s="1">
        <f>_xlfn.NUMBERVALUE(LEFT(aoc_02_input[[#This Row],[InputNumbers]],aoc_02_input[[#This Row],[PosDash]]-1))</f>
        <v>4</v>
      </c>
      <c r="F617" s="1">
        <f>_xlfn.NUMBERVALUE(MID(aoc_02_input[[#This Row],[InputNumbers]],aoc_02_input[[#This Row],[PosDash]]+1,5))</f>
        <v>5</v>
      </c>
      <c r="G617" s="1" t="str">
        <f>LEFT(aoc_02_input[[#This Row],[InputChar]],1)</f>
        <v>b</v>
      </c>
      <c r="H617" s="1" cm="1">
        <f t="array" ref="H617">CountChar(aoc_02_input[[#This Row],[Password]],aoc_02_input[[#This Row],[Char]])</f>
        <v>2</v>
      </c>
      <c r="I617" s="1">
        <f>IF(AND(aoc_02_input[[#This Row],[Int1]]&lt;=aoc_02_input[[#This Row],[CountOfChar]],aoc_02_input[[#This Row],[CountOfChar]]&lt;=aoc_02_input[[#This Row],[Int2]]),1,0)</f>
        <v>0</v>
      </c>
      <c r="J617" s="1" t="str">
        <f>MID(aoc_02_input[[#This Row],[Password]],aoc_02_input[[#This Row],[Int1]],1)</f>
        <v>t</v>
      </c>
      <c r="K617" s="1">
        <f>IF(aoc_02_input[[#This Row],[Pos1]]=aoc_02_input[[#This Row],[Char]],1,0)</f>
        <v>0</v>
      </c>
      <c r="L617" s="1" t="str">
        <f>MID(aoc_02_input[[#This Row],[Password]],aoc_02_input[[#This Row],[Int2]],1)</f>
        <v>b</v>
      </c>
      <c r="M617" s="1">
        <f>IF(aoc_02_input[[#This Row],[Pos2]]=aoc_02_input[[#This Row],[Char]],1,0)</f>
        <v>1</v>
      </c>
      <c r="N617" s="1">
        <f>IF(aoc_02_input[[#This Row],[Pos1Valid]]&lt;&gt;aoc_02_input[[#This Row],[Pos2Valid]],1,0)</f>
        <v>1</v>
      </c>
    </row>
    <row r="618" spans="1:14" x14ac:dyDescent="0.45">
      <c r="A618" s="1" t="s">
        <v>242</v>
      </c>
      <c r="B618" s="1" t="s">
        <v>314</v>
      </c>
      <c r="C618" s="1" t="s">
        <v>976</v>
      </c>
      <c r="D618" s="1">
        <f>FIND("-",aoc_02_input[[#This Row],[InputNumbers]])</f>
        <v>3</v>
      </c>
      <c r="E618" s="1">
        <f>_xlfn.NUMBERVALUE(LEFT(aoc_02_input[[#This Row],[InputNumbers]],aoc_02_input[[#This Row],[PosDash]]-1))</f>
        <v>10</v>
      </c>
      <c r="F618" s="1">
        <f>_xlfn.NUMBERVALUE(MID(aoc_02_input[[#This Row],[InputNumbers]],aoc_02_input[[#This Row],[PosDash]]+1,5))</f>
        <v>11</v>
      </c>
      <c r="G618" s="1" t="str">
        <f>LEFT(aoc_02_input[[#This Row],[InputChar]],1)</f>
        <v>h</v>
      </c>
      <c r="H618" s="1" cm="1">
        <f t="array" ref="H618">CountChar(aoc_02_input[[#This Row],[Password]],aoc_02_input[[#This Row],[Char]])</f>
        <v>7</v>
      </c>
      <c r="I618" s="1">
        <f>IF(AND(aoc_02_input[[#This Row],[Int1]]&lt;=aoc_02_input[[#This Row],[CountOfChar]],aoc_02_input[[#This Row],[CountOfChar]]&lt;=aoc_02_input[[#This Row],[Int2]]),1,0)</f>
        <v>0</v>
      </c>
      <c r="J618" s="1" t="str">
        <f>MID(aoc_02_input[[#This Row],[Password]],aoc_02_input[[#This Row],[Int1]],1)</f>
        <v>h</v>
      </c>
      <c r="K618" s="1">
        <f>IF(aoc_02_input[[#This Row],[Pos1]]=aoc_02_input[[#This Row],[Char]],1,0)</f>
        <v>1</v>
      </c>
      <c r="L618" s="1" t="str">
        <f>MID(aoc_02_input[[#This Row],[Password]],aoc_02_input[[#This Row],[Int2]],1)</f>
        <v>m</v>
      </c>
      <c r="M618" s="1">
        <f>IF(aoc_02_input[[#This Row],[Pos2]]=aoc_02_input[[#This Row],[Char]],1,0)</f>
        <v>0</v>
      </c>
      <c r="N618" s="1">
        <f>IF(aoc_02_input[[#This Row],[Pos1Valid]]&lt;&gt;aoc_02_input[[#This Row],[Pos2Valid]],1,0)</f>
        <v>1</v>
      </c>
    </row>
    <row r="619" spans="1:14" x14ac:dyDescent="0.45">
      <c r="A619" s="1" t="s">
        <v>339</v>
      </c>
      <c r="B619" s="1" t="s">
        <v>207</v>
      </c>
      <c r="C619" s="1" t="s">
        <v>977</v>
      </c>
      <c r="D619" s="1">
        <f>FIND("-",aoc_02_input[[#This Row],[InputNumbers]])</f>
        <v>2</v>
      </c>
      <c r="E619" s="1">
        <f>_xlfn.NUMBERVALUE(LEFT(aoc_02_input[[#This Row],[InputNumbers]],aoc_02_input[[#This Row],[PosDash]]-1))</f>
        <v>6</v>
      </c>
      <c r="F619" s="1">
        <f>_xlfn.NUMBERVALUE(MID(aoc_02_input[[#This Row],[InputNumbers]],aoc_02_input[[#This Row],[PosDash]]+1,5))</f>
        <v>10</v>
      </c>
      <c r="G619" s="1" t="str">
        <f>LEFT(aoc_02_input[[#This Row],[InputChar]],1)</f>
        <v>b</v>
      </c>
      <c r="H619" s="1" cm="1">
        <f t="array" ref="H619">CountChar(aoc_02_input[[#This Row],[Password]],aoc_02_input[[#This Row],[Char]])</f>
        <v>9</v>
      </c>
      <c r="I619" s="1">
        <f>IF(AND(aoc_02_input[[#This Row],[Int1]]&lt;=aoc_02_input[[#This Row],[CountOfChar]],aoc_02_input[[#This Row],[CountOfChar]]&lt;=aoc_02_input[[#This Row],[Int2]]),1,0)</f>
        <v>1</v>
      </c>
      <c r="J619" s="1" t="str">
        <f>MID(aoc_02_input[[#This Row],[Password]],aoc_02_input[[#This Row],[Int1]],1)</f>
        <v>b</v>
      </c>
      <c r="K619" s="1">
        <f>IF(aoc_02_input[[#This Row],[Pos1]]=aoc_02_input[[#This Row],[Char]],1,0)</f>
        <v>1</v>
      </c>
      <c r="L619" s="1" t="str">
        <f>MID(aoc_02_input[[#This Row],[Password]],aoc_02_input[[#This Row],[Int2]],1)</f>
        <v>q</v>
      </c>
      <c r="M619" s="1">
        <f>IF(aoc_02_input[[#This Row],[Pos2]]=aoc_02_input[[#This Row],[Char]],1,0)</f>
        <v>0</v>
      </c>
      <c r="N619" s="1">
        <f>IF(aoc_02_input[[#This Row],[Pos1Valid]]&lt;&gt;aoc_02_input[[#This Row],[Pos2Valid]],1,0)</f>
        <v>1</v>
      </c>
    </row>
    <row r="620" spans="1:14" x14ac:dyDescent="0.45">
      <c r="A620" s="1" t="s">
        <v>500</v>
      </c>
      <c r="B620" s="1" t="s">
        <v>314</v>
      </c>
      <c r="C620" s="1" t="s">
        <v>978</v>
      </c>
      <c r="D620" s="1">
        <f>FIND("-",aoc_02_input[[#This Row],[InputNumbers]])</f>
        <v>3</v>
      </c>
      <c r="E620" s="1">
        <f>_xlfn.NUMBERVALUE(LEFT(aoc_02_input[[#This Row],[InputNumbers]],aoc_02_input[[#This Row],[PosDash]]-1))</f>
        <v>14</v>
      </c>
      <c r="F620" s="1">
        <f>_xlfn.NUMBERVALUE(MID(aoc_02_input[[#This Row],[InputNumbers]],aoc_02_input[[#This Row],[PosDash]]+1,5))</f>
        <v>17</v>
      </c>
      <c r="G620" s="1" t="str">
        <f>LEFT(aoc_02_input[[#This Row],[InputChar]],1)</f>
        <v>h</v>
      </c>
      <c r="H620" s="1" cm="1">
        <f t="array" ref="H620">CountChar(aoc_02_input[[#This Row],[Password]],aoc_02_input[[#This Row],[Char]])</f>
        <v>12</v>
      </c>
      <c r="I620" s="1">
        <f>IF(AND(aoc_02_input[[#This Row],[Int1]]&lt;=aoc_02_input[[#This Row],[CountOfChar]],aoc_02_input[[#This Row],[CountOfChar]]&lt;=aoc_02_input[[#This Row],[Int2]]),1,0)</f>
        <v>0</v>
      </c>
      <c r="J620" s="1" t="str">
        <f>MID(aoc_02_input[[#This Row],[Password]],aoc_02_input[[#This Row],[Int1]],1)</f>
        <v>h</v>
      </c>
      <c r="K620" s="1">
        <f>IF(aoc_02_input[[#This Row],[Pos1]]=aoc_02_input[[#This Row],[Char]],1,0)</f>
        <v>1</v>
      </c>
      <c r="L620" s="1" t="str">
        <f>MID(aoc_02_input[[#This Row],[Password]],aoc_02_input[[#This Row],[Int2]],1)</f>
        <v>h</v>
      </c>
      <c r="M620" s="1">
        <f>IF(aoc_02_input[[#This Row],[Pos2]]=aoc_02_input[[#This Row],[Char]],1,0)</f>
        <v>1</v>
      </c>
      <c r="N620" s="1">
        <f>IF(aoc_02_input[[#This Row],[Pos1Valid]]&lt;&gt;aoc_02_input[[#This Row],[Pos2Valid]],1,0)</f>
        <v>0</v>
      </c>
    </row>
    <row r="621" spans="1:14" x14ac:dyDescent="0.45">
      <c r="A621" s="1" t="s">
        <v>747</v>
      </c>
      <c r="B621" s="1" t="s">
        <v>314</v>
      </c>
      <c r="C621" s="1" t="s">
        <v>979</v>
      </c>
      <c r="D621" s="1">
        <f>FIND("-",aoc_02_input[[#This Row],[InputNumbers]])</f>
        <v>2</v>
      </c>
      <c r="E621" s="1">
        <f>_xlfn.NUMBERVALUE(LEFT(aoc_02_input[[#This Row],[InputNumbers]],aoc_02_input[[#This Row],[PosDash]]-1))</f>
        <v>5</v>
      </c>
      <c r="F621" s="1">
        <f>_xlfn.NUMBERVALUE(MID(aoc_02_input[[#This Row],[InputNumbers]],aoc_02_input[[#This Row],[PosDash]]+1,5))</f>
        <v>11</v>
      </c>
      <c r="G621" s="1" t="str">
        <f>LEFT(aoc_02_input[[#This Row],[InputChar]],1)</f>
        <v>h</v>
      </c>
      <c r="H621" s="1" cm="1">
        <f t="array" ref="H621">CountChar(aoc_02_input[[#This Row],[Password]],aoc_02_input[[#This Row],[Char]])</f>
        <v>7</v>
      </c>
      <c r="I621" s="1">
        <f>IF(AND(aoc_02_input[[#This Row],[Int1]]&lt;=aoc_02_input[[#This Row],[CountOfChar]],aoc_02_input[[#This Row],[CountOfChar]]&lt;=aoc_02_input[[#This Row],[Int2]]),1,0)</f>
        <v>1</v>
      </c>
      <c r="J621" s="1" t="str">
        <f>MID(aoc_02_input[[#This Row],[Password]],aoc_02_input[[#This Row],[Int1]],1)</f>
        <v>h</v>
      </c>
      <c r="K621" s="1">
        <f>IF(aoc_02_input[[#This Row],[Pos1]]=aoc_02_input[[#This Row],[Char]],1,0)</f>
        <v>1</v>
      </c>
      <c r="L621" s="1" t="str">
        <f>MID(aoc_02_input[[#This Row],[Password]],aoc_02_input[[#This Row],[Int2]],1)</f>
        <v>h</v>
      </c>
      <c r="M621" s="1">
        <f>IF(aoc_02_input[[#This Row],[Pos2]]=aoc_02_input[[#This Row],[Char]],1,0)</f>
        <v>1</v>
      </c>
      <c r="N621" s="1">
        <f>IF(aoc_02_input[[#This Row],[Pos1Valid]]&lt;&gt;aoc_02_input[[#This Row],[Pos2Valid]],1,0)</f>
        <v>0</v>
      </c>
    </row>
    <row r="622" spans="1:14" x14ac:dyDescent="0.45">
      <c r="A622" s="1" t="s">
        <v>953</v>
      </c>
      <c r="B622" s="1" t="s">
        <v>265</v>
      </c>
      <c r="C622" s="1" t="s">
        <v>980</v>
      </c>
      <c r="D622" s="1">
        <f>FIND("-",aoc_02_input[[#This Row],[InputNumbers]])</f>
        <v>2</v>
      </c>
      <c r="E622" s="1">
        <f>_xlfn.NUMBERVALUE(LEFT(aoc_02_input[[#This Row],[InputNumbers]],aoc_02_input[[#This Row],[PosDash]]-1))</f>
        <v>2</v>
      </c>
      <c r="F622" s="1">
        <f>_xlfn.NUMBERVALUE(MID(aoc_02_input[[#This Row],[InputNumbers]],aoc_02_input[[#This Row],[PosDash]]+1,5))</f>
        <v>8</v>
      </c>
      <c r="G622" s="1" t="str">
        <f>LEFT(aoc_02_input[[#This Row],[InputChar]],1)</f>
        <v>r</v>
      </c>
      <c r="H622" s="1" cm="1">
        <f t="array" ref="H622">CountChar(aoc_02_input[[#This Row],[Password]],aoc_02_input[[#This Row],[Char]])</f>
        <v>4</v>
      </c>
      <c r="I622" s="1">
        <f>IF(AND(aoc_02_input[[#This Row],[Int1]]&lt;=aoc_02_input[[#This Row],[CountOfChar]],aoc_02_input[[#This Row],[CountOfChar]]&lt;=aoc_02_input[[#This Row],[Int2]]),1,0)</f>
        <v>1</v>
      </c>
      <c r="J622" s="1" t="str">
        <f>MID(aoc_02_input[[#This Row],[Password]],aoc_02_input[[#This Row],[Int1]],1)</f>
        <v>r</v>
      </c>
      <c r="K622" s="1">
        <f>IF(aoc_02_input[[#This Row],[Pos1]]=aoc_02_input[[#This Row],[Char]],1,0)</f>
        <v>1</v>
      </c>
      <c r="L622" s="1" t="str">
        <f>MID(aoc_02_input[[#This Row],[Password]],aoc_02_input[[#This Row],[Int2]],1)</f>
        <v>s</v>
      </c>
      <c r="M622" s="1">
        <f>IF(aoc_02_input[[#This Row],[Pos2]]=aoc_02_input[[#This Row],[Char]],1,0)</f>
        <v>0</v>
      </c>
      <c r="N622" s="1">
        <f>IF(aoc_02_input[[#This Row],[Pos1Valid]]&lt;&gt;aoc_02_input[[#This Row],[Pos2Valid]],1,0)</f>
        <v>1</v>
      </c>
    </row>
    <row r="623" spans="1:14" x14ac:dyDescent="0.45">
      <c r="A623" s="1" t="s">
        <v>458</v>
      </c>
      <c r="B623" s="1" t="s">
        <v>246</v>
      </c>
      <c r="C623" s="1" t="s">
        <v>981</v>
      </c>
      <c r="D623" s="1">
        <f>FIND("-",aoc_02_input[[#This Row],[InputNumbers]])</f>
        <v>2</v>
      </c>
      <c r="E623" s="1">
        <f>_xlfn.NUMBERVALUE(LEFT(aoc_02_input[[#This Row],[InputNumbers]],aoc_02_input[[#This Row],[PosDash]]-1))</f>
        <v>9</v>
      </c>
      <c r="F623" s="1">
        <f>_xlfn.NUMBERVALUE(MID(aoc_02_input[[#This Row],[InputNumbers]],aoc_02_input[[#This Row],[PosDash]]+1,5))</f>
        <v>12</v>
      </c>
      <c r="G623" s="1" t="str">
        <f>LEFT(aoc_02_input[[#This Row],[InputChar]],1)</f>
        <v>n</v>
      </c>
      <c r="H623" s="1" cm="1">
        <f t="array" ref="H623">CountChar(aoc_02_input[[#This Row],[Password]],aoc_02_input[[#This Row],[Char]])</f>
        <v>10</v>
      </c>
      <c r="I623" s="1">
        <f>IF(AND(aoc_02_input[[#This Row],[Int1]]&lt;=aoc_02_input[[#This Row],[CountOfChar]],aoc_02_input[[#This Row],[CountOfChar]]&lt;=aoc_02_input[[#This Row],[Int2]]),1,0)</f>
        <v>1</v>
      </c>
      <c r="J623" s="1" t="str">
        <f>MID(aoc_02_input[[#This Row],[Password]],aoc_02_input[[#This Row],[Int1]],1)</f>
        <v>d</v>
      </c>
      <c r="K623" s="1">
        <f>IF(aoc_02_input[[#This Row],[Pos1]]=aoc_02_input[[#This Row],[Char]],1,0)</f>
        <v>0</v>
      </c>
      <c r="L623" s="1" t="str">
        <f>MID(aoc_02_input[[#This Row],[Password]],aoc_02_input[[#This Row],[Int2]],1)</f>
        <v>x</v>
      </c>
      <c r="M623" s="1">
        <f>IF(aoc_02_input[[#This Row],[Pos2]]=aoc_02_input[[#This Row],[Char]],1,0)</f>
        <v>0</v>
      </c>
      <c r="N623" s="1">
        <f>IF(aoc_02_input[[#This Row],[Pos1Valid]]&lt;&gt;aoc_02_input[[#This Row],[Pos2Valid]],1,0)</f>
        <v>0</v>
      </c>
    </row>
    <row r="624" spans="1:14" x14ac:dyDescent="0.45">
      <c r="A624" s="1" t="s">
        <v>708</v>
      </c>
      <c r="B624" s="1" t="s">
        <v>219</v>
      </c>
      <c r="C624" s="1" t="s">
        <v>982</v>
      </c>
      <c r="D624" s="1">
        <f>FIND("-",aoc_02_input[[#This Row],[InputNumbers]])</f>
        <v>2</v>
      </c>
      <c r="E624" s="1">
        <f>_xlfn.NUMBERVALUE(LEFT(aoc_02_input[[#This Row],[InputNumbers]],aoc_02_input[[#This Row],[PosDash]]-1))</f>
        <v>6</v>
      </c>
      <c r="F624" s="1">
        <f>_xlfn.NUMBERVALUE(MID(aoc_02_input[[#This Row],[InputNumbers]],aoc_02_input[[#This Row],[PosDash]]+1,5))</f>
        <v>13</v>
      </c>
      <c r="G624" s="1" t="str">
        <f>LEFT(aoc_02_input[[#This Row],[InputChar]],1)</f>
        <v>g</v>
      </c>
      <c r="H624" s="1" cm="1">
        <f t="array" ref="H624">CountChar(aoc_02_input[[#This Row],[Password]],aoc_02_input[[#This Row],[Char]])</f>
        <v>8</v>
      </c>
      <c r="I624" s="1">
        <f>IF(AND(aoc_02_input[[#This Row],[Int1]]&lt;=aoc_02_input[[#This Row],[CountOfChar]],aoc_02_input[[#This Row],[CountOfChar]]&lt;=aoc_02_input[[#This Row],[Int2]]),1,0)</f>
        <v>1</v>
      </c>
      <c r="J624" s="1" t="str">
        <f>MID(aoc_02_input[[#This Row],[Password]],aoc_02_input[[#This Row],[Int1]],1)</f>
        <v>g</v>
      </c>
      <c r="K624" s="1">
        <f>IF(aoc_02_input[[#This Row],[Pos1]]=aoc_02_input[[#This Row],[Char]],1,0)</f>
        <v>1</v>
      </c>
      <c r="L624" s="1" t="str">
        <f>MID(aoc_02_input[[#This Row],[Password]],aoc_02_input[[#This Row],[Int2]],1)</f>
        <v>g</v>
      </c>
      <c r="M624" s="1">
        <f>IF(aoc_02_input[[#This Row],[Pos2]]=aoc_02_input[[#This Row],[Char]],1,0)</f>
        <v>1</v>
      </c>
      <c r="N624" s="1">
        <f>IF(aoc_02_input[[#This Row],[Pos1Valid]]&lt;&gt;aoc_02_input[[#This Row],[Pos2Valid]],1,0)</f>
        <v>0</v>
      </c>
    </row>
    <row r="625" spans="1:14" x14ac:dyDescent="0.45">
      <c r="A625" s="1" t="s">
        <v>324</v>
      </c>
      <c r="B625" s="1" t="s">
        <v>225</v>
      </c>
      <c r="C625" s="1" t="s">
        <v>983</v>
      </c>
      <c r="D625" s="1">
        <f>FIND("-",aoc_02_input[[#This Row],[InputNumbers]])</f>
        <v>2</v>
      </c>
      <c r="E625" s="1">
        <f>_xlfn.NUMBERVALUE(LEFT(aoc_02_input[[#This Row],[InputNumbers]],aoc_02_input[[#This Row],[PosDash]]-1))</f>
        <v>1</v>
      </c>
      <c r="F625" s="1">
        <f>_xlfn.NUMBERVALUE(MID(aoc_02_input[[#This Row],[InputNumbers]],aoc_02_input[[#This Row],[PosDash]]+1,5))</f>
        <v>3</v>
      </c>
      <c r="G625" s="1" t="str">
        <f>LEFT(aoc_02_input[[#This Row],[InputChar]],1)</f>
        <v>j</v>
      </c>
      <c r="H625" s="1" cm="1">
        <f t="array" ref="H625">CountChar(aoc_02_input[[#This Row],[Password]],aoc_02_input[[#This Row],[Char]])</f>
        <v>3</v>
      </c>
      <c r="I625" s="1">
        <f>IF(AND(aoc_02_input[[#This Row],[Int1]]&lt;=aoc_02_input[[#This Row],[CountOfChar]],aoc_02_input[[#This Row],[CountOfChar]]&lt;=aoc_02_input[[#This Row],[Int2]]),1,0)</f>
        <v>1</v>
      </c>
      <c r="J625" s="1" t="str">
        <f>MID(aoc_02_input[[#This Row],[Password]],aoc_02_input[[#This Row],[Int1]],1)</f>
        <v>j</v>
      </c>
      <c r="K625" s="1">
        <f>IF(aoc_02_input[[#This Row],[Pos1]]=aoc_02_input[[#This Row],[Char]],1,0)</f>
        <v>1</v>
      </c>
      <c r="L625" s="1" t="str">
        <f>MID(aoc_02_input[[#This Row],[Password]],aoc_02_input[[#This Row],[Int2]],1)</f>
        <v>l</v>
      </c>
      <c r="M625" s="1">
        <f>IF(aoc_02_input[[#This Row],[Pos2]]=aoc_02_input[[#This Row],[Char]],1,0)</f>
        <v>0</v>
      </c>
      <c r="N625" s="1">
        <f>IF(aoc_02_input[[#This Row],[Pos1Valid]]&lt;&gt;aoc_02_input[[#This Row],[Pos2Valid]],1,0)</f>
        <v>1</v>
      </c>
    </row>
    <row r="626" spans="1:14" x14ac:dyDescent="0.45">
      <c r="A626" s="1" t="s">
        <v>394</v>
      </c>
      <c r="B626" s="1" t="s">
        <v>228</v>
      </c>
      <c r="C626" s="1" t="s">
        <v>984</v>
      </c>
      <c r="D626" s="1">
        <f>FIND("-",aoc_02_input[[#This Row],[InputNumbers]])</f>
        <v>2</v>
      </c>
      <c r="E626" s="1">
        <f>_xlfn.NUMBERVALUE(LEFT(aoc_02_input[[#This Row],[InputNumbers]],aoc_02_input[[#This Row],[PosDash]]-1))</f>
        <v>4</v>
      </c>
      <c r="F626" s="1">
        <f>_xlfn.NUMBERVALUE(MID(aoc_02_input[[#This Row],[InputNumbers]],aoc_02_input[[#This Row],[PosDash]]+1,5))</f>
        <v>7</v>
      </c>
      <c r="G626" s="1" t="str">
        <f>LEFT(aoc_02_input[[#This Row],[InputChar]],1)</f>
        <v>t</v>
      </c>
      <c r="H626" s="1" cm="1">
        <f t="array" ref="H626">CountChar(aoc_02_input[[#This Row],[Password]],aoc_02_input[[#This Row],[Char]])</f>
        <v>7</v>
      </c>
      <c r="I626" s="1">
        <f>IF(AND(aoc_02_input[[#This Row],[Int1]]&lt;=aoc_02_input[[#This Row],[CountOfChar]],aoc_02_input[[#This Row],[CountOfChar]]&lt;=aoc_02_input[[#This Row],[Int2]]),1,0)</f>
        <v>1</v>
      </c>
      <c r="J626" s="1" t="str">
        <f>MID(aoc_02_input[[#This Row],[Password]],aoc_02_input[[#This Row],[Int1]],1)</f>
        <v>x</v>
      </c>
      <c r="K626" s="1">
        <f>IF(aoc_02_input[[#This Row],[Pos1]]=aoc_02_input[[#This Row],[Char]],1,0)</f>
        <v>0</v>
      </c>
      <c r="L626" s="1" t="str">
        <f>MID(aoc_02_input[[#This Row],[Password]],aoc_02_input[[#This Row],[Int2]],1)</f>
        <v>t</v>
      </c>
      <c r="M626" s="1">
        <f>IF(aoc_02_input[[#This Row],[Pos2]]=aoc_02_input[[#This Row],[Char]],1,0)</f>
        <v>1</v>
      </c>
      <c r="N626" s="1">
        <f>IF(aoc_02_input[[#This Row],[Pos1Valid]]&lt;&gt;aoc_02_input[[#This Row],[Pos2Valid]],1,0)</f>
        <v>1</v>
      </c>
    </row>
    <row r="627" spans="1:14" x14ac:dyDescent="0.45">
      <c r="A627" s="1" t="s">
        <v>985</v>
      </c>
      <c r="B627" s="1" t="s">
        <v>228</v>
      </c>
      <c r="C627" s="1" t="s">
        <v>986</v>
      </c>
      <c r="D627" s="1">
        <f>FIND("-",aoc_02_input[[#This Row],[InputNumbers]])</f>
        <v>2</v>
      </c>
      <c r="E627" s="1">
        <f>_xlfn.NUMBERVALUE(LEFT(aoc_02_input[[#This Row],[InputNumbers]],aoc_02_input[[#This Row],[PosDash]]-1))</f>
        <v>4</v>
      </c>
      <c r="F627" s="1">
        <f>_xlfn.NUMBERVALUE(MID(aoc_02_input[[#This Row],[InputNumbers]],aoc_02_input[[#This Row],[PosDash]]+1,5))</f>
        <v>19</v>
      </c>
      <c r="G627" s="1" t="str">
        <f>LEFT(aoc_02_input[[#This Row],[InputChar]],1)</f>
        <v>t</v>
      </c>
      <c r="H627" s="1" cm="1">
        <f t="array" ref="H627">CountChar(aoc_02_input[[#This Row],[Password]],aoc_02_input[[#This Row],[Char]])</f>
        <v>0</v>
      </c>
      <c r="I627" s="1">
        <f>IF(AND(aoc_02_input[[#This Row],[Int1]]&lt;=aoc_02_input[[#This Row],[CountOfChar]],aoc_02_input[[#This Row],[CountOfChar]]&lt;=aoc_02_input[[#This Row],[Int2]]),1,0)</f>
        <v>0</v>
      </c>
      <c r="J627" s="1" t="str">
        <f>MID(aoc_02_input[[#This Row],[Password]],aoc_02_input[[#This Row],[Int1]],1)</f>
        <v>b</v>
      </c>
      <c r="K627" s="1">
        <f>IF(aoc_02_input[[#This Row],[Pos1]]=aoc_02_input[[#This Row],[Char]],1,0)</f>
        <v>0</v>
      </c>
      <c r="L627" s="1" t="str">
        <f>MID(aoc_02_input[[#This Row],[Password]],aoc_02_input[[#This Row],[Int2]],1)</f>
        <v>k</v>
      </c>
      <c r="M627" s="1">
        <f>IF(aoc_02_input[[#This Row],[Pos2]]=aoc_02_input[[#This Row],[Char]],1,0)</f>
        <v>0</v>
      </c>
      <c r="N627" s="1">
        <f>IF(aoc_02_input[[#This Row],[Pos1Valid]]&lt;&gt;aoc_02_input[[#This Row],[Pos2Valid]],1,0)</f>
        <v>0</v>
      </c>
    </row>
    <row r="628" spans="1:14" x14ac:dyDescent="0.45">
      <c r="A628" s="1" t="s">
        <v>660</v>
      </c>
      <c r="B628" s="1" t="s">
        <v>246</v>
      </c>
      <c r="C628" s="1" t="s">
        <v>987</v>
      </c>
      <c r="D628" s="1">
        <f>FIND("-",aoc_02_input[[#This Row],[InputNumbers]])</f>
        <v>2</v>
      </c>
      <c r="E628" s="1">
        <f>_xlfn.NUMBERVALUE(LEFT(aoc_02_input[[#This Row],[InputNumbers]],aoc_02_input[[#This Row],[PosDash]]-1))</f>
        <v>4</v>
      </c>
      <c r="F628" s="1">
        <f>_xlfn.NUMBERVALUE(MID(aoc_02_input[[#This Row],[InputNumbers]],aoc_02_input[[#This Row],[PosDash]]+1,5))</f>
        <v>12</v>
      </c>
      <c r="G628" s="1" t="str">
        <f>LEFT(aoc_02_input[[#This Row],[InputChar]],1)</f>
        <v>n</v>
      </c>
      <c r="H628" s="1" cm="1">
        <f t="array" ref="H628">CountChar(aoc_02_input[[#This Row],[Password]],aoc_02_input[[#This Row],[Char]])</f>
        <v>11</v>
      </c>
      <c r="I628" s="1">
        <f>IF(AND(aoc_02_input[[#This Row],[Int1]]&lt;=aoc_02_input[[#This Row],[CountOfChar]],aoc_02_input[[#This Row],[CountOfChar]]&lt;=aoc_02_input[[#This Row],[Int2]]),1,0)</f>
        <v>1</v>
      </c>
      <c r="J628" s="1" t="str">
        <f>MID(aoc_02_input[[#This Row],[Password]],aoc_02_input[[#This Row],[Int1]],1)</f>
        <v>n</v>
      </c>
      <c r="K628" s="1">
        <f>IF(aoc_02_input[[#This Row],[Pos1]]=aoc_02_input[[#This Row],[Char]],1,0)</f>
        <v>1</v>
      </c>
      <c r="L628" s="1" t="str">
        <f>MID(aoc_02_input[[#This Row],[Password]],aoc_02_input[[#This Row],[Int2]],1)</f>
        <v>n</v>
      </c>
      <c r="M628" s="1">
        <f>IF(aoc_02_input[[#This Row],[Pos2]]=aoc_02_input[[#This Row],[Char]],1,0)</f>
        <v>1</v>
      </c>
      <c r="N628" s="1">
        <f>IF(aoc_02_input[[#This Row],[Pos1Valid]]&lt;&gt;aoc_02_input[[#This Row],[Pos2Valid]],1,0)</f>
        <v>0</v>
      </c>
    </row>
    <row r="629" spans="1:14" x14ac:dyDescent="0.45">
      <c r="A629" s="1" t="s">
        <v>337</v>
      </c>
      <c r="B629" s="1" t="s">
        <v>213</v>
      </c>
      <c r="C629" s="1" t="s">
        <v>988</v>
      </c>
      <c r="D629" s="1">
        <f>FIND("-",aoc_02_input[[#This Row],[InputNumbers]])</f>
        <v>3</v>
      </c>
      <c r="E629" s="1">
        <f>_xlfn.NUMBERVALUE(LEFT(aoc_02_input[[#This Row],[InputNumbers]],aoc_02_input[[#This Row],[PosDash]]-1))</f>
        <v>10</v>
      </c>
      <c r="F629" s="1">
        <f>_xlfn.NUMBERVALUE(MID(aoc_02_input[[#This Row],[InputNumbers]],aoc_02_input[[#This Row],[PosDash]]+1,5))</f>
        <v>13</v>
      </c>
      <c r="G629" s="1" t="str">
        <f>LEFT(aoc_02_input[[#This Row],[InputChar]],1)</f>
        <v>m</v>
      </c>
      <c r="H629" s="1" cm="1">
        <f t="array" ref="H629">CountChar(aoc_02_input[[#This Row],[Password]],aoc_02_input[[#This Row],[Char]])</f>
        <v>15</v>
      </c>
      <c r="I629" s="1">
        <f>IF(AND(aoc_02_input[[#This Row],[Int1]]&lt;=aoc_02_input[[#This Row],[CountOfChar]],aoc_02_input[[#This Row],[CountOfChar]]&lt;=aoc_02_input[[#This Row],[Int2]]),1,0)</f>
        <v>0</v>
      </c>
      <c r="J629" s="1" t="str">
        <f>MID(aoc_02_input[[#This Row],[Password]],aoc_02_input[[#This Row],[Int1]],1)</f>
        <v>m</v>
      </c>
      <c r="K629" s="1">
        <f>IF(aoc_02_input[[#This Row],[Pos1]]=aoc_02_input[[#This Row],[Char]],1,0)</f>
        <v>1</v>
      </c>
      <c r="L629" s="1" t="str">
        <f>MID(aoc_02_input[[#This Row],[Password]],aoc_02_input[[#This Row],[Int2]],1)</f>
        <v>m</v>
      </c>
      <c r="M629" s="1">
        <f>IF(aoc_02_input[[#This Row],[Pos2]]=aoc_02_input[[#This Row],[Char]],1,0)</f>
        <v>1</v>
      </c>
      <c r="N629" s="1">
        <f>IF(aoc_02_input[[#This Row],[Pos1Valid]]&lt;&gt;aoc_02_input[[#This Row],[Pos2Valid]],1,0)</f>
        <v>0</v>
      </c>
    </row>
    <row r="630" spans="1:14" x14ac:dyDescent="0.45">
      <c r="A630" s="1" t="s">
        <v>324</v>
      </c>
      <c r="B630" s="1" t="s">
        <v>228</v>
      </c>
      <c r="C630" s="1" t="s">
        <v>989</v>
      </c>
      <c r="D630" s="1">
        <f>FIND("-",aoc_02_input[[#This Row],[InputNumbers]])</f>
        <v>2</v>
      </c>
      <c r="E630" s="1">
        <f>_xlfn.NUMBERVALUE(LEFT(aoc_02_input[[#This Row],[InputNumbers]],aoc_02_input[[#This Row],[PosDash]]-1))</f>
        <v>1</v>
      </c>
      <c r="F630" s="1">
        <f>_xlfn.NUMBERVALUE(MID(aoc_02_input[[#This Row],[InputNumbers]],aoc_02_input[[#This Row],[PosDash]]+1,5))</f>
        <v>3</v>
      </c>
      <c r="G630" s="1" t="str">
        <f>LEFT(aoc_02_input[[#This Row],[InputChar]],1)</f>
        <v>t</v>
      </c>
      <c r="H630" s="1" cm="1">
        <f t="array" ref="H630">CountChar(aoc_02_input[[#This Row],[Password]],aoc_02_input[[#This Row],[Char]])</f>
        <v>3</v>
      </c>
      <c r="I630" s="1">
        <f>IF(AND(aoc_02_input[[#This Row],[Int1]]&lt;=aoc_02_input[[#This Row],[CountOfChar]],aoc_02_input[[#This Row],[CountOfChar]]&lt;=aoc_02_input[[#This Row],[Int2]]),1,0)</f>
        <v>1</v>
      </c>
      <c r="J630" s="1" t="str">
        <f>MID(aoc_02_input[[#This Row],[Password]],aoc_02_input[[#This Row],[Int1]],1)</f>
        <v>k</v>
      </c>
      <c r="K630" s="1">
        <f>IF(aoc_02_input[[#This Row],[Pos1]]=aoc_02_input[[#This Row],[Char]],1,0)</f>
        <v>0</v>
      </c>
      <c r="L630" s="1" t="str">
        <f>MID(aoc_02_input[[#This Row],[Password]],aoc_02_input[[#This Row],[Int2]],1)</f>
        <v>m</v>
      </c>
      <c r="M630" s="1">
        <f>IF(aoc_02_input[[#This Row],[Pos2]]=aoc_02_input[[#This Row],[Char]],1,0)</f>
        <v>0</v>
      </c>
      <c r="N630" s="1">
        <f>IF(aoc_02_input[[#This Row],[Pos1Valid]]&lt;&gt;aoc_02_input[[#This Row],[Pos2Valid]],1,0)</f>
        <v>0</v>
      </c>
    </row>
    <row r="631" spans="1:14" x14ac:dyDescent="0.45">
      <c r="A631" s="1" t="s">
        <v>277</v>
      </c>
      <c r="B631" s="1" t="s">
        <v>249</v>
      </c>
      <c r="C631" s="1" t="s">
        <v>990</v>
      </c>
      <c r="D631" s="1">
        <f>FIND("-",aoc_02_input[[#This Row],[InputNumbers]])</f>
        <v>2</v>
      </c>
      <c r="E631" s="1">
        <f>_xlfn.NUMBERVALUE(LEFT(aoc_02_input[[#This Row],[InputNumbers]],aoc_02_input[[#This Row],[PosDash]]-1))</f>
        <v>7</v>
      </c>
      <c r="F631" s="1">
        <f>_xlfn.NUMBERVALUE(MID(aoc_02_input[[#This Row],[InputNumbers]],aoc_02_input[[#This Row],[PosDash]]+1,5))</f>
        <v>12</v>
      </c>
      <c r="G631" s="1" t="str">
        <f>LEFT(aoc_02_input[[#This Row],[InputChar]],1)</f>
        <v>q</v>
      </c>
      <c r="H631" s="1" cm="1">
        <f t="array" ref="H631">CountChar(aoc_02_input[[#This Row],[Password]],aoc_02_input[[#This Row],[Char]])</f>
        <v>8</v>
      </c>
      <c r="I631" s="1">
        <f>IF(AND(aoc_02_input[[#This Row],[Int1]]&lt;=aoc_02_input[[#This Row],[CountOfChar]],aoc_02_input[[#This Row],[CountOfChar]]&lt;=aoc_02_input[[#This Row],[Int2]]),1,0)</f>
        <v>1</v>
      </c>
      <c r="J631" s="1" t="str">
        <f>MID(aoc_02_input[[#This Row],[Password]],aoc_02_input[[#This Row],[Int1]],1)</f>
        <v>q</v>
      </c>
      <c r="K631" s="1">
        <f>IF(aoc_02_input[[#This Row],[Pos1]]=aoc_02_input[[#This Row],[Char]],1,0)</f>
        <v>1</v>
      </c>
      <c r="L631" s="1" t="str">
        <f>MID(aoc_02_input[[#This Row],[Password]],aoc_02_input[[#This Row],[Int2]],1)</f>
        <v>f</v>
      </c>
      <c r="M631" s="1">
        <f>IF(aoc_02_input[[#This Row],[Pos2]]=aoc_02_input[[#This Row],[Char]],1,0)</f>
        <v>0</v>
      </c>
      <c r="N631" s="1">
        <f>IF(aoc_02_input[[#This Row],[Pos1Valid]]&lt;&gt;aoc_02_input[[#This Row],[Pos2Valid]],1,0)</f>
        <v>1</v>
      </c>
    </row>
    <row r="632" spans="1:14" x14ac:dyDescent="0.45">
      <c r="A632" s="1" t="s">
        <v>365</v>
      </c>
      <c r="B632" s="1" t="s">
        <v>265</v>
      </c>
      <c r="C632" s="1" t="s">
        <v>991</v>
      </c>
      <c r="D632" s="1">
        <f>FIND("-",aoc_02_input[[#This Row],[InputNumbers]])</f>
        <v>2</v>
      </c>
      <c r="E632" s="1">
        <f>_xlfn.NUMBERVALUE(LEFT(aoc_02_input[[#This Row],[InputNumbers]],aoc_02_input[[#This Row],[PosDash]]-1))</f>
        <v>6</v>
      </c>
      <c r="F632" s="1">
        <f>_xlfn.NUMBERVALUE(MID(aoc_02_input[[#This Row],[InputNumbers]],aoc_02_input[[#This Row],[PosDash]]+1,5))</f>
        <v>9</v>
      </c>
      <c r="G632" s="1" t="str">
        <f>LEFT(aoc_02_input[[#This Row],[InputChar]],1)</f>
        <v>r</v>
      </c>
      <c r="H632" s="1" cm="1">
        <f t="array" ref="H632">CountChar(aoc_02_input[[#This Row],[Password]],aoc_02_input[[#This Row],[Char]])</f>
        <v>5</v>
      </c>
      <c r="I632" s="1">
        <f>IF(AND(aoc_02_input[[#This Row],[Int1]]&lt;=aoc_02_input[[#This Row],[CountOfChar]],aoc_02_input[[#This Row],[CountOfChar]]&lt;=aoc_02_input[[#This Row],[Int2]]),1,0)</f>
        <v>0</v>
      </c>
      <c r="J632" s="1" t="str">
        <f>MID(aoc_02_input[[#This Row],[Password]],aoc_02_input[[#This Row],[Int1]],1)</f>
        <v>j</v>
      </c>
      <c r="K632" s="1">
        <f>IF(aoc_02_input[[#This Row],[Pos1]]=aoc_02_input[[#This Row],[Char]],1,0)</f>
        <v>0</v>
      </c>
      <c r="L632" s="1" t="str">
        <f>MID(aoc_02_input[[#This Row],[Password]],aoc_02_input[[#This Row],[Int2]],1)</f>
        <v>p</v>
      </c>
      <c r="M632" s="1">
        <f>IF(aoc_02_input[[#This Row],[Pos2]]=aoc_02_input[[#This Row],[Char]],1,0)</f>
        <v>0</v>
      </c>
      <c r="N632" s="1">
        <f>IF(aoc_02_input[[#This Row],[Pos1Valid]]&lt;&gt;aoc_02_input[[#This Row],[Pos2Valid]],1,0)</f>
        <v>0</v>
      </c>
    </row>
    <row r="633" spans="1:14" x14ac:dyDescent="0.45">
      <c r="A633" s="1" t="s">
        <v>494</v>
      </c>
      <c r="B633" s="1" t="s">
        <v>305</v>
      </c>
      <c r="C633" s="1" t="s">
        <v>992</v>
      </c>
      <c r="D633" s="1">
        <f>FIND("-",aoc_02_input[[#This Row],[InputNumbers]])</f>
        <v>2</v>
      </c>
      <c r="E633" s="1">
        <f>_xlfn.NUMBERVALUE(LEFT(aoc_02_input[[#This Row],[InputNumbers]],aoc_02_input[[#This Row],[PosDash]]-1))</f>
        <v>7</v>
      </c>
      <c r="F633" s="1">
        <f>_xlfn.NUMBERVALUE(MID(aoc_02_input[[#This Row],[InputNumbers]],aoc_02_input[[#This Row],[PosDash]]+1,5))</f>
        <v>10</v>
      </c>
      <c r="G633" s="1" t="str">
        <f>LEFT(aoc_02_input[[#This Row],[InputChar]],1)</f>
        <v>s</v>
      </c>
      <c r="H633" s="1" cm="1">
        <f t="array" ref="H633">CountChar(aoc_02_input[[#This Row],[Password]],aoc_02_input[[#This Row],[Char]])</f>
        <v>9</v>
      </c>
      <c r="I633" s="1">
        <f>IF(AND(aoc_02_input[[#This Row],[Int1]]&lt;=aoc_02_input[[#This Row],[CountOfChar]],aoc_02_input[[#This Row],[CountOfChar]]&lt;=aoc_02_input[[#This Row],[Int2]]),1,0)</f>
        <v>1</v>
      </c>
      <c r="J633" s="1" t="str">
        <f>MID(aoc_02_input[[#This Row],[Password]],aoc_02_input[[#This Row],[Int1]],1)</f>
        <v>f</v>
      </c>
      <c r="K633" s="1">
        <f>IF(aoc_02_input[[#This Row],[Pos1]]=aoc_02_input[[#This Row],[Char]],1,0)</f>
        <v>0</v>
      </c>
      <c r="L633" s="1" t="str">
        <f>MID(aoc_02_input[[#This Row],[Password]],aoc_02_input[[#This Row],[Int2]],1)</f>
        <v>g</v>
      </c>
      <c r="M633" s="1">
        <f>IF(aoc_02_input[[#This Row],[Pos2]]=aoc_02_input[[#This Row],[Char]],1,0)</f>
        <v>0</v>
      </c>
      <c r="N633" s="1">
        <f>IF(aoc_02_input[[#This Row],[Pos1Valid]]&lt;&gt;aoc_02_input[[#This Row],[Pos2Valid]],1,0)</f>
        <v>0</v>
      </c>
    </row>
    <row r="634" spans="1:14" x14ac:dyDescent="0.45">
      <c r="A634" s="1" t="s">
        <v>269</v>
      </c>
      <c r="B634" s="1" t="s">
        <v>228</v>
      </c>
      <c r="C634" s="1" t="s">
        <v>993</v>
      </c>
      <c r="D634" s="1">
        <f>FIND("-",aoc_02_input[[#This Row],[InputNumbers]])</f>
        <v>2</v>
      </c>
      <c r="E634" s="1">
        <f>_xlfn.NUMBERVALUE(LEFT(aoc_02_input[[#This Row],[InputNumbers]],aoc_02_input[[#This Row],[PosDash]]-1))</f>
        <v>4</v>
      </c>
      <c r="F634" s="1">
        <f>_xlfn.NUMBERVALUE(MID(aoc_02_input[[#This Row],[InputNumbers]],aoc_02_input[[#This Row],[PosDash]]+1,5))</f>
        <v>9</v>
      </c>
      <c r="G634" s="1" t="str">
        <f>LEFT(aoc_02_input[[#This Row],[InputChar]],1)</f>
        <v>t</v>
      </c>
      <c r="H634" s="1" cm="1">
        <f t="array" ref="H634">CountChar(aoc_02_input[[#This Row],[Password]],aoc_02_input[[#This Row],[Char]])</f>
        <v>3</v>
      </c>
      <c r="I634" s="1">
        <f>IF(AND(aoc_02_input[[#This Row],[Int1]]&lt;=aoc_02_input[[#This Row],[CountOfChar]],aoc_02_input[[#This Row],[CountOfChar]]&lt;=aoc_02_input[[#This Row],[Int2]]),1,0)</f>
        <v>0</v>
      </c>
      <c r="J634" s="1" t="str">
        <f>MID(aoc_02_input[[#This Row],[Password]],aoc_02_input[[#This Row],[Int1]],1)</f>
        <v>t</v>
      </c>
      <c r="K634" s="1">
        <f>IF(aoc_02_input[[#This Row],[Pos1]]=aoc_02_input[[#This Row],[Char]],1,0)</f>
        <v>1</v>
      </c>
      <c r="L634" s="1" t="str">
        <f>MID(aoc_02_input[[#This Row],[Password]],aoc_02_input[[#This Row],[Int2]],1)</f>
        <v>t</v>
      </c>
      <c r="M634" s="1">
        <f>IF(aoc_02_input[[#This Row],[Pos2]]=aoc_02_input[[#This Row],[Char]],1,0)</f>
        <v>1</v>
      </c>
      <c r="N634" s="1">
        <f>IF(aoc_02_input[[#This Row],[Pos1Valid]]&lt;&gt;aoc_02_input[[#This Row],[Pos2Valid]],1,0)</f>
        <v>0</v>
      </c>
    </row>
    <row r="635" spans="1:14" x14ac:dyDescent="0.45">
      <c r="A635" s="1" t="s">
        <v>240</v>
      </c>
      <c r="B635" s="1" t="s">
        <v>216</v>
      </c>
      <c r="C635" s="1" t="s">
        <v>994</v>
      </c>
      <c r="D635" s="1">
        <f>FIND("-",aoc_02_input[[#This Row],[InputNumbers]])</f>
        <v>3</v>
      </c>
      <c r="E635" s="1">
        <f>_xlfn.NUMBERVALUE(LEFT(aoc_02_input[[#This Row],[InputNumbers]],aoc_02_input[[#This Row],[PosDash]]-1))</f>
        <v>12</v>
      </c>
      <c r="F635" s="1">
        <f>_xlfn.NUMBERVALUE(MID(aoc_02_input[[#This Row],[InputNumbers]],aoc_02_input[[#This Row],[PosDash]]+1,5))</f>
        <v>16</v>
      </c>
      <c r="G635" s="1" t="str">
        <f>LEFT(aoc_02_input[[#This Row],[InputChar]],1)</f>
        <v>z</v>
      </c>
      <c r="H635" s="1" cm="1">
        <f t="array" ref="H635">CountChar(aoc_02_input[[#This Row],[Password]],aoc_02_input[[#This Row],[Char]])</f>
        <v>13</v>
      </c>
      <c r="I635" s="1">
        <f>IF(AND(aoc_02_input[[#This Row],[Int1]]&lt;=aoc_02_input[[#This Row],[CountOfChar]],aoc_02_input[[#This Row],[CountOfChar]]&lt;=aoc_02_input[[#This Row],[Int2]]),1,0)</f>
        <v>1</v>
      </c>
      <c r="J635" s="1" t="str">
        <f>MID(aoc_02_input[[#This Row],[Password]],aoc_02_input[[#This Row],[Int1]],1)</f>
        <v>z</v>
      </c>
      <c r="K635" s="1">
        <f>IF(aoc_02_input[[#This Row],[Pos1]]=aoc_02_input[[#This Row],[Char]],1,0)</f>
        <v>1</v>
      </c>
      <c r="L635" s="1" t="str">
        <f>MID(aoc_02_input[[#This Row],[Password]],aoc_02_input[[#This Row],[Int2]],1)</f>
        <v>z</v>
      </c>
      <c r="M635" s="1">
        <f>IF(aoc_02_input[[#This Row],[Pos2]]=aoc_02_input[[#This Row],[Char]],1,0)</f>
        <v>1</v>
      </c>
      <c r="N635" s="1">
        <f>IF(aoc_02_input[[#This Row],[Pos1Valid]]&lt;&gt;aoc_02_input[[#This Row],[Pos2Valid]],1,0)</f>
        <v>0</v>
      </c>
    </row>
    <row r="636" spans="1:14" x14ac:dyDescent="0.45">
      <c r="A636" s="1" t="s">
        <v>288</v>
      </c>
      <c r="B636" s="1" t="s">
        <v>235</v>
      </c>
      <c r="C636" s="1" t="s">
        <v>995</v>
      </c>
      <c r="D636" s="1">
        <f>FIND("-",aoc_02_input[[#This Row],[InputNumbers]])</f>
        <v>2</v>
      </c>
      <c r="E636" s="1">
        <f>_xlfn.NUMBERVALUE(LEFT(aoc_02_input[[#This Row],[InputNumbers]],aoc_02_input[[#This Row],[PosDash]]-1))</f>
        <v>1</v>
      </c>
      <c r="F636" s="1">
        <f>_xlfn.NUMBERVALUE(MID(aoc_02_input[[#This Row],[InputNumbers]],aoc_02_input[[#This Row],[PosDash]]+1,5))</f>
        <v>4</v>
      </c>
      <c r="G636" s="1" t="str">
        <f>LEFT(aoc_02_input[[#This Row],[InputChar]],1)</f>
        <v>d</v>
      </c>
      <c r="H636" s="1" cm="1">
        <f t="array" ref="H636">CountChar(aoc_02_input[[#This Row],[Password]],aoc_02_input[[#This Row],[Char]])</f>
        <v>4</v>
      </c>
      <c r="I636" s="1">
        <f>IF(AND(aoc_02_input[[#This Row],[Int1]]&lt;=aoc_02_input[[#This Row],[CountOfChar]],aoc_02_input[[#This Row],[CountOfChar]]&lt;=aoc_02_input[[#This Row],[Int2]]),1,0)</f>
        <v>1</v>
      </c>
      <c r="J636" s="1" t="str">
        <f>MID(aoc_02_input[[#This Row],[Password]],aoc_02_input[[#This Row],[Int1]],1)</f>
        <v>r</v>
      </c>
      <c r="K636" s="1">
        <f>IF(aoc_02_input[[#This Row],[Pos1]]=aoc_02_input[[#This Row],[Char]],1,0)</f>
        <v>0</v>
      </c>
      <c r="L636" s="1" t="str">
        <f>MID(aoc_02_input[[#This Row],[Password]],aoc_02_input[[#This Row],[Int2]],1)</f>
        <v>x</v>
      </c>
      <c r="M636" s="1">
        <f>IF(aoc_02_input[[#This Row],[Pos2]]=aoc_02_input[[#This Row],[Char]],1,0)</f>
        <v>0</v>
      </c>
      <c r="N636" s="1">
        <f>IF(aoc_02_input[[#This Row],[Pos1Valid]]&lt;&gt;aoc_02_input[[#This Row],[Pos2Valid]],1,0)</f>
        <v>0</v>
      </c>
    </row>
    <row r="637" spans="1:14" x14ac:dyDescent="0.45">
      <c r="A637" s="1" t="s">
        <v>996</v>
      </c>
      <c r="B637" s="1" t="s">
        <v>216</v>
      </c>
      <c r="C637" s="1" t="s">
        <v>997</v>
      </c>
      <c r="D637" s="1">
        <f>FIND("-",aoc_02_input[[#This Row],[InputNumbers]])</f>
        <v>2</v>
      </c>
      <c r="E637" s="1">
        <f>_xlfn.NUMBERVALUE(LEFT(aoc_02_input[[#This Row],[InputNumbers]],aoc_02_input[[#This Row],[PosDash]]-1))</f>
        <v>5</v>
      </c>
      <c r="F637" s="1">
        <f>_xlfn.NUMBERVALUE(MID(aoc_02_input[[#This Row],[InputNumbers]],aoc_02_input[[#This Row],[PosDash]]+1,5))</f>
        <v>18</v>
      </c>
      <c r="G637" s="1" t="str">
        <f>LEFT(aoc_02_input[[#This Row],[InputChar]],1)</f>
        <v>z</v>
      </c>
      <c r="H637" s="1" cm="1">
        <f t="array" ref="H637">CountChar(aoc_02_input[[#This Row],[Password]],aoc_02_input[[#This Row],[Char]])</f>
        <v>18</v>
      </c>
      <c r="I637" s="1">
        <f>IF(AND(aoc_02_input[[#This Row],[Int1]]&lt;=aoc_02_input[[#This Row],[CountOfChar]],aoc_02_input[[#This Row],[CountOfChar]]&lt;=aoc_02_input[[#This Row],[Int2]]),1,0)</f>
        <v>1</v>
      </c>
      <c r="J637" s="1" t="str">
        <f>MID(aoc_02_input[[#This Row],[Password]],aoc_02_input[[#This Row],[Int1]],1)</f>
        <v>l</v>
      </c>
      <c r="K637" s="1">
        <f>IF(aoc_02_input[[#This Row],[Pos1]]=aoc_02_input[[#This Row],[Char]],1,0)</f>
        <v>0</v>
      </c>
      <c r="L637" s="1" t="str">
        <f>MID(aoc_02_input[[#This Row],[Password]],aoc_02_input[[#This Row],[Int2]],1)</f>
        <v>z</v>
      </c>
      <c r="M637" s="1">
        <f>IF(aoc_02_input[[#This Row],[Pos2]]=aoc_02_input[[#This Row],[Char]],1,0)</f>
        <v>1</v>
      </c>
      <c r="N637" s="1">
        <f>IF(aoc_02_input[[#This Row],[Pos1Valid]]&lt;&gt;aoc_02_input[[#This Row],[Pos2Valid]],1,0)</f>
        <v>1</v>
      </c>
    </row>
    <row r="638" spans="1:14" x14ac:dyDescent="0.45">
      <c r="A638" s="1" t="s">
        <v>500</v>
      </c>
      <c r="B638" s="1" t="s">
        <v>278</v>
      </c>
      <c r="C638" s="1" t="s">
        <v>998</v>
      </c>
      <c r="D638" s="1">
        <f>FIND("-",aoc_02_input[[#This Row],[InputNumbers]])</f>
        <v>3</v>
      </c>
      <c r="E638" s="1">
        <f>_xlfn.NUMBERVALUE(LEFT(aoc_02_input[[#This Row],[InputNumbers]],aoc_02_input[[#This Row],[PosDash]]-1))</f>
        <v>14</v>
      </c>
      <c r="F638" s="1">
        <f>_xlfn.NUMBERVALUE(MID(aoc_02_input[[#This Row],[InputNumbers]],aoc_02_input[[#This Row],[PosDash]]+1,5))</f>
        <v>17</v>
      </c>
      <c r="G638" s="1" t="str">
        <f>LEFT(aoc_02_input[[#This Row],[InputChar]],1)</f>
        <v>x</v>
      </c>
      <c r="H638" s="1" cm="1">
        <f t="array" ref="H638">CountChar(aoc_02_input[[#This Row],[Password]],aoc_02_input[[#This Row],[Char]])</f>
        <v>5</v>
      </c>
      <c r="I638" s="1">
        <f>IF(AND(aoc_02_input[[#This Row],[Int1]]&lt;=aoc_02_input[[#This Row],[CountOfChar]],aoc_02_input[[#This Row],[CountOfChar]]&lt;=aoc_02_input[[#This Row],[Int2]]),1,0)</f>
        <v>0</v>
      </c>
      <c r="J638" s="1" t="str">
        <f>MID(aoc_02_input[[#This Row],[Password]],aoc_02_input[[#This Row],[Int1]],1)</f>
        <v>x</v>
      </c>
      <c r="K638" s="1">
        <f>IF(aoc_02_input[[#This Row],[Pos1]]=aoc_02_input[[#This Row],[Char]],1,0)</f>
        <v>1</v>
      </c>
      <c r="L638" s="1" t="str">
        <f>MID(aoc_02_input[[#This Row],[Password]],aoc_02_input[[#This Row],[Int2]],1)</f>
        <v>j</v>
      </c>
      <c r="M638" s="1">
        <f>IF(aoc_02_input[[#This Row],[Pos2]]=aoc_02_input[[#This Row],[Char]],1,0)</f>
        <v>0</v>
      </c>
      <c r="N638" s="1">
        <f>IF(aoc_02_input[[#This Row],[Pos1Valid]]&lt;&gt;aoc_02_input[[#This Row],[Pos2Valid]],1,0)</f>
        <v>1</v>
      </c>
    </row>
    <row r="639" spans="1:14" x14ac:dyDescent="0.45">
      <c r="A639" s="1" t="s">
        <v>237</v>
      </c>
      <c r="B639" s="1" t="s">
        <v>235</v>
      </c>
      <c r="C639" s="1" t="s">
        <v>999</v>
      </c>
      <c r="D639" s="1">
        <f>FIND("-",aoc_02_input[[#This Row],[InputNumbers]])</f>
        <v>2</v>
      </c>
      <c r="E639" s="1">
        <f>_xlfn.NUMBERVALUE(LEFT(aoc_02_input[[#This Row],[InputNumbers]],aoc_02_input[[#This Row],[PosDash]]-1))</f>
        <v>2</v>
      </c>
      <c r="F639" s="1">
        <f>_xlfn.NUMBERVALUE(MID(aoc_02_input[[#This Row],[InputNumbers]],aoc_02_input[[#This Row],[PosDash]]+1,5))</f>
        <v>12</v>
      </c>
      <c r="G639" s="1" t="str">
        <f>LEFT(aoc_02_input[[#This Row],[InputChar]],1)</f>
        <v>d</v>
      </c>
      <c r="H639" s="1" cm="1">
        <f t="array" ref="H639">CountChar(aoc_02_input[[#This Row],[Password]],aoc_02_input[[#This Row],[Char]])</f>
        <v>11</v>
      </c>
      <c r="I639" s="1">
        <f>IF(AND(aoc_02_input[[#This Row],[Int1]]&lt;=aoc_02_input[[#This Row],[CountOfChar]],aoc_02_input[[#This Row],[CountOfChar]]&lt;=aoc_02_input[[#This Row],[Int2]]),1,0)</f>
        <v>1</v>
      </c>
      <c r="J639" s="1" t="str">
        <f>MID(aoc_02_input[[#This Row],[Password]],aoc_02_input[[#This Row],[Int1]],1)</f>
        <v>d</v>
      </c>
      <c r="K639" s="1">
        <f>IF(aoc_02_input[[#This Row],[Pos1]]=aoc_02_input[[#This Row],[Char]],1,0)</f>
        <v>1</v>
      </c>
      <c r="L639" s="1" t="str">
        <f>MID(aoc_02_input[[#This Row],[Password]],aoc_02_input[[#This Row],[Int2]],1)</f>
        <v>d</v>
      </c>
      <c r="M639" s="1">
        <f>IF(aoc_02_input[[#This Row],[Pos2]]=aoc_02_input[[#This Row],[Char]],1,0)</f>
        <v>1</v>
      </c>
      <c r="N639" s="1">
        <f>IF(aoc_02_input[[#This Row],[Pos1Valid]]&lt;&gt;aoc_02_input[[#This Row],[Pos2Valid]],1,0)</f>
        <v>0</v>
      </c>
    </row>
    <row r="640" spans="1:14" x14ac:dyDescent="0.45">
      <c r="A640" s="1" t="s">
        <v>212</v>
      </c>
      <c r="B640" s="1" t="s">
        <v>278</v>
      </c>
      <c r="C640" s="1" t="s">
        <v>1000</v>
      </c>
      <c r="D640" s="1">
        <f>FIND("-",aoc_02_input[[#This Row],[InputNumbers]])</f>
        <v>2</v>
      </c>
      <c r="E640" s="1">
        <f>_xlfn.NUMBERVALUE(LEFT(aoc_02_input[[#This Row],[InputNumbers]],aoc_02_input[[#This Row],[PosDash]]-1))</f>
        <v>2</v>
      </c>
      <c r="F640" s="1">
        <f>_xlfn.NUMBERVALUE(MID(aoc_02_input[[#This Row],[InputNumbers]],aoc_02_input[[#This Row],[PosDash]]+1,5))</f>
        <v>5</v>
      </c>
      <c r="G640" s="1" t="str">
        <f>LEFT(aoc_02_input[[#This Row],[InputChar]],1)</f>
        <v>x</v>
      </c>
      <c r="H640" s="1" cm="1">
        <f t="array" ref="H640">CountChar(aoc_02_input[[#This Row],[Password]],aoc_02_input[[#This Row],[Char]])</f>
        <v>3</v>
      </c>
      <c r="I640" s="1">
        <f>IF(AND(aoc_02_input[[#This Row],[Int1]]&lt;=aoc_02_input[[#This Row],[CountOfChar]],aoc_02_input[[#This Row],[CountOfChar]]&lt;=aoc_02_input[[#This Row],[Int2]]),1,0)</f>
        <v>1</v>
      </c>
      <c r="J640" s="1" t="str">
        <f>MID(aoc_02_input[[#This Row],[Password]],aoc_02_input[[#This Row],[Int1]],1)</f>
        <v>x</v>
      </c>
      <c r="K640" s="1">
        <f>IF(aoc_02_input[[#This Row],[Pos1]]=aoc_02_input[[#This Row],[Char]],1,0)</f>
        <v>1</v>
      </c>
      <c r="L640" s="1" t="str">
        <f>MID(aoc_02_input[[#This Row],[Password]],aoc_02_input[[#This Row],[Int2]],1)</f>
        <v>t</v>
      </c>
      <c r="M640" s="1">
        <f>IF(aoc_02_input[[#This Row],[Pos2]]=aoc_02_input[[#This Row],[Char]],1,0)</f>
        <v>0</v>
      </c>
      <c r="N640" s="1">
        <f>IF(aoc_02_input[[#This Row],[Pos1Valid]]&lt;&gt;aoc_02_input[[#This Row],[Pos2Valid]],1,0)</f>
        <v>1</v>
      </c>
    </row>
    <row r="641" spans="1:14" x14ac:dyDescent="0.45">
      <c r="A641" s="1" t="s">
        <v>452</v>
      </c>
      <c r="B641" s="1" t="s">
        <v>265</v>
      </c>
      <c r="C641" s="1" t="s">
        <v>1001</v>
      </c>
      <c r="D641" s="1">
        <f>FIND("-",aoc_02_input[[#This Row],[InputNumbers]])</f>
        <v>3</v>
      </c>
      <c r="E641" s="1">
        <f>_xlfn.NUMBERVALUE(LEFT(aoc_02_input[[#This Row],[InputNumbers]],aoc_02_input[[#This Row],[PosDash]]-1))</f>
        <v>14</v>
      </c>
      <c r="F641" s="1">
        <f>_xlfn.NUMBERVALUE(MID(aoc_02_input[[#This Row],[InputNumbers]],aoc_02_input[[#This Row],[PosDash]]+1,5))</f>
        <v>15</v>
      </c>
      <c r="G641" s="1" t="str">
        <f>LEFT(aoc_02_input[[#This Row],[InputChar]],1)</f>
        <v>r</v>
      </c>
      <c r="H641" s="1" cm="1">
        <f t="array" ref="H641">CountChar(aoc_02_input[[#This Row],[Password]],aoc_02_input[[#This Row],[Char]])</f>
        <v>14</v>
      </c>
      <c r="I641" s="1">
        <f>IF(AND(aoc_02_input[[#This Row],[Int1]]&lt;=aoc_02_input[[#This Row],[CountOfChar]],aoc_02_input[[#This Row],[CountOfChar]]&lt;=aoc_02_input[[#This Row],[Int2]]),1,0)</f>
        <v>1</v>
      </c>
      <c r="J641" s="1" t="str">
        <f>MID(aoc_02_input[[#This Row],[Password]],aoc_02_input[[#This Row],[Int1]],1)</f>
        <v>s</v>
      </c>
      <c r="K641" s="1">
        <f>IF(aoc_02_input[[#This Row],[Pos1]]=aoc_02_input[[#This Row],[Char]],1,0)</f>
        <v>0</v>
      </c>
      <c r="L641" s="1" t="str">
        <f>MID(aoc_02_input[[#This Row],[Password]],aoc_02_input[[#This Row],[Int2]],1)</f>
        <v>r</v>
      </c>
      <c r="M641" s="1">
        <f>IF(aoc_02_input[[#This Row],[Pos2]]=aoc_02_input[[#This Row],[Char]],1,0)</f>
        <v>1</v>
      </c>
      <c r="N641" s="1">
        <f>IF(aoc_02_input[[#This Row],[Pos1Valid]]&lt;&gt;aoc_02_input[[#This Row],[Pos2Valid]],1,0)</f>
        <v>1</v>
      </c>
    </row>
    <row r="642" spans="1:14" x14ac:dyDescent="0.45">
      <c r="A642" s="1" t="s">
        <v>424</v>
      </c>
      <c r="B642" s="1" t="s">
        <v>216</v>
      </c>
      <c r="C642" s="1" t="s">
        <v>1002</v>
      </c>
      <c r="D642" s="1">
        <f>FIND("-",aoc_02_input[[#This Row],[InputNumbers]])</f>
        <v>2</v>
      </c>
      <c r="E642" s="1">
        <f>_xlfn.NUMBERVALUE(LEFT(aoc_02_input[[#This Row],[InputNumbers]],aoc_02_input[[#This Row],[PosDash]]-1))</f>
        <v>3</v>
      </c>
      <c r="F642" s="1">
        <f>_xlfn.NUMBERVALUE(MID(aoc_02_input[[#This Row],[InputNumbers]],aoc_02_input[[#This Row],[PosDash]]+1,5))</f>
        <v>9</v>
      </c>
      <c r="G642" s="1" t="str">
        <f>LEFT(aoc_02_input[[#This Row],[InputChar]],1)</f>
        <v>z</v>
      </c>
      <c r="H642" s="1" cm="1">
        <f t="array" ref="H642">CountChar(aoc_02_input[[#This Row],[Password]],aoc_02_input[[#This Row],[Char]])</f>
        <v>8</v>
      </c>
      <c r="I642" s="1">
        <f>IF(AND(aoc_02_input[[#This Row],[Int1]]&lt;=aoc_02_input[[#This Row],[CountOfChar]],aoc_02_input[[#This Row],[CountOfChar]]&lt;=aoc_02_input[[#This Row],[Int2]]),1,0)</f>
        <v>1</v>
      </c>
      <c r="J642" s="1" t="str">
        <f>MID(aoc_02_input[[#This Row],[Password]],aoc_02_input[[#This Row],[Int1]],1)</f>
        <v>g</v>
      </c>
      <c r="K642" s="1">
        <f>IF(aoc_02_input[[#This Row],[Pos1]]=aoc_02_input[[#This Row],[Char]],1,0)</f>
        <v>0</v>
      </c>
      <c r="L642" s="1" t="str">
        <f>MID(aoc_02_input[[#This Row],[Password]],aoc_02_input[[#This Row],[Int2]],1)</f>
        <v>m</v>
      </c>
      <c r="M642" s="1">
        <f>IF(aoc_02_input[[#This Row],[Pos2]]=aoc_02_input[[#This Row],[Char]],1,0)</f>
        <v>0</v>
      </c>
      <c r="N642" s="1">
        <f>IF(aoc_02_input[[#This Row],[Pos1Valid]]&lt;&gt;aoc_02_input[[#This Row],[Pos2Valid]],1,0)</f>
        <v>0</v>
      </c>
    </row>
    <row r="643" spans="1:14" x14ac:dyDescent="0.45">
      <c r="A643" s="1" t="s">
        <v>316</v>
      </c>
      <c r="B643" s="1" t="s">
        <v>207</v>
      </c>
      <c r="C643" s="1" t="s">
        <v>1003</v>
      </c>
      <c r="D643" s="1">
        <f>FIND("-",aoc_02_input[[#This Row],[InputNumbers]])</f>
        <v>2</v>
      </c>
      <c r="E643" s="1">
        <f>_xlfn.NUMBERVALUE(LEFT(aoc_02_input[[#This Row],[InputNumbers]],aoc_02_input[[#This Row],[PosDash]]-1))</f>
        <v>1</v>
      </c>
      <c r="F643" s="1">
        <f>_xlfn.NUMBERVALUE(MID(aoc_02_input[[#This Row],[InputNumbers]],aoc_02_input[[#This Row],[PosDash]]+1,5))</f>
        <v>6</v>
      </c>
      <c r="G643" s="1" t="str">
        <f>LEFT(aoc_02_input[[#This Row],[InputChar]],1)</f>
        <v>b</v>
      </c>
      <c r="H643" s="1" cm="1">
        <f t="array" ref="H643">CountChar(aoc_02_input[[#This Row],[Password]],aoc_02_input[[#This Row],[Char]])</f>
        <v>3</v>
      </c>
      <c r="I643" s="1">
        <f>IF(AND(aoc_02_input[[#This Row],[Int1]]&lt;=aoc_02_input[[#This Row],[CountOfChar]],aoc_02_input[[#This Row],[CountOfChar]]&lt;=aoc_02_input[[#This Row],[Int2]]),1,0)</f>
        <v>1</v>
      </c>
      <c r="J643" s="1" t="str">
        <f>MID(aoc_02_input[[#This Row],[Password]],aoc_02_input[[#This Row],[Int1]],1)</f>
        <v>f</v>
      </c>
      <c r="K643" s="1">
        <f>IF(aoc_02_input[[#This Row],[Pos1]]=aoc_02_input[[#This Row],[Char]],1,0)</f>
        <v>0</v>
      </c>
      <c r="L643" s="1" t="str">
        <f>MID(aoc_02_input[[#This Row],[Password]],aoc_02_input[[#This Row],[Int2]],1)</f>
        <v>b</v>
      </c>
      <c r="M643" s="1">
        <f>IF(aoc_02_input[[#This Row],[Pos2]]=aoc_02_input[[#This Row],[Char]],1,0)</f>
        <v>1</v>
      </c>
      <c r="N643" s="1">
        <f>IF(aoc_02_input[[#This Row],[Pos1Valid]]&lt;&gt;aoc_02_input[[#This Row],[Pos2Valid]],1,0)</f>
        <v>1</v>
      </c>
    </row>
    <row r="644" spans="1:14" x14ac:dyDescent="0.45">
      <c r="A644" s="1" t="s">
        <v>352</v>
      </c>
      <c r="B644" s="1" t="s">
        <v>216</v>
      </c>
      <c r="C644" s="1" t="s">
        <v>1004</v>
      </c>
      <c r="D644" s="1">
        <f>FIND("-",aoc_02_input[[#This Row],[InputNumbers]])</f>
        <v>3</v>
      </c>
      <c r="E644" s="1">
        <f>_xlfn.NUMBERVALUE(LEFT(aoc_02_input[[#This Row],[InputNumbers]],aoc_02_input[[#This Row],[PosDash]]-1))</f>
        <v>15</v>
      </c>
      <c r="F644" s="1">
        <f>_xlfn.NUMBERVALUE(MID(aoc_02_input[[#This Row],[InputNumbers]],aoc_02_input[[#This Row],[PosDash]]+1,5))</f>
        <v>16</v>
      </c>
      <c r="G644" s="1" t="str">
        <f>LEFT(aoc_02_input[[#This Row],[InputChar]],1)</f>
        <v>z</v>
      </c>
      <c r="H644" s="1" cm="1">
        <f t="array" ref="H644">CountChar(aoc_02_input[[#This Row],[Password]],aoc_02_input[[#This Row],[Char]])</f>
        <v>14</v>
      </c>
      <c r="I644" s="1">
        <f>IF(AND(aoc_02_input[[#This Row],[Int1]]&lt;=aoc_02_input[[#This Row],[CountOfChar]],aoc_02_input[[#This Row],[CountOfChar]]&lt;=aoc_02_input[[#This Row],[Int2]]),1,0)</f>
        <v>0</v>
      </c>
      <c r="J644" s="1" t="str">
        <f>MID(aoc_02_input[[#This Row],[Password]],aoc_02_input[[#This Row],[Int1]],1)</f>
        <v>f</v>
      </c>
      <c r="K644" s="1">
        <f>IF(aoc_02_input[[#This Row],[Pos1]]=aoc_02_input[[#This Row],[Char]],1,0)</f>
        <v>0</v>
      </c>
      <c r="L644" s="1" t="str">
        <f>MID(aoc_02_input[[#This Row],[Password]],aoc_02_input[[#This Row],[Int2]],1)</f>
        <v>r</v>
      </c>
      <c r="M644" s="1">
        <f>IF(aoc_02_input[[#This Row],[Pos2]]=aoc_02_input[[#This Row],[Char]],1,0)</f>
        <v>0</v>
      </c>
      <c r="N644" s="1">
        <f>IF(aoc_02_input[[#This Row],[Pos1Valid]]&lt;&gt;aoc_02_input[[#This Row],[Pos2Valid]],1,0)</f>
        <v>0</v>
      </c>
    </row>
    <row r="645" spans="1:14" x14ac:dyDescent="0.45">
      <c r="A645" s="1" t="s">
        <v>654</v>
      </c>
      <c r="B645" s="1" t="s">
        <v>235</v>
      </c>
      <c r="C645" s="1" t="s">
        <v>1005</v>
      </c>
      <c r="D645" s="1">
        <f>FIND("-",aoc_02_input[[#This Row],[InputNumbers]])</f>
        <v>2</v>
      </c>
      <c r="E645" s="1">
        <f>_xlfn.NUMBERVALUE(LEFT(aoc_02_input[[#This Row],[InputNumbers]],aoc_02_input[[#This Row],[PosDash]]-1))</f>
        <v>2</v>
      </c>
      <c r="F645" s="1">
        <f>_xlfn.NUMBERVALUE(MID(aoc_02_input[[#This Row],[InputNumbers]],aoc_02_input[[#This Row],[PosDash]]+1,5))</f>
        <v>9</v>
      </c>
      <c r="G645" s="1" t="str">
        <f>LEFT(aoc_02_input[[#This Row],[InputChar]],1)</f>
        <v>d</v>
      </c>
      <c r="H645" s="1" cm="1">
        <f t="array" ref="H645">CountChar(aoc_02_input[[#This Row],[Password]],aoc_02_input[[#This Row],[Char]])</f>
        <v>2</v>
      </c>
      <c r="I645" s="1">
        <f>IF(AND(aoc_02_input[[#This Row],[Int1]]&lt;=aoc_02_input[[#This Row],[CountOfChar]],aoc_02_input[[#This Row],[CountOfChar]]&lt;=aoc_02_input[[#This Row],[Int2]]),1,0)</f>
        <v>1</v>
      </c>
      <c r="J645" s="1" t="str">
        <f>MID(aoc_02_input[[#This Row],[Password]],aoc_02_input[[#This Row],[Int1]],1)</f>
        <v>d</v>
      </c>
      <c r="K645" s="1">
        <f>IF(aoc_02_input[[#This Row],[Pos1]]=aoc_02_input[[#This Row],[Char]],1,0)</f>
        <v>1</v>
      </c>
      <c r="L645" s="1" t="str">
        <f>MID(aoc_02_input[[#This Row],[Password]],aoc_02_input[[#This Row],[Int2]],1)</f>
        <v>d</v>
      </c>
      <c r="M645" s="1">
        <f>IF(aoc_02_input[[#This Row],[Pos2]]=aoc_02_input[[#This Row],[Char]],1,0)</f>
        <v>1</v>
      </c>
      <c r="N645" s="1">
        <f>IF(aoc_02_input[[#This Row],[Pos1Valid]]&lt;&gt;aoc_02_input[[#This Row],[Pos2Valid]],1,0)</f>
        <v>0</v>
      </c>
    </row>
    <row r="646" spans="1:14" x14ac:dyDescent="0.45">
      <c r="A646" s="1" t="s">
        <v>307</v>
      </c>
      <c r="B646" s="1" t="s">
        <v>314</v>
      </c>
      <c r="C646" s="1" t="s">
        <v>1006</v>
      </c>
      <c r="D646" s="1">
        <f>FIND("-",aoc_02_input[[#This Row],[InputNumbers]])</f>
        <v>2</v>
      </c>
      <c r="E646" s="1">
        <f>_xlfn.NUMBERVALUE(LEFT(aoc_02_input[[#This Row],[InputNumbers]],aoc_02_input[[#This Row],[PosDash]]-1))</f>
        <v>3</v>
      </c>
      <c r="F646" s="1">
        <f>_xlfn.NUMBERVALUE(MID(aoc_02_input[[#This Row],[InputNumbers]],aoc_02_input[[#This Row],[PosDash]]+1,5))</f>
        <v>5</v>
      </c>
      <c r="G646" s="1" t="str">
        <f>LEFT(aoc_02_input[[#This Row],[InputChar]],1)</f>
        <v>h</v>
      </c>
      <c r="H646" s="1" cm="1">
        <f t="array" ref="H646">CountChar(aoc_02_input[[#This Row],[Password]],aoc_02_input[[#This Row],[Char]])</f>
        <v>6</v>
      </c>
      <c r="I646" s="1">
        <f>IF(AND(aoc_02_input[[#This Row],[Int1]]&lt;=aoc_02_input[[#This Row],[CountOfChar]],aoc_02_input[[#This Row],[CountOfChar]]&lt;=aoc_02_input[[#This Row],[Int2]]),1,0)</f>
        <v>0</v>
      </c>
      <c r="J646" s="1" t="str">
        <f>MID(aoc_02_input[[#This Row],[Password]],aoc_02_input[[#This Row],[Int1]],1)</f>
        <v>d</v>
      </c>
      <c r="K646" s="1">
        <f>IF(aoc_02_input[[#This Row],[Pos1]]=aoc_02_input[[#This Row],[Char]],1,0)</f>
        <v>0</v>
      </c>
      <c r="L646" s="1" t="str">
        <f>MID(aoc_02_input[[#This Row],[Password]],aoc_02_input[[#This Row],[Int2]],1)</f>
        <v>x</v>
      </c>
      <c r="M646" s="1">
        <f>IF(aoc_02_input[[#This Row],[Pos2]]=aoc_02_input[[#This Row],[Char]],1,0)</f>
        <v>0</v>
      </c>
      <c r="N646" s="1">
        <f>IF(aoc_02_input[[#This Row],[Pos1Valid]]&lt;&gt;aoc_02_input[[#This Row],[Pos2Valid]],1,0)</f>
        <v>0</v>
      </c>
    </row>
    <row r="647" spans="1:14" x14ac:dyDescent="0.45">
      <c r="A647" s="1" t="s">
        <v>251</v>
      </c>
      <c r="B647" s="1" t="s">
        <v>210</v>
      </c>
      <c r="C647" s="1" t="s">
        <v>1007</v>
      </c>
      <c r="D647" s="1">
        <f>FIND("-",aoc_02_input[[#This Row],[InputNumbers]])</f>
        <v>2</v>
      </c>
      <c r="E647" s="1">
        <f>_xlfn.NUMBERVALUE(LEFT(aoc_02_input[[#This Row],[InputNumbers]],aoc_02_input[[#This Row],[PosDash]]-1))</f>
        <v>5</v>
      </c>
      <c r="F647" s="1">
        <f>_xlfn.NUMBERVALUE(MID(aoc_02_input[[#This Row],[InputNumbers]],aoc_02_input[[#This Row],[PosDash]]+1,5))</f>
        <v>6</v>
      </c>
      <c r="G647" s="1" t="str">
        <f>LEFT(aoc_02_input[[#This Row],[InputChar]],1)</f>
        <v>v</v>
      </c>
      <c r="H647" s="1" cm="1">
        <f t="array" ref="H647">CountChar(aoc_02_input[[#This Row],[Password]],aoc_02_input[[#This Row],[Char]])</f>
        <v>5</v>
      </c>
      <c r="I647" s="1">
        <f>IF(AND(aoc_02_input[[#This Row],[Int1]]&lt;=aoc_02_input[[#This Row],[CountOfChar]],aoc_02_input[[#This Row],[CountOfChar]]&lt;=aoc_02_input[[#This Row],[Int2]]),1,0)</f>
        <v>1</v>
      </c>
      <c r="J647" s="1" t="str">
        <f>MID(aoc_02_input[[#This Row],[Password]],aoc_02_input[[#This Row],[Int1]],1)</f>
        <v>n</v>
      </c>
      <c r="K647" s="1">
        <f>IF(aoc_02_input[[#This Row],[Pos1]]=aoc_02_input[[#This Row],[Char]],1,0)</f>
        <v>0</v>
      </c>
      <c r="L647" s="1" t="str">
        <f>MID(aoc_02_input[[#This Row],[Password]],aoc_02_input[[#This Row],[Int2]],1)</f>
        <v>v</v>
      </c>
      <c r="M647" s="1">
        <f>IF(aoc_02_input[[#This Row],[Pos2]]=aoc_02_input[[#This Row],[Char]],1,0)</f>
        <v>1</v>
      </c>
      <c r="N647" s="1">
        <f>IF(aoc_02_input[[#This Row],[Pos1Valid]]&lt;&gt;aoc_02_input[[#This Row],[Pos2Valid]],1,0)</f>
        <v>1</v>
      </c>
    </row>
    <row r="648" spans="1:14" x14ac:dyDescent="0.45">
      <c r="A648" s="1" t="s">
        <v>337</v>
      </c>
      <c r="B648" s="1" t="s">
        <v>252</v>
      </c>
      <c r="C648" s="1" t="s">
        <v>1008</v>
      </c>
      <c r="D648" s="1">
        <f>FIND("-",aoc_02_input[[#This Row],[InputNumbers]])</f>
        <v>3</v>
      </c>
      <c r="E648" s="1">
        <f>_xlfn.NUMBERVALUE(LEFT(aoc_02_input[[#This Row],[InputNumbers]],aoc_02_input[[#This Row],[PosDash]]-1))</f>
        <v>10</v>
      </c>
      <c r="F648" s="1">
        <f>_xlfn.NUMBERVALUE(MID(aoc_02_input[[#This Row],[InputNumbers]],aoc_02_input[[#This Row],[PosDash]]+1,5))</f>
        <v>13</v>
      </c>
      <c r="G648" s="1" t="str">
        <f>LEFT(aoc_02_input[[#This Row],[InputChar]],1)</f>
        <v>p</v>
      </c>
      <c r="H648" s="1" cm="1">
        <f t="array" ref="H648">CountChar(aoc_02_input[[#This Row],[Password]],aoc_02_input[[#This Row],[Char]])</f>
        <v>4</v>
      </c>
      <c r="I648" s="1">
        <f>IF(AND(aoc_02_input[[#This Row],[Int1]]&lt;=aoc_02_input[[#This Row],[CountOfChar]],aoc_02_input[[#This Row],[CountOfChar]]&lt;=aoc_02_input[[#This Row],[Int2]]),1,0)</f>
        <v>0</v>
      </c>
      <c r="J648" s="1" t="str">
        <f>MID(aoc_02_input[[#This Row],[Password]],aoc_02_input[[#This Row],[Int1]],1)</f>
        <v>p</v>
      </c>
      <c r="K648" s="1">
        <f>IF(aoc_02_input[[#This Row],[Pos1]]=aoc_02_input[[#This Row],[Char]],1,0)</f>
        <v>1</v>
      </c>
      <c r="L648" s="1" t="str">
        <f>MID(aoc_02_input[[#This Row],[Password]],aoc_02_input[[#This Row],[Int2]],1)</f>
        <v>r</v>
      </c>
      <c r="M648" s="1">
        <f>IF(aoc_02_input[[#This Row],[Pos2]]=aoc_02_input[[#This Row],[Char]],1,0)</f>
        <v>0</v>
      </c>
      <c r="N648" s="1">
        <f>IF(aoc_02_input[[#This Row],[Pos1Valid]]&lt;&gt;aoc_02_input[[#This Row],[Pos2Valid]],1,0)</f>
        <v>1</v>
      </c>
    </row>
    <row r="649" spans="1:14" x14ac:dyDescent="0.45">
      <c r="A649" s="1" t="s">
        <v>466</v>
      </c>
      <c r="B649" s="1" t="s">
        <v>252</v>
      </c>
      <c r="C649" s="1" t="s">
        <v>1009</v>
      </c>
      <c r="D649" s="1">
        <f>FIND("-",aoc_02_input[[#This Row],[InputNumbers]])</f>
        <v>2</v>
      </c>
      <c r="E649" s="1">
        <f>_xlfn.NUMBERVALUE(LEFT(aoc_02_input[[#This Row],[InputNumbers]],aoc_02_input[[#This Row],[PosDash]]-1))</f>
        <v>1</v>
      </c>
      <c r="F649" s="1">
        <f>_xlfn.NUMBERVALUE(MID(aoc_02_input[[#This Row],[InputNumbers]],aoc_02_input[[#This Row],[PosDash]]+1,5))</f>
        <v>9</v>
      </c>
      <c r="G649" s="1" t="str">
        <f>LEFT(aoc_02_input[[#This Row],[InputChar]],1)</f>
        <v>p</v>
      </c>
      <c r="H649" s="1" cm="1">
        <f t="array" ref="H649">CountChar(aoc_02_input[[#This Row],[Password]],aoc_02_input[[#This Row],[Char]])</f>
        <v>7</v>
      </c>
      <c r="I649" s="1">
        <f>IF(AND(aoc_02_input[[#This Row],[Int1]]&lt;=aoc_02_input[[#This Row],[CountOfChar]],aoc_02_input[[#This Row],[CountOfChar]]&lt;=aoc_02_input[[#This Row],[Int2]]),1,0)</f>
        <v>1</v>
      </c>
      <c r="J649" s="1" t="str">
        <f>MID(aoc_02_input[[#This Row],[Password]],aoc_02_input[[#This Row],[Int1]],1)</f>
        <v>g</v>
      </c>
      <c r="K649" s="1">
        <f>IF(aoc_02_input[[#This Row],[Pos1]]=aoc_02_input[[#This Row],[Char]],1,0)</f>
        <v>0</v>
      </c>
      <c r="L649" s="1" t="str">
        <f>MID(aoc_02_input[[#This Row],[Password]],aoc_02_input[[#This Row],[Int2]],1)</f>
        <v>p</v>
      </c>
      <c r="M649" s="1">
        <f>IF(aoc_02_input[[#This Row],[Pos2]]=aoc_02_input[[#This Row],[Char]],1,0)</f>
        <v>1</v>
      </c>
      <c r="N649" s="1">
        <f>IF(aoc_02_input[[#This Row],[Pos1Valid]]&lt;&gt;aoc_02_input[[#This Row],[Pos2Valid]],1,0)</f>
        <v>1</v>
      </c>
    </row>
    <row r="650" spans="1:14" x14ac:dyDescent="0.45">
      <c r="A650" s="1" t="s">
        <v>394</v>
      </c>
      <c r="B650" s="1" t="s">
        <v>265</v>
      </c>
      <c r="C650" s="1" t="s">
        <v>1010</v>
      </c>
      <c r="D650" s="1">
        <f>FIND("-",aoc_02_input[[#This Row],[InputNumbers]])</f>
        <v>2</v>
      </c>
      <c r="E650" s="1">
        <f>_xlfn.NUMBERVALUE(LEFT(aoc_02_input[[#This Row],[InputNumbers]],aoc_02_input[[#This Row],[PosDash]]-1))</f>
        <v>4</v>
      </c>
      <c r="F650" s="1">
        <f>_xlfn.NUMBERVALUE(MID(aoc_02_input[[#This Row],[InputNumbers]],aoc_02_input[[#This Row],[PosDash]]+1,5))</f>
        <v>7</v>
      </c>
      <c r="G650" s="1" t="str">
        <f>LEFT(aoc_02_input[[#This Row],[InputChar]],1)</f>
        <v>r</v>
      </c>
      <c r="H650" s="1" cm="1">
        <f t="array" ref="H650">CountChar(aoc_02_input[[#This Row],[Password]],aoc_02_input[[#This Row],[Char]])</f>
        <v>9</v>
      </c>
      <c r="I650" s="1">
        <f>IF(AND(aoc_02_input[[#This Row],[Int1]]&lt;=aoc_02_input[[#This Row],[CountOfChar]],aoc_02_input[[#This Row],[CountOfChar]]&lt;=aoc_02_input[[#This Row],[Int2]]),1,0)</f>
        <v>0</v>
      </c>
      <c r="J650" s="1" t="str">
        <f>MID(aoc_02_input[[#This Row],[Password]],aoc_02_input[[#This Row],[Int1]],1)</f>
        <v>c</v>
      </c>
      <c r="K650" s="1">
        <f>IF(aoc_02_input[[#This Row],[Pos1]]=aoc_02_input[[#This Row],[Char]],1,0)</f>
        <v>0</v>
      </c>
      <c r="L650" s="1" t="str">
        <f>MID(aoc_02_input[[#This Row],[Password]],aoc_02_input[[#This Row],[Int2]],1)</f>
        <v>r</v>
      </c>
      <c r="M650" s="1">
        <f>IF(aoc_02_input[[#This Row],[Pos2]]=aoc_02_input[[#This Row],[Char]],1,0)</f>
        <v>1</v>
      </c>
      <c r="N650" s="1">
        <f>IF(aoc_02_input[[#This Row],[Pos1Valid]]&lt;&gt;aoc_02_input[[#This Row],[Pos2Valid]],1,0)</f>
        <v>1</v>
      </c>
    </row>
    <row r="651" spans="1:14" x14ac:dyDescent="0.45">
      <c r="A651" s="1" t="s">
        <v>848</v>
      </c>
      <c r="B651" s="1" t="s">
        <v>243</v>
      </c>
      <c r="C651" s="1" t="s">
        <v>1011</v>
      </c>
      <c r="D651" s="1">
        <f>FIND("-",aoc_02_input[[#This Row],[InputNumbers]])</f>
        <v>2</v>
      </c>
      <c r="E651" s="1">
        <f>_xlfn.NUMBERVALUE(LEFT(aoc_02_input[[#This Row],[InputNumbers]],aoc_02_input[[#This Row],[PosDash]]-1))</f>
        <v>5</v>
      </c>
      <c r="F651" s="1">
        <f>_xlfn.NUMBERVALUE(MID(aoc_02_input[[#This Row],[InputNumbers]],aoc_02_input[[#This Row],[PosDash]]+1,5))</f>
        <v>15</v>
      </c>
      <c r="G651" s="1" t="str">
        <f>LEFT(aoc_02_input[[#This Row],[InputChar]],1)</f>
        <v>f</v>
      </c>
      <c r="H651" s="1" cm="1">
        <f t="array" ref="H651">CountChar(aoc_02_input[[#This Row],[Password]],aoc_02_input[[#This Row],[Char]])</f>
        <v>9</v>
      </c>
      <c r="I651" s="1">
        <f>IF(AND(aoc_02_input[[#This Row],[Int1]]&lt;=aoc_02_input[[#This Row],[CountOfChar]],aoc_02_input[[#This Row],[CountOfChar]]&lt;=aoc_02_input[[#This Row],[Int2]]),1,0)</f>
        <v>1</v>
      </c>
      <c r="J651" s="1" t="str">
        <f>MID(aoc_02_input[[#This Row],[Password]],aoc_02_input[[#This Row],[Int1]],1)</f>
        <v>f</v>
      </c>
      <c r="K651" s="1">
        <f>IF(aoc_02_input[[#This Row],[Pos1]]=aoc_02_input[[#This Row],[Char]],1,0)</f>
        <v>1</v>
      </c>
      <c r="L651" s="1" t="str">
        <f>MID(aoc_02_input[[#This Row],[Password]],aoc_02_input[[#This Row],[Int2]],1)</f>
        <v>b</v>
      </c>
      <c r="M651" s="1">
        <f>IF(aoc_02_input[[#This Row],[Pos2]]=aoc_02_input[[#This Row],[Char]],1,0)</f>
        <v>0</v>
      </c>
      <c r="N651" s="1">
        <f>IF(aoc_02_input[[#This Row],[Pos1Valid]]&lt;&gt;aoc_02_input[[#This Row],[Pos2Valid]],1,0)</f>
        <v>1</v>
      </c>
    </row>
    <row r="652" spans="1:14" x14ac:dyDescent="0.45">
      <c r="A652" s="1" t="s">
        <v>322</v>
      </c>
      <c r="B652" s="1" t="s">
        <v>254</v>
      </c>
      <c r="C652" s="1" t="s">
        <v>1012</v>
      </c>
      <c r="D652" s="1">
        <f>FIND("-",aoc_02_input[[#This Row],[InputNumbers]])</f>
        <v>2</v>
      </c>
      <c r="E652" s="1">
        <f>_xlfn.NUMBERVALUE(LEFT(aoc_02_input[[#This Row],[InputNumbers]],aoc_02_input[[#This Row],[PosDash]]-1))</f>
        <v>5</v>
      </c>
      <c r="F652" s="1">
        <f>_xlfn.NUMBERVALUE(MID(aoc_02_input[[#This Row],[InputNumbers]],aoc_02_input[[#This Row],[PosDash]]+1,5))</f>
        <v>13</v>
      </c>
      <c r="G652" s="1" t="str">
        <f>LEFT(aoc_02_input[[#This Row],[InputChar]],1)</f>
        <v>k</v>
      </c>
      <c r="H652" s="1" cm="1">
        <f t="array" ref="H652">CountChar(aoc_02_input[[#This Row],[Password]],aoc_02_input[[#This Row],[Char]])</f>
        <v>4</v>
      </c>
      <c r="I652" s="1">
        <f>IF(AND(aoc_02_input[[#This Row],[Int1]]&lt;=aoc_02_input[[#This Row],[CountOfChar]],aoc_02_input[[#This Row],[CountOfChar]]&lt;=aoc_02_input[[#This Row],[Int2]]),1,0)</f>
        <v>0</v>
      </c>
      <c r="J652" s="1" t="str">
        <f>MID(aoc_02_input[[#This Row],[Password]],aoc_02_input[[#This Row],[Int1]],1)</f>
        <v>k</v>
      </c>
      <c r="K652" s="1">
        <f>IF(aoc_02_input[[#This Row],[Pos1]]=aoc_02_input[[#This Row],[Char]],1,0)</f>
        <v>1</v>
      </c>
      <c r="L652" s="1" t="str">
        <f>MID(aoc_02_input[[#This Row],[Password]],aoc_02_input[[#This Row],[Int2]],1)</f>
        <v>k</v>
      </c>
      <c r="M652" s="1">
        <f>IF(aoc_02_input[[#This Row],[Pos2]]=aoc_02_input[[#This Row],[Char]],1,0)</f>
        <v>1</v>
      </c>
      <c r="N652" s="1">
        <f>IF(aoc_02_input[[#This Row],[Pos1Valid]]&lt;&gt;aoc_02_input[[#This Row],[Pos2Valid]],1,0)</f>
        <v>0</v>
      </c>
    </row>
    <row r="653" spans="1:14" x14ac:dyDescent="0.45">
      <c r="A653" s="1" t="s">
        <v>230</v>
      </c>
      <c r="B653" s="1" t="s">
        <v>314</v>
      </c>
      <c r="C653" s="1" t="s">
        <v>1013</v>
      </c>
      <c r="D653" s="1">
        <f>FIND("-",aoc_02_input[[#This Row],[InputNumbers]])</f>
        <v>2</v>
      </c>
      <c r="E653" s="1">
        <f>_xlfn.NUMBERVALUE(LEFT(aoc_02_input[[#This Row],[InputNumbers]],aoc_02_input[[#This Row],[PosDash]]-1))</f>
        <v>2</v>
      </c>
      <c r="F653" s="1">
        <f>_xlfn.NUMBERVALUE(MID(aoc_02_input[[#This Row],[InputNumbers]],aoc_02_input[[#This Row],[PosDash]]+1,5))</f>
        <v>4</v>
      </c>
      <c r="G653" s="1" t="str">
        <f>LEFT(aoc_02_input[[#This Row],[InputChar]],1)</f>
        <v>h</v>
      </c>
      <c r="H653" s="1" cm="1">
        <f t="array" ref="H653">CountChar(aoc_02_input[[#This Row],[Password]],aoc_02_input[[#This Row],[Char]])</f>
        <v>4</v>
      </c>
      <c r="I653" s="1">
        <f>IF(AND(aoc_02_input[[#This Row],[Int1]]&lt;=aoc_02_input[[#This Row],[CountOfChar]],aoc_02_input[[#This Row],[CountOfChar]]&lt;=aoc_02_input[[#This Row],[Int2]]),1,0)</f>
        <v>1</v>
      </c>
      <c r="J653" s="1" t="str">
        <f>MID(aoc_02_input[[#This Row],[Password]],aoc_02_input[[#This Row],[Int1]],1)</f>
        <v>s</v>
      </c>
      <c r="K653" s="1">
        <f>IF(aoc_02_input[[#This Row],[Pos1]]=aoc_02_input[[#This Row],[Char]],1,0)</f>
        <v>0</v>
      </c>
      <c r="L653" s="1" t="str">
        <f>MID(aoc_02_input[[#This Row],[Password]],aoc_02_input[[#This Row],[Int2]],1)</f>
        <v>r</v>
      </c>
      <c r="M653" s="1">
        <f>IF(aoc_02_input[[#This Row],[Pos2]]=aoc_02_input[[#This Row],[Char]],1,0)</f>
        <v>0</v>
      </c>
      <c r="N653" s="1">
        <f>IF(aoc_02_input[[#This Row],[Pos1Valid]]&lt;&gt;aoc_02_input[[#This Row],[Pos2Valid]],1,0)</f>
        <v>0</v>
      </c>
    </row>
    <row r="654" spans="1:14" x14ac:dyDescent="0.45">
      <c r="A654" s="1" t="s">
        <v>224</v>
      </c>
      <c r="B654" s="1" t="s">
        <v>222</v>
      </c>
      <c r="C654" s="1" t="s">
        <v>1014</v>
      </c>
      <c r="D654" s="1">
        <f>FIND("-",aoc_02_input[[#This Row],[InputNumbers]])</f>
        <v>2</v>
      </c>
      <c r="E654" s="1">
        <f>_xlfn.NUMBERVALUE(LEFT(aoc_02_input[[#This Row],[InputNumbers]],aoc_02_input[[#This Row],[PosDash]]-1))</f>
        <v>1</v>
      </c>
      <c r="F654" s="1">
        <f>_xlfn.NUMBERVALUE(MID(aoc_02_input[[#This Row],[InputNumbers]],aoc_02_input[[#This Row],[PosDash]]+1,5))</f>
        <v>5</v>
      </c>
      <c r="G654" s="1" t="str">
        <f>LEFT(aoc_02_input[[#This Row],[InputChar]],1)</f>
        <v>l</v>
      </c>
      <c r="H654" s="1" cm="1">
        <f t="array" ref="H654">CountChar(aoc_02_input[[#This Row],[Password]],aoc_02_input[[#This Row],[Char]])</f>
        <v>6</v>
      </c>
      <c r="I654" s="1">
        <f>IF(AND(aoc_02_input[[#This Row],[Int1]]&lt;=aoc_02_input[[#This Row],[CountOfChar]],aoc_02_input[[#This Row],[CountOfChar]]&lt;=aoc_02_input[[#This Row],[Int2]]),1,0)</f>
        <v>0</v>
      </c>
      <c r="J654" s="1" t="str">
        <f>MID(aoc_02_input[[#This Row],[Password]],aoc_02_input[[#This Row],[Int1]],1)</f>
        <v>l</v>
      </c>
      <c r="K654" s="1">
        <f>IF(aoc_02_input[[#This Row],[Pos1]]=aoc_02_input[[#This Row],[Char]],1,0)</f>
        <v>1</v>
      </c>
      <c r="L654" s="1" t="str">
        <f>MID(aoc_02_input[[#This Row],[Password]],aoc_02_input[[#This Row],[Int2]],1)</f>
        <v>l</v>
      </c>
      <c r="M654" s="1">
        <f>IF(aoc_02_input[[#This Row],[Pos2]]=aoc_02_input[[#This Row],[Char]],1,0)</f>
        <v>1</v>
      </c>
      <c r="N654" s="1">
        <f>IF(aoc_02_input[[#This Row],[Pos1Valid]]&lt;&gt;aoc_02_input[[#This Row],[Pos2Valid]],1,0)</f>
        <v>0</v>
      </c>
    </row>
    <row r="655" spans="1:14" x14ac:dyDescent="0.45">
      <c r="A655" s="1" t="s">
        <v>570</v>
      </c>
      <c r="B655" s="1" t="s">
        <v>225</v>
      </c>
      <c r="C655" s="1" t="s">
        <v>1015</v>
      </c>
      <c r="D655" s="1">
        <f>FIND("-",aoc_02_input[[#This Row],[InputNumbers]])</f>
        <v>2</v>
      </c>
      <c r="E655" s="1">
        <f>_xlfn.NUMBERVALUE(LEFT(aoc_02_input[[#This Row],[InputNumbers]],aoc_02_input[[#This Row],[PosDash]]-1))</f>
        <v>1</v>
      </c>
      <c r="F655" s="1">
        <f>_xlfn.NUMBERVALUE(MID(aoc_02_input[[#This Row],[InputNumbers]],aoc_02_input[[#This Row],[PosDash]]+1,5))</f>
        <v>15</v>
      </c>
      <c r="G655" s="1" t="str">
        <f>LEFT(aoc_02_input[[#This Row],[InputChar]],1)</f>
        <v>j</v>
      </c>
      <c r="H655" s="1" cm="1">
        <f t="array" ref="H655">CountChar(aoc_02_input[[#This Row],[Password]],aoc_02_input[[#This Row],[Char]])</f>
        <v>10</v>
      </c>
      <c r="I655" s="1">
        <f>IF(AND(aoc_02_input[[#This Row],[Int1]]&lt;=aoc_02_input[[#This Row],[CountOfChar]],aoc_02_input[[#This Row],[CountOfChar]]&lt;=aoc_02_input[[#This Row],[Int2]]),1,0)</f>
        <v>1</v>
      </c>
      <c r="J655" s="1" t="str">
        <f>MID(aoc_02_input[[#This Row],[Password]],aoc_02_input[[#This Row],[Int1]],1)</f>
        <v>j</v>
      </c>
      <c r="K655" s="1">
        <f>IF(aoc_02_input[[#This Row],[Pos1]]=aoc_02_input[[#This Row],[Char]],1,0)</f>
        <v>1</v>
      </c>
      <c r="L655" s="1" t="str">
        <f>MID(aoc_02_input[[#This Row],[Password]],aoc_02_input[[#This Row],[Int2]],1)</f>
        <v>p</v>
      </c>
      <c r="M655" s="1">
        <f>IF(aoc_02_input[[#This Row],[Pos2]]=aoc_02_input[[#This Row],[Char]],1,0)</f>
        <v>0</v>
      </c>
      <c r="N655" s="1">
        <f>IF(aoc_02_input[[#This Row],[Pos1Valid]]&lt;&gt;aoc_02_input[[#This Row],[Pos2Valid]],1,0)</f>
        <v>1</v>
      </c>
    </row>
    <row r="656" spans="1:14" x14ac:dyDescent="0.45">
      <c r="A656" s="1" t="s">
        <v>283</v>
      </c>
      <c r="B656" s="1" t="s">
        <v>252</v>
      </c>
      <c r="C656" s="1" t="s">
        <v>1016</v>
      </c>
      <c r="D656" s="1">
        <f>FIND("-",aoc_02_input[[#This Row],[InputNumbers]])</f>
        <v>2</v>
      </c>
      <c r="E656" s="1">
        <f>_xlfn.NUMBERVALUE(LEFT(aoc_02_input[[#This Row],[InputNumbers]],aoc_02_input[[#This Row],[PosDash]]-1))</f>
        <v>3</v>
      </c>
      <c r="F656" s="1">
        <f>_xlfn.NUMBERVALUE(MID(aoc_02_input[[#This Row],[InputNumbers]],aoc_02_input[[#This Row],[PosDash]]+1,5))</f>
        <v>4</v>
      </c>
      <c r="G656" s="1" t="str">
        <f>LEFT(aoc_02_input[[#This Row],[InputChar]],1)</f>
        <v>p</v>
      </c>
      <c r="H656" s="1" cm="1">
        <f t="array" ref="H656">CountChar(aoc_02_input[[#This Row],[Password]],aoc_02_input[[#This Row],[Char]])</f>
        <v>3</v>
      </c>
      <c r="I656" s="1">
        <f>IF(AND(aoc_02_input[[#This Row],[Int1]]&lt;=aoc_02_input[[#This Row],[CountOfChar]],aoc_02_input[[#This Row],[CountOfChar]]&lt;=aoc_02_input[[#This Row],[Int2]]),1,0)</f>
        <v>1</v>
      </c>
      <c r="J656" s="1" t="str">
        <f>MID(aoc_02_input[[#This Row],[Password]],aoc_02_input[[#This Row],[Int1]],1)</f>
        <v>p</v>
      </c>
      <c r="K656" s="1">
        <f>IF(aoc_02_input[[#This Row],[Pos1]]=aoc_02_input[[#This Row],[Char]],1,0)</f>
        <v>1</v>
      </c>
      <c r="L656" s="1" t="str">
        <f>MID(aoc_02_input[[#This Row],[Password]],aoc_02_input[[#This Row],[Int2]],1)</f>
        <v>p</v>
      </c>
      <c r="M656" s="1">
        <f>IF(aoc_02_input[[#This Row],[Pos2]]=aoc_02_input[[#This Row],[Char]],1,0)</f>
        <v>1</v>
      </c>
      <c r="N656" s="1">
        <f>IF(aoc_02_input[[#This Row],[Pos1Valid]]&lt;&gt;aoc_02_input[[#This Row],[Pos2Valid]],1,0)</f>
        <v>0</v>
      </c>
    </row>
    <row r="657" spans="1:14" x14ac:dyDescent="0.45">
      <c r="A657" s="1" t="s">
        <v>502</v>
      </c>
      <c r="B657" s="1" t="s">
        <v>252</v>
      </c>
      <c r="C657" s="1" t="s">
        <v>350</v>
      </c>
      <c r="D657" s="1">
        <f>FIND("-",aoc_02_input[[#This Row],[InputNumbers]])</f>
        <v>3</v>
      </c>
      <c r="E657" s="1">
        <f>_xlfn.NUMBERVALUE(LEFT(aoc_02_input[[#This Row],[InputNumbers]],aoc_02_input[[#This Row],[PosDash]]-1))</f>
        <v>14</v>
      </c>
      <c r="F657" s="1">
        <f>_xlfn.NUMBERVALUE(MID(aoc_02_input[[#This Row],[InputNumbers]],aoc_02_input[[#This Row],[PosDash]]+1,5))</f>
        <v>18</v>
      </c>
      <c r="G657" s="1" t="str">
        <f>LEFT(aoc_02_input[[#This Row],[InputChar]],1)</f>
        <v>p</v>
      </c>
      <c r="H657" s="1" cm="1">
        <f t="array" ref="H657">CountChar(aoc_02_input[[#This Row],[Password]],aoc_02_input[[#This Row],[Char]])</f>
        <v>18</v>
      </c>
      <c r="I657" s="1">
        <f>IF(AND(aoc_02_input[[#This Row],[Int1]]&lt;=aoc_02_input[[#This Row],[CountOfChar]],aoc_02_input[[#This Row],[CountOfChar]]&lt;=aoc_02_input[[#This Row],[Int2]]),1,0)</f>
        <v>1</v>
      </c>
      <c r="J657" s="1" t="str">
        <f>MID(aoc_02_input[[#This Row],[Password]],aoc_02_input[[#This Row],[Int1]],1)</f>
        <v>p</v>
      </c>
      <c r="K657" s="1">
        <f>IF(aoc_02_input[[#This Row],[Pos1]]=aoc_02_input[[#This Row],[Char]],1,0)</f>
        <v>1</v>
      </c>
      <c r="L657" s="1" t="str">
        <f>MID(aoc_02_input[[#This Row],[Password]],aoc_02_input[[#This Row],[Int2]],1)</f>
        <v>p</v>
      </c>
      <c r="M657" s="1">
        <f>IF(aoc_02_input[[#This Row],[Pos2]]=aoc_02_input[[#This Row],[Char]],1,0)</f>
        <v>1</v>
      </c>
      <c r="N657" s="1">
        <f>IF(aoc_02_input[[#This Row],[Pos1Valid]]&lt;&gt;aoc_02_input[[#This Row],[Pos2Valid]],1,0)</f>
        <v>0</v>
      </c>
    </row>
    <row r="658" spans="1:14" x14ac:dyDescent="0.45">
      <c r="A658" s="1" t="s">
        <v>307</v>
      </c>
      <c r="B658" s="1" t="s">
        <v>207</v>
      </c>
      <c r="C658" s="1" t="s">
        <v>1017</v>
      </c>
      <c r="D658" s="1">
        <f>FIND("-",aoc_02_input[[#This Row],[InputNumbers]])</f>
        <v>2</v>
      </c>
      <c r="E658" s="1">
        <f>_xlfn.NUMBERVALUE(LEFT(aoc_02_input[[#This Row],[InputNumbers]],aoc_02_input[[#This Row],[PosDash]]-1))</f>
        <v>3</v>
      </c>
      <c r="F658" s="1">
        <f>_xlfn.NUMBERVALUE(MID(aoc_02_input[[#This Row],[InputNumbers]],aoc_02_input[[#This Row],[PosDash]]+1,5))</f>
        <v>5</v>
      </c>
      <c r="G658" s="1" t="str">
        <f>LEFT(aoc_02_input[[#This Row],[InputChar]],1)</f>
        <v>b</v>
      </c>
      <c r="H658" s="1" cm="1">
        <f t="array" ref="H658">CountChar(aoc_02_input[[#This Row],[Password]],aoc_02_input[[#This Row],[Char]])</f>
        <v>3</v>
      </c>
      <c r="I658" s="1">
        <f>IF(AND(aoc_02_input[[#This Row],[Int1]]&lt;=aoc_02_input[[#This Row],[CountOfChar]],aoc_02_input[[#This Row],[CountOfChar]]&lt;=aoc_02_input[[#This Row],[Int2]]),1,0)</f>
        <v>1</v>
      </c>
      <c r="J658" s="1" t="str">
        <f>MID(aoc_02_input[[#This Row],[Password]],aoc_02_input[[#This Row],[Int1]],1)</f>
        <v>b</v>
      </c>
      <c r="K658" s="1">
        <f>IF(aoc_02_input[[#This Row],[Pos1]]=aoc_02_input[[#This Row],[Char]],1,0)</f>
        <v>1</v>
      </c>
      <c r="L658" s="1" t="str">
        <f>MID(aoc_02_input[[#This Row],[Password]],aoc_02_input[[#This Row],[Int2]],1)</f>
        <v>b</v>
      </c>
      <c r="M658" s="1">
        <f>IF(aoc_02_input[[#This Row],[Pos2]]=aoc_02_input[[#This Row],[Char]],1,0)</f>
        <v>1</v>
      </c>
      <c r="N658" s="1">
        <f>IF(aoc_02_input[[#This Row],[Pos1Valid]]&lt;&gt;aoc_02_input[[#This Row],[Pos2Valid]],1,0)</f>
        <v>0</v>
      </c>
    </row>
    <row r="659" spans="1:14" x14ac:dyDescent="0.45">
      <c r="A659" s="1" t="s">
        <v>441</v>
      </c>
      <c r="B659" s="1" t="s">
        <v>210</v>
      </c>
      <c r="C659" s="1" t="s">
        <v>1018</v>
      </c>
      <c r="D659" s="1">
        <f>FIND("-",aoc_02_input[[#This Row],[InputNumbers]])</f>
        <v>3</v>
      </c>
      <c r="E659" s="1">
        <f>_xlfn.NUMBERVALUE(LEFT(aoc_02_input[[#This Row],[InputNumbers]],aoc_02_input[[#This Row],[PosDash]]-1))</f>
        <v>11</v>
      </c>
      <c r="F659" s="1">
        <f>_xlfn.NUMBERVALUE(MID(aoc_02_input[[#This Row],[InputNumbers]],aoc_02_input[[#This Row],[PosDash]]+1,5))</f>
        <v>13</v>
      </c>
      <c r="G659" s="1" t="str">
        <f>LEFT(aoc_02_input[[#This Row],[InputChar]],1)</f>
        <v>v</v>
      </c>
      <c r="H659" s="1" cm="1">
        <f t="array" ref="H659">CountChar(aoc_02_input[[#This Row],[Password]],aoc_02_input[[#This Row],[Char]])</f>
        <v>5</v>
      </c>
      <c r="I659" s="1">
        <f>IF(AND(aoc_02_input[[#This Row],[Int1]]&lt;=aoc_02_input[[#This Row],[CountOfChar]],aoc_02_input[[#This Row],[CountOfChar]]&lt;=aoc_02_input[[#This Row],[Int2]]),1,0)</f>
        <v>0</v>
      </c>
      <c r="J659" s="1" t="str">
        <f>MID(aoc_02_input[[#This Row],[Password]],aoc_02_input[[#This Row],[Int1]],1)</f>
        <v>c</v>
      </c>
      <c r="K659" s="1">
        <f>IF(aoc_02_input[[#This Row],[Pos1]]=aoc_02_input[[#This Row],[Char]],1,0)</f>
        <v>0</v>
      </c>
      <c r="L659" s="1" t="str">
        <f>MID(aoc_02_input[[#This Row],[Password]],aoc_02_input[[#This Row],[Int2]],1)</f>
        <v>c</v>
      </c>
      <c r="M659" s="1">
        <f>IF(aoc_02_input[[#This Row],[Pos2]]=aoc_02_input[[#This Row],[Char]],1,0)</f>
        <v>0</v>
      </c>
      <c r="N659" s="1">
        <f>IF(aoc_02_input[[#This Row],[Pos1Valid]]&lt;&gt;aoc_02_input[[#This Row],[Pos2Valid]],1,0)</f>
        <v>0</v>
      </c>
    </row>
    <row r="660" spans="1:14" x14ac:dyDescent="0.45">
      <c r="A660" s="1" t="s">
        <v>337</v>
      </c>
      <c r="B660" s="1" t="s">
        <v>216</v>
      </c>
      <c r="C660" s="1" t="s">
        <v>1019</v>
      </c>
      <c r="D660" s="1">
        <f>FIND("-",aoc_02_input[[#This Row],[InputNumbers]])</f>
        <v>3</v>
      </c>
      <c r="E660" s="1">
        <f>_xlfn.NUMBERVALUE(LEFT(aoc_02_input[[#This Row],[InputNumbers]],aoc_02_input[[#This Row],[PosDash]]-1))</f>
        <v>10</v>
      </c>
      <c r="F660" s="1">
        <f>_xlfn.NUMBERVALUE(MID(aoc_02_input[[#This Row],[InputNumbers]],aoc_02_input[[#This Row],[PosDash]]+1,5))</f>
        <v>13</v>
      </c>
      <c r="G660" s="1" t="str">
        <f>LEFT(aoc_02_input[[#This Row],[InputChar]],1)</f>
        <v>z</v>
      </c>
      <c r="H660" s="1" cm="1">
        <f t="array" ref="H660">CountChar(aoc_02_input[[#This Row],[Password]],aoc_02_input[[#This Row],[Char]])</f>
        <v>8</v>
      </c>
      <c r="I660" s="1">
        <f>IF(AND(aoc_02_input[[#This Row],[Int1]]&lt;=aoc_02_input[[#This Row],[CountOfChar]],aoc_02_input[[#This Row],[CountOfChar]]&lt;=aoc_02_input[[#This Row],[Int2]]),1,0)</f>
        <v>0</v>
      </c>
      <c r="J660" s="1" t="str">
        <f>MID(aoc_02_input[[#This Row],[Password]],aoc_02_input[[#This Row],[Int1]],1)</f>
        <v>t</v>
      </c>
      <c r="K660" s="1">
        <f>IF(aoc_02_input[[#This Row],[Pos1]]=aoc_02_input[[#This Row],[Char]],1,0)</f>
        <v>0</v>
      </c>
      <c r="L660" s="1" t="str">
        <f>MID(aoc_02_input[[#This Row],[Password]],aoc_02_input[[#This Row],[Int2]],1)</f>
        <v>z</v>
      </c>
      <c r="M660" s="1">
        <f>IF(aoc_02_input[[#This Row],[Pos2]]=aoc_02_input[[#This Row],[Char]],1,0)</f>
        <v>1</v>
      </c>
      <c r="N660" s="1">
        <f>IF(aoc_02_input[[#This Row],[Pos1Valid]]&lt;&gt;aoc_02_input[[#This Row],[Pos2Valid]],1,0)</f>
        <v>1</v>
      </c>
    </row>
    <row r="661" spans="1:14" x14ac:dyDescent="0.45">
      <c r="A661" s="1" t="s">
        <v>212</v>
      </c>
      <c r="B661" s="1" t="s">
        <v>238</v>
      </c>
      <c r="C661" s="1" t="s">
        <v>1020</v>
      </c>
      <c r="D661" s="1">
        <f>FIND("-",aoc_02_input[[#This Row],[InputNumbers]])</f>
        <v>2</v>
      </c>
      <c r="E661" s="1">
        <f>_xlfn.NUMBERVALUE(LEFT(aoc_02_input[[#This Row],[InputNumbers]],aoc_02_input[[#This Row],[PosDash]]-1))</f>
        <v>2</v>
      </c>
      <c r="F661" s="1">
        <f>_xlfn.NUMBERVALUE(MID(aoc_02_input[[#This Row],[InputNumbers]],aoc_02_input[[#This Row],[PosDash]]+1,5))</f>
        <v>5</v>
      </c>
      <c r="G661" s="1" t="str">
        <f>LEFT(aoc_02_input[[#This Row],[InputChar]],1)</f>
        <v>w</v>
      </c>
      <c r="H661" s="1" cm="1">
        <f t="array" ref="H661">CountChar(aoc_02_input[[#This Row],[Password]],aoc_02_input[[#This Row],[Char]])</f>
        <v>3</v>
      </c>
      <c r="I661" s="1">
        <f>IF(AND(aoc_02_input[[#This Row],[Int1]]&lt;=aoc_02_input[[#This Row],[CountOfChar]],aoc_02_input[[#This Row],[CountOfChar]]&lt;=aoc_02_input[[#This Row],[Int2]]),1,0)</f>
        <v>1</v>
      </c>
      <c r="J661" s="1" t="str">
        <f>MID(aoc_02_input[[#This Row],[Password]],aoc_02_input[[#This Row],[Int1]],1)</f>
        <v>w</v>
      </c>
      <c r="K661" s="1">
        <f>IF(aoc_02_input[[#This Row],[Pos1]]=aoc_02_input[[#This Row],[Char]],1,0)</f>
        <v>1</v>
      </c>
      <c r="L661" s="1" t="str">
        <f>MID(aoc_02_input[[#This Row],[Password]],aoc_02_input[[#This Row],[Int2]],1)</f>
        <v>w</v>
      </c>
      <c r="M661" s="1">
        <f>IF(aoc_02_input[[#This Row],[Pos2]]=aoc_02_input[[#This Row],[Char]],1,0)</f>
        <v>1</v>
      </c>
      <c r="N661" s="1">
        <f>IF(aoc_02_input[[#This Row],[Pos1Valid]]&lt;&gt;aoc_02_input[[#This Row],[Pos2Valid]],1,0)</f>
        <v>0</v>
      </c>
    </row>
    <row r="662" spans="1:14" x14ac:dyDescent="0.45">
      <c r="A662" s="1" t="s">
        <v>392</v>
      </c>
      <c r="B662" s="1" t="s">
        <v>295</v>
      </c>
      <c r="C662" s="1" t="s">
        <v>1021</v>
      </c>
      <c r="D662" s="1">
        <f>FIND("-",aoc_02_input[[#This Row],[InputNumbers]])</f>
        <v>2</v>
      </c>
      <c r="E662" s="1">
        <f>_xlfn.NUMBERVALUE(LEFT(aoc_02_input[[#This Row],[InputNumbers]],aoc_02_input[[#This Row],[PosDash]]-1))</f>
        <v>8</v>
      </c>
      <c r="F662" s="1">
        <f>_xlfn.NUMBERVALUE(MID(aoc_02_input[[#This Row],[InputNumbers]],aoc_02_input[[#This Row],[PosDash]]+1,5))</f>
        <v>9</v>
      </c>
      <c r="G662" s="1" t="str">
        <f>LEFT(aoc_02_input[[#This Row],[InputChar]],1)</f>
        <v>c</v>
      </c>
      <c r="H662" s="1" cm="1">
        <f t="array" ref="H662">CountChar(aoc_02_input[[#This Row],[Password]],aoc_02_input[[#This Row],[Char]])</f>
        <v>11</v>
      </c>
      <c r="I662" s="1">
        <f>IF(AND(aoc_02_input[[#This Row],[Int1]]&lt;=aoc_02_input[[#This Row],[CountOfChar]],aoc_02_input[[#This Row],[CountOfChar]]&lt;=aoc_02_input[[#This Row],[Int2]]),1,0)</f>
        <v>0</v>
      </c>
      <c r="J662" s="1" t="str">
        <f>MID(aoc_02_input[[#This Row],[Password]],aoc_02_input[[#This Row],[Int1]],1)</f>
        <v>g</v>
      </c>
      <c r="K662" s="1">
        <f>IF(aoc_02_input[[#This Row],[Pos1]]=aoc_02_input[[#This Row],[Char]],1,0)</f>
        <v>0</v>
      </c>
      <c r="L662" s="1" t="str">
        <f>MID(aoc_02_input[[#This Row],[Password]],aoc_02_input[[#This Row],[Int2]],1)</f>
        <v>s</v>
      </c>
      <c r="M662" s="1">
        <f>IF(aoc_02_input[[#This Row],[Pos2]]=aoc_02_input[[#This Row],[Char]],1,0)</f>
        <v>0</v>
      </c>
      <c r="N662" s="1">
        <f>IF(aoc_02_input[[#This Row],[Pos1Valid]]&lt;&gt;aoc_02_input[[#This Row],[Pos2Valid]],1,0)</f>
        <v>0</v>
      </c>
    </row>
    <row r="663" spans="1:14" x14ac:dyDescent="0.45">
      <c r="A663" s="1" t="s">
        <v>251</v>
      </c>
      <c r="B663" s="1" t="s">
        <v>278</v>
      </c>
      <c r="C663" s="1" t="s">
        <v>1022</v>
      </c>
      <c r="D663" s="1">
        <f>FIND("-",aoc_02_input[[#This Row],[InputNumbers]])</f>
        <v>2</v>
      </c>
      <c r="E663" s="1">
        <f>_xlfn.NUMBERVALUE(LEFT(aoc_02_input[[#This Row],[InputNumbers]],aoc_02_input[[#This Row],[PosDash]]-1))</f>
        <v>5</v>
      </c>
      <c r="F663" s="1">
        <f>_xlfn.NUMBERVALUE(MID(aoc_02_input[[#This Row],[InputNumbers]],aoc_02_input[[#This Row],[PosDash]]+1,5))</f>
        <v>6</v>
      </c>
      <c r="G663" s="1" t="str">
        <f>LEFT(aoc_02_input[[#This Row],[InputChar]],1)</f>
        <v>x</v>
      </c>
      <c r="H663" s="1" cm="1">
        <f t="array" ref="H663">CountChar(aoc_02_input[[#This Row],[Password]],aoc_02_input[[#This Row],[Char]])</f>
        <v>15</v>
      </c>
      <c r="I663" s="1">
        <f>IF(AND(aoc_02_input[[#This Row],[Int1]]&lt;=aoc_02_input[[#This Row],[CountOfChar]],aoc_02_input[[#This Row],[CountOfChar]]&lt;=aoc_02_input[[#This Row],[Int2]]),1,0)</f>
        <v>0</v>
      </c>
      <c r="J663" s="1" t="str">
        <f>MID(aoc_02_input[[#This Row],[Password]],aoc_02_input[[#This Row],[Int1]],1)</f>
        <v>x</v>
      </c>
      <c r="K663" s="1">
        <f>IF(aoc_02_input[[#This Row],[Pos1]]=aoc_02_input[[#This Row],[Char]],1,0)</f>
        <v>1</v>
      </c>
      <c r="L663" s="1" t="str">
        <f>MID(aoc_02_input[[#This Row],[Password]],aoc_02_input[[#This Row],[Int2]],1)</f>
        <v>j</v>
      </c>
      <c r="M663" s="1">
        <f>IF(aoc_02_input[[#This Row],[Pos2]]=aoc_02_input[[#This Row],[Char]],1,0)</f>
        <v>0</v>
      </c>
      <c r="N663" s="1">
        <f>IF(aoc_02_input[[#This Row],[Pos1Valid]]&lt;&gt;aoc_02_input[[#This Row],[Pos2Valid]],1,0)</f>
        <v>1</v>
      </c>
    </row>
    <row r="664" spans="1:14" x14ac:dyDescent="0.45">
      <c r="A664" s="1" t="s">
        <v>452</v>
      </c>
      <c r="B664" s="1" t="s">
        <v>314</v>
      </c>
      <c r="C664" s="1" t="s">
        <v>1023</v>
      </c>
      <c r="D664" s="1">
        <f>FIND("-",aoc_02_input[[#This Row],[InputNumbers]])</f>
        <v>3</v>
      </c>
      <c r="E664" s="1">
        <f>_xlfn.NUMBERVALUE(LEFT(aoc_02_input[[#This Row],[InputNumbers]],aoc_02_input[[#This Row],[PosDash]]-1))</f>
        <v>14</v>
      </c>
      <c r="F664" s="1">
        <f>_xlfn.NUMBERVALUE(MID(aoc_02_input[[#This Row],[InputNumbers]],aoc_02_input[[#This Row],[PosDash]]+1,5))</f>
        <v>15</v>
      </c>
      <c r="G664" s="1" t="str">
        <f>LEFT(aoc_02_input[[#This Row],[InputChar]],1)</f>
        <v>h</v>
      </c>
      <c r="H664" s="1" cm="1">
        <f t="array" ref="H664">CountChar(aoc_02_input[[#This Row],[Password]],aoc_02_input[[#This Row],[Char]])</f>
        <v>13</v>
      </c>
      <c r="I664" s="1">
        <f>IF(AND(aoc_02_input[[#This Row],[Int1]]&lt;=aoc_02_input[[#This Row],[CountOfChar]],aoc_02_input[[#This Row],[CountOfChar]]&lt;=aoc_02_input[[#This Row],[Int2]]),1,0)</f>
        <v>0</v>
      </c>
      <c r="J664" s="1" t="str">
        <f>MID(aoc_02_input[[#This Row],[Password]],aoc_02_input[[#This Row],[Int1]],1)</f>
        <v>h</v>
      </c>
      <c r="K664" s="1">
        <f>IF(aoc_02_input[[#This Row],[Pos1]]=aoc_02_input[[#This Row],[Char]],1,0)</f>
        <v>1</v>
      </c>
      <c r="L664" s="1" t="str">
        <f>MID(aoc_02_input[[#This Row],[Password]],aoc_02_input[[#This Row],[Int2]],1)</f>
        <v>m</v>
      </c>
      <c r="M664" s="1">
        <f>IF(aoc_02_input[[#This Row],[Pos2]]=aoc_02_input[[#This Row],[Char]],1,0)</f>
        <v>0</v>
      </c>
      <c r="N664" s="1">
        <f>IF(aoc_02_input[[#This Row],[Pos1Valid]]&lt;&gt;aoc_02_input[[#This Row],[Pos2Valid]],1,0)</f>
        <v>1</v>
      </c>
    </row>
    <row r="665" spans="1:14" x14ac:dyDescent="0.45">
      <c r="A665" s="1" t="s">
        <v>458</v>
      </c>
      <c r="B665" s="1" t="s">
        <v>222</v>
      </c>
      <c r="C665" s="1" t="s">
        <v>1024</v>
      </c>
      <c r="D665" s="1">
        <f>FIND("-",aoc_02_input[[#This Row],[InputNumbers]])</f>
        <v>2</v>
      </c>
      <c r="E665" s="1">
        <f>_xlfn.NUMBERVALUE(LEFT(aoc_02_input[[#This Row],[InputNumbers]],aoc_02_input[[#This Row],[PosDash]]-1))</f>
        <v>9</v>
      </c>
      <c r="F665" s="1">
        <f>_xlfn.NUMBERVALUE(MID(aoc_02_input[[#This Row],[InputNumbers]],aoc_02_input[[#This Row],[PosDash]]+1,5))</f>
        <v>12</v>
      </c>
      <c r="G665" s="1" t="str">
        <f>LEFT(aoc_02_input[[#This Row],[InputChar]],1)</f>
        <v>l</v>
      </c>
      <c r="H665" s="1" cm="1">
        <f t="array" ref="H665">CountChar(aoc_02_input[[#This Row],[Password]],aoc_02_input[[#This Row],[Char]])</f>
        <v>12</v>
      </c>
      <c r="I665" s="1">
        <f>IF(AND(aoc_02_input[[#This Row],[Int1]]&lt;=aoc_02_input[[#This Row],[CountOfChar]],aoc_02_input[[#This Row],[CountOfChar]]&lt;=aoc_02_input[[#This Row],[Int2]]),1,0)</f>
        <v>1</v>
      </c>
      <c r="J665" s="1" t="str">
        <f>MID(aoc_02_input[[#This Row],[Password]],aoc_02_input[[#This Row],[Int1]],1)</f>
        <v>l</v>
      </c>
      <c r="K665" s="1">
        <f>IF(aoc_02_input[[#This Row],[Pos1]]=aoc_02_input[[#This Row],[Char]],1,0)</f>
        <v>1</v>
      </c>
      <c r="L665" s="1" t="str">
        <f>MID(aoc_02_input[[#This Row],[Password]],aoc_02_input[[#This Row],[Int2]],1)</f>
        <v>b</v>
      </c>
      <c r="M665" s="1">
        <f>IF(aoc_02_input[[#This Row],[Pos2]]=aoc_02_input[[#This Row],[Char]],1,0)</f>
        <v>0</v>
      </c>
      <c r="N665" s="1">
        <f>IF(aoc_02_input[[#This Row],[Pos1Valid]]&lt;&gt;aoc_02_input[[#This Row],[Pos2Valid]],1,0)</f>
        <v>1</v>
      </c>
    </row>
    <row r="666" spans="1:14" x14ac:dyDescent="0.45">
      <c r="A666" s="1" t="s">
        <v>234</v>
      </c>
      <c r="B666" s="1" t="s">
        <v>225</v>
      </c>
      <c r="C666" s="1" t="s">
        <v>1025</v>
      </c>
      <c r="D666" s="1">
        <f>FIND("-",aoc_02_input[[#This Row],[InputNumbers]])</f>
        <v>2</v>
      </c>
      <c r="E666" s="1">
        <f>_xlfn.NUMBERVALUE(LEFT(aoc_02_input[[#This Row],[InputNumbers]],aoc_02_input[[#This Row],[PosDash]]-1))</f>
        <v>7</v>
      </c>
      <c r="F666" s="1">
        <f>_xlfn.NUMBERVALUE(MID(aoc_02_input[[#This Row],[InputNumbers]],aoc_02_input[[#This Row],[PosDash]]+1,5))</f>
        <v>8</v>
      </c>
      <c r="G666" s="1" t="str">
        <f>LEFT(aoc_02_input[[#This Row],[InputChar]],1)</f>
        <v>j</v>
      </c>
      <c r="H666" s="1" cm="1">
        <f t="array" ref="H666">CountChar(aoc_02_input[[#This Row],[Password]],aoc_02_input[[#This Row],[Char]])</f>
        <v>7</v>
      </c>
      <c r="I666" s="1">
        <f>IF(AND(aoc_02_input[[#This Row],[Int1]]&lt;=aoc_02_input[[#This Row],[CountOfChar]],aoc_02_input[[#This Row],[CountOfChar]]&lt;=aoc_02_input[[#This Row],[Int2]]),1,0)</f>
        <v>1</v>
      </c>
      <c r="J666" s="1" t="str">
        <f>MID(aoc_02_input[[#This Row],[Password]],aoc_02_input[[#This Row],[Int1]],1)</f>
        <v>r</v>
      </c>
      <c r="K666" s="1">
        <f>IF(aoc_02_input[[#This Row],[Pos1]]=aoc_02_input[[#This Row],[Char]],1,0)</f>
        <v>0</v>
      </c>
      <c r="L666" s="1" t="str">
        <f>MID(aoc_02_input[[#This Row],[Password]],aoc_02_input[[#This Row],[Int2]],1)</f>
        <v>j</v>
      </c>
      <c r="M666" s="1">
        <f>IF(aoc_02_input[[#This Row],[Pos2]]=aoc_02_input[[#This Row],[Char]],1,0)</f>
        <v>1</v>
      </c>
      <c r="N666" s="1">
        <f>IF(aoc_02_input[[#This Row],[Pos1Valid]]&lt;&gt;aoc_02_input[[#This Row],[Pos2Valid]],1,0)</f>
        <v>1</v>
      </c>
    </row>
    <row r="667" spans="1:14" x14ac:dyDescent="0.45">
      <c r="A667" s="1" t="s">
        <v>766</v>
      </c>
      <c r="B667" s="1" t="s">
        <v>238</v>
      </c>
      <c r="C667" s="1" t="s">
        <v>1026</v>
      </c>
      <c r="D667" s="1">
        <f>FIND("-",aoc_02_input[[#This Row],[InputNumbers]])</f>
        <v>2</v>
      </c>
      <c r="E667" s="1">
        <f>_xlfn.NUMBERVALUE(LEFT(aoc_02_input[[#This Row],[InputNumbers]],aoc_02_input[[#This Row],[PosDash]]-1))</f>
        <v>9</v>
      </c>
      <c r="F667" s="1">
        <f>_xlfn.NUMBERVALUE(MID(aoc_02_input[[#This Row],[InputNumbers]],aoc_02_input[[#This Row],[PosDash]]+1,5))</f>
        <v>13</v>
      </c>
      <c r="G667" s="1" t="str">
        <f>LEFT(aoc_02_input[[#This Row],[InputChar]],1)</f>
        <v>w</v>
      </c>
      <c r="H667" s="1" cm="1">
        <f t="array" ref="H667">CountChar(aoc_02_input[[#This Row],[Password]],aoc_02_input[[#This Row],[Char]])</f>
        <v>4</v>
      </c>
      <c r="I667" s="1">
        <f>IF(AND(aoc_02_input[[#This Row],[Int1]]&lt;=aoc_02_input[[#This Row],[CountOfChar]],aoc_02_input[[#This Row],[CountOfChar]]&lt;=aoc_02_input[[#This Row],[Int2]]),1,0)</f>
        <v>0</v>
      </c>
      <c r="J667" s="1" t="str">
        <f>MID(aoc_02_input[[#This Row],[Password]],aoc_02_input[[#This Row],[Int1]],1)</f>
        <v>p</v>
      </c>
      <c r="K667" s="1">
        <f>IF(aoc_02_input[[#This Row],[Pos1]]=aoc_02_input[[#This Row],[Char]],1,0)</f>
        <v>0</v>
      </c>
      <c r="L667" s="1" t="str">
        <f>MID(aoc_02_input[[#This Row],[Password]],aoc_02_input[[#This Row],[Int2]],1)</f>
        <v>f</v>
      </c>
      <c r="M667" s="1">
        <f>IF(aoc_02_input[[#This Row],[Pos2]]=aoc_02_input[[#This Row],[Char]],1,0)</f>
        <v>0</v>
      </c>
      <c r="N667" s="1">
        <f>IF(aoc_02_input[[#This Row],[Pos1Valid]]&lt;&gt;aoc_02_input[[#This Row],[Pos2Valid]],1,0)</f>
        <v>0</v>
      </c>
    </row>
    <row r="668" spans="1:14" x14ac:dyDescent="0.45">
      <c r="A668" s="1" t="s">
        <v>352</v>
      </c>
      <c r="B668" s="1" t="s">
        <v>238</v>
      </c>
      <c r="C668" s="1" t="s">
        <v>1027</v>
      </c>
      <c r="D668" s="1">
        <f>FIND("-",aoc_02_input[[#This Row],[InputNumbers]])</f>
        <v>3</v>
      </c>
      <c r="E668" s="1">
        <f>_xlfn.NUMBERVALUE(LEFT(aoc_02_input[[#This Row],[InputNumbers]],aoc_02_input[[#This Row],[PosDash]]-1))</f>
        <v>15</v>
      </c>
      <c r="F668" s="1">
        <f>_xlfn.NUMBERVALUE(MID(aoc_02_input[[#This Row],[InputNumbers]],aoc_02_input[[#This Row],[PosDash]]+1,5))</f>
        <v>16</v>
      </c>
      <c r="G668" s="1" t="str">
        <f>LEFT(aoc_02_input[[#This Row],[InputChar]],1)</f>
        <v>w</v>
      </c>
      <c r="H668" s="1" cm="1">
        <f t="array" ref="H668">CountChar(aoc_02_input[[#This Row],[Password]],aoc_02_input[[#This Row],[Char]])</f>
        <v>13</v>
      </c>
      <c r="I668" s="1">
        <f>IF(AND(aoc_02_input[[#This Row],[Int1]]&lt;=aoc_02_input[[#This Row],[CountOfChar]],aoc_02_input[[#This Row],[CountOfChar]]&lt;=aoc_02_input[[#This Row],[Int2]]),1,0)</f>
        <v>0</v>
      </c>
      <c r="J668" s="1" t="str">
        <f>MID(aoc_02_input[[#This Row],[Password]],aoc_02_input[[#This Row],[Int1]],1)</f>
        <v>w</v>
      </c>
      <c r="K668" s="1">
        <f>IF(aoc_02_input[[#This Row],[Pos1]]=aoc_02_input[[#This Row],[Char]],1,0)</f>
        <v>1</v>
      </c>
      <c r="L668" s="1" t="str">
        <f>MID(aoc_02_input[[#This Row],[Password]],aoc_02_input[[#This Row],[Int2]],1)</f>
        <v>k</v>
      </c>
      <c r="M668" s="1">
        <f>IF(aoc_02_input[[#This Row],[Pos2]]=aoc_02_input[[#This Row],[Char]],1,0)</f>
        <v>0</v>
      </c>
      <c r="N668" s="1">
        <f>IF(aoc_02_input[[#This Row],[Pos1Valid]]&lt;&gt;aoc_02_input[[#This Row],[Pos2Valid]],1,0)</f>
        <v>1</v>
      </c>
    </row>
    <row r="669" spans="1:14" x14ac:dyDescent="0.45">
      <c r="A669" s="1" t="s">
        <v>747</v>
      </c>
      <c r="B669" s="1" t="s">
        <v>219</v>
      </c>
      <c r="C669" s="1" t="s">
        <v>1028</v>
      </c>
      <c r="D669" s="1">
        <f>FIND("-",aoc_02_input[[#This Row],[InputNumbers]])</f>
        <v>2</v>
      </c>
      <c r="E669" s="1">
        <f>_xlfn.NUMBERVALUE(LEFT(aoc_02_input[[#This Row],[InputNumbers]],aoc_02_input[[#This Row],[PosDash]]-1))</f>
        <v>5</v>
      </c>
      <c r="F669" s="1">
        <f>_xlfn.NUMBERVALUE(MID(aoc_02_input[[#This Row],[InputNumbers]],aoc_02_input[[#This Row],[PosDash]]+1,5))</f>
        <v>11</v>
      </c>
      <c r="G669" s="1" t="str">
        <f>LEFT(aoc_02_input[[#This Row],[InputChar]],1)</f>
        <v>g</v>
      </c>
      <c r="H669" s="1" cm="1">
        <f t="array" ref="H669">CountChar(aoc_02_input[[#This Row],[Password]],aoc_02_input[[#This Row],[Char]])</f>
        <v>10</v>
      </c>
      <c r="I669" s="1">
        <f>IF(AND(aoc_02_input[[#This Row],[Int1]]&lt;=aoc_02_input[[#This Row],[CountOfChar]],aoc_02_input[[#This Row],[CountOfChar]]&lt;=aoc_02_input[[#This Row],[Int2]]),1,0)</f>
        <v>1</v>
      </c>
      <c r="J669" s="1" t="str">
        <f>MID(aoc_02_input[[#This Row],[Password]],aoc_02_input[[#This Row],[Int1]],1)</f>
        <v>x</v>
      </c>
      <c r="K669" s="1">
        <f>IF(aoc_02_input[[#This Row],[Pos1]]=aoc_02_input[[#This Row],[Char]],1,0)</f>
        <v>0</v>
      </c>
      <c r="L669" s="1" t="str">
        <f>MID(aoc_02_input[[#This Row],[Password]],aoc_02_input[[#This Row],[Int2]],1)</f>
        <v>n</v>
      </c>
      <c r="M669" s="1">
        <f>IF(aoc_02_input[[#This Row],[Pos2]]=aoc_02_input[[#This Row],[Char]],1,0)</f>
        <v>0</v>
      </c>
      <c r="N669" s="1">
        <f>IF(aoc_02_input[[#This Row],[Pos1Valid]]&lt;&gt;aoc_02_input[[#This Row],[Pos2Valid]],1,0)</f>
        <v>0</v>
      </c>
    </row>
    <row r="670" spans="1:14" x14ac:dyDescent="0.45">
      <c r="A670" s="1" t="s">
        <v>410</v>
      </c>
      <c r="B670" s="1" t="s">
        <v>314</v>
      </c>
      <c r="C670" s="1" t="s">
        <v>1029</v>
      </c>
      <c r="D670" s="1">
        <f>FIND("-",aoc_02_input[[#This Row],[InputNumbers]])</f>
        <v>2</v>
      </c>
      <c r="E670" s="1">
        <f>_xlfn.NUMBERVALUE(LEFT(aoc_02_input[[#This Row],[InputNumbers]],aoc_02_input[[#This Row],[PosDash]]-1))</f>
        <v>5</v>
      </c>
      <c r="F670" s="1">
        <f>_xlfn.NUMBERVALUE(MID(aoc_02_input[[#This Row],[InputNumbers]],aoc_02_input[[#This Row],[PosDash]]+1,5))</f>
        <v>9</v>
      </c>
      <c r="G670" s="1" t="str">
        <f>LEFT(aoc_02_input[[#This Row],[InputChar]],1)</f>
        <v>h</v>
      </c>
      <c r="H670" s="1" cm="1">
        <f t="array" ref="H670">CountChar(aoc_02_input[[#This Row],[Password]],aoc_02_input[[#This Row],[Char]])</f>
        <v>10</v>
      </c>
      <c r="I670" s="1">
        <f>IF(AND(aoc_02_input[[#This Row],[Int1]]&lt;=aoc_02_input[[#This Row],[CountOfChar]],aoc_02_input[[#This Row],[CountOfChar]]&lt;=aoc_02_input[[#This Row],[Int2]]),1,0)</f>
        <v>0</v>
      </c>
      <c r="J670" s="1" t="str">
        <f>MID(aoc_02_input[[#This Row],[Password]],aoc_02_input[[#This Row],[Int1]],1)</f>
        <v>h</v>
      </c>
      <c r="K670" s="1">
        <f>IF(aoc_02_input[[#This Row],[Pos1]]=aoc_02_input[[#This Row],[Char]],1,0)</f>
        <v>1</v>
      </c>
      <c r="L670" s="1" t="str">
        <f>MID(aoc_02_input[[#This Row],[Password]],aoc_02_input[[#This Row],[Int2]],1)</f>
        <v>l</v>
      </c>
      <c r="M670" s="1">
        <f>IF(aoc_02_input[[#This Row],[Pos2]]=aoc_02_input[[#This Row],[Char]],1,0)</f>
        <v>0</v>
      </c>
      <c r="N670" s="1">
        <f>IF(aoc_02_input[[#This Row],[Pos1Valid]]&lt;&gt;aoc_02_input[[#This Row],[Pos2Valid]],1,0)</f>
        <v>1</v>
      </c>
    </row>
    <row r="671" spans="1:14" x14ac:dyDescent="0.45">
      <c r="A671" s="1" t="s">
        <v>294</v>
      </c>
      <c r="B671" s="1" t="s">
        <v>265</v>
      </c>
      <c r="C671" s="1" t="s">
        <v>1030</v>
      </c>
      <c r="D671" s="1">
        <f>FIND("-",aoc_02_input[[#This Row],[InputNumbers]])</f>
        <v>2</v>
      </c>
      <c r="E671" s="1">
        <f>_xlfn.NUMBERVALUE(LEFT(aoc_02_input[[#This Row],[InputNumbers]],aoc_02_input[[#This Row],[PosDash]]-1))</f>
        <v>7</v>
      </c>
      <c r="F671" s="1">
        <f>_xlfn.NUMBERVALUE(MID(aoc_02_input[[#This Row],[InputNumbers]],aoc_02_input[[#This Row],[PosDash]]+1,5))</f>
        <v>11</v>
      </c>
      <c r="G671" s="1" t="str">
        <f>LEFT(aoc_02_input[[#This Row],[InputChar]],1)</f>
        <v>r</v>
      </c>
      <c r="H671" s="1" cm="1">
        <f t="array" ref="H671">CountChar(aoc_02_input[[#This Row],[Password]],aoc_02_input[[#This Row],[Char]])</f>
        <v>8</v>
      </c>
      <c r="I671" s="1">
        <f>IF(AND(aoc_02_input[[#This Row],[Int1]]&lt;=aoc_02_input[[#This Row],[CountOfChar]],aoc_02_input[[#This Row],[CountOfChar]]&lt;=aoc_02_input[[#This Row],[Int2]]),1,0)</f>
        <v>1</v>
      </c>
      <c r="J671" s="1" t="str">
        <f>MID(aoc_02_input[[#This Row],[Password]],aoc_02_input[[#This Row],[Int1]],1)</f>
        <v>h</v>
      </c>
      <c r="K671" s="1">
        <f>IF(aoc_02_input[[#This Row],[Pos1]]=aoc_02_input[[#This Row],[Char]],1,0)</f>
        <v>0</v>
      </c>
      <c r="L671" s="1" t="str">
        <f>MID(aoc_02_input[[#This Row],[Password]],aoc_02_input[[#This Row],[Int2]],1)</f>
        <v>t</v>
      </c>
      <c r="M671" s="1">
        <f>IF(aoc_02_input[[#This Row],[Pos2]]=aoc_02_input[[#This Row],[Char]],1,0)</f>
        <v>0</v>
      </c>
      <c r="N671" s="1">
        <f>IF(aoc_02_input[[#This Row],[Pos1Valid]]&lt;&gt;aoc_02_input[[#This Row],[Pos2Valid]],1,0)</f>
        <v>0</v>
      </c>
    </row>
    <row r="672" spans="1:14" x14ac:dyDescent="0.45">
      <c r="A672" s="1" t="s">
        <v>698</v>
      </c>
      <c r="B672" s="1" t="s">
        <v>246</v>
      </c>
      <c r="C672" s="1" t="s">
        <v>1031</v>
      </c>
      <c r="D672" s="1">
        <f>FIND("-",aoc_02_input[[#This Row],[InputNumbers]])</f>
        <v>2</v>
      </c>
      <c r="E672" s="1">
        <f>_xlfn.NUMBERVALUE(LEFT(aoc_02_input[[#This Row],[InputNumbers]],aoc_02_input[[#This Row],[PosDash]]-1))</f>
        <v>5</v>
      </c>
      <c r="F672" s="1">
        <f>_xlfn.NUMBERVALUE(MID(aoc_02_input[[#This Row],[InputNumbers]],aoc_02_input[[#This Row],[PosDash]]+1,5))</f>
        <v>10</v>
      </c>
      <c r="G672" s="1" t="str">
        <f>LEFT(aoc_02_input[[#This Row],[InputChar]],1)</f>
        <v>n</v>
      </c>
      <c r="H672" s="1" cm="1">
        <f t="array" ref="H672">CountChar(aoc_02_input[[#This Row],[Password]],aoc_02_input[[#This Row],[Char]])</f>
        <v>6</v>
      </c>
      <c r="I672" s="1">
        <f>IF(AND(aoc_02_input[[#This Row],[Int1]]&lt;=aoc_02_input[[#This Row],[CountOfChar]],aoc_02_input[[#This Row],[CountOfChar]]&lt;=aoc_02_input[[#This Row],[Int2]]),1,0)</f>
        <v>1</v>
      </c>
      <c r="J672" s="1" t="str">
        <f>MID(aoc_02_input[[#This Row],[Password]],aoc_02_input[[#This Row],[Int1]],1)</f>
        <v>n</v>
      </c>
      <c r="K672" s="1">
        <f>IF(aoc_02_input[[#This Row],[Pos1]]=aoc_02_input[[#This Row],[Char]],1,0)</f>
        <v>1</v>
      </c>
      <c r="L672" s="1" t="str">
        <f>MID(aoc_02_input[[#This Row],[Password]],aoc_02_input[[#This Row],[Int2]],1)</f>
        <v>n</v>
      </c>
      <c r="M672" s="1">
        <f>IF(aoc_02_input[[#This Row],[Pos2]]=aoc_02_input[[#This Row],[Char]],1,0)</f>
        <v>1</v>
      </c>
      <c r="N672" s="1">
        <f>IF(aoc_02_input[[#This Row],[Pos1Valid]]&lt;&gt;aoc_02_input[[#This Row],[Pos2Valid]],1,0)</f>
        <v>0</v>
      </c>
    </row>
    <row r="673" spans="1:14" x14ac:dyDescent="0.45">
      <c r="A673" s="1" t="s">
        <v>277</v>
      </c>
      <c r="B673" s="1" t="s">
        <v>228</v>
      </c>
      <c r="C673" s="1" t="s">
        <v>1032</v>
      </c>
      <c r="D673" s="1">
        <f>FIND("-",aoc_02_input[[#This Row],[InputNumbers]])</f>
        <v>2</v>
      </c>
      <c r="E673" s="1">
        <f>_xlfn.NUMBERVALUE(LEFT(aoc_02_input[[#This Row],[InputNumbers]],aoc_02_input[[#This Row],[PosDash]]-1))</f>
        <v>7</v>
      </c>
      <c r="F673" s="1">
        <f>_xlfn.NUMBERVALUE(MID(aoc_02_input[[#This Row],[InputNumbers]],aoc_02_input[[#This Row],[PosDash]]+1,5))</f>
        <v>12</v>
      </c>
      <c r="G673" s="1" t="str">
        <f>LEFT(aoc_02_input[[#This Row],[InputChar]],1)</f>
        <v>t</v>
      </c>
      <c r="H673" s="1" cm="1">
        <f t="array" ref="H673">CountChar(aoc_02_input[[#This Row],[Password]],aoc_02_input[[#This Row],[Char]])</f>
        <v>8</v>
      </c>
      <c r="I673" s="1">
        <f>IF(AND(aoc_02_input[[#This Row],[Int1]]&lt;=aoc_02_input[[#This Row],[CountOfChar]],aoc_02_input[[#This Row],[CountOfChar]]&lt;=aoc_02_input[[#This Row],[Int2]]),1,0)</f>
        <v>1</v>
      </c>
      <c r="J673" s="1" t="str">
        <f>MID(aoc_02_input[[#This Row],[Password]],aoc_02_input[[#This Row],[Int1]],1)</f>
        <v>k</v>
      </c>
      <c r="K673" s="1">
        <f>IF(aoc_02_input[[#This Row],[Pos1]]=aoc_02_input[[#This Row],[Char]],1,0)</f>
        <v>0</v>
      </c>
      <c r="L673" s="1" t="str">
        <f>MID(aoc_02_input[[#This Row],[Password]],aoc_02_input[[#This Row],[Int2]],1)</f>
        <v>s</v>
      </c>
      <c r="M673" s="1">
        <f>IF(aoc_02_input[[#This Row],[Pos2]]=aoc_02_input[[#This Row],[Char]],1,0)</f>
        <v>0</v>
      </c>
      <c r="N673" s="1">
        <f>IF(aoc_02_input[[#This Row],[Pos1Valid]]&lt;&gt;aoc_02_input[[#This Row],[Pos2Valid]],1,0)</f>
        <v>0</v>
      </c>
    </row>
    <row r="674" spans="1:14" x14ac:dyDescent="0.45">
      <c r="A674" s="1" t="s">
        <v>731</v>
      </c>
      <c r="B674" s="1" t="s">
        <v>219</v>
      </c>
      <c r="C674" s="1" t="s">
        <v>1033</v>
      </c>
      <c r="D674" s="1">
        <f>FIND("-",aoc_02_input[[#This Row],[InputNumbers]])</f>
        <v>2</v>
      </c>
      <c r="E674" s="1">
        <f>_xlfn.NUMBERVALUE(LEFT(aoc_02_input[[#This Row],[InputNumbers]],aoc_02_input[[#This Row],[PosDash]]-1))</f>
        <v>4</v>
      </c>
      <c r="F674" s="1">
        <f>_xlfn.NUMBERVALUE(MID(aoc_02_input[[#This Row],[InputNumbers]],aoc_02_input[[#This Row],[PosDash]]+1,5))</f>
        <v>10</v>
      </c>
      <c r="G674" s="1" t="str">
        <f>LEFT(aoc_02_input[[#This Row],[InputChar]],1)</f>
        <v>g</v>
      </c>
      <c r="H674" s="1" cm="1">
        <f t="array" ref="H674">CountChar(aoc_02_input[[#This Row],[Password]],aoc_02_input[[#This Row],[Char]])</f>
        <v>4</v>
      </c>
      <c r="I674" s="1">
        <f>IF(AND(aoc_02_input[[#This Row],[Int1]]&lt;=aoc_02_input[[#This Row],[CountOfChar]],aoc_02_input[[#This Row],[CountOfChar]]&lt;=aoc_02_input[[#This Row],[Int2]]),1,0)</f>
        <v>1</v>
      </c>
      <c r="J674" s="1" t="str">
        <f>MID(aoc_02_input[[#This Row],[Password]],aoc_02_input[[#This Row],[Int1]],1)</f>
        <v>g</v>
      </c>
      <c r="K674" s="1">
        <f>IF(aoc_02_input[[#This Row],[Pos1]]=aoc_02_input[[#This Row],[Char]],1,0)</f>
        <v>1</v>
      </c>
      <c r="L674" s="1" t="str">
        <f>MID(aoc_02_input[[#This Row],[Password]],aoc_02_input[[#This Row],[Int2]],1)</f>
        <v>d</v>
      </c>
      <c r="M674" s="1">
        <f>IF(aoc_02_input[[#This Row],[Pos2]]=aoc_02_input[[#This Row],[Char]],1,0)</f>
        <v>0</v>
      </c>
      <c r="N674" s="1">
        <f>IF(aoc_02_input[[#This Row],[Pos1Valid]]&lt;&gt;aoc_02_input[[#This Row],[Pos2Valid]],1,0)</f>
        <v>1</v>
      </c>
    </row>
    <row r="675" spans="1:14" x14ac:dyDescent="0.45">
      <c r="A675" s="1" t="s">
        <v>230</v>
      </c>
      <c r="B675" s="1" t="s">
        <v>246</v>
      </c>
      <c r="C675" s="1" t="s">
        <v>1034</v>
      </c>
      <c r="D675" s="1">
        <f>FIND("-",aoc_02_input[[#This Row],[InputNumbers]])</f>
        <v>2</v>
      </c>
      <c r="E675" s="1">
        <f>_xlfn.NUMBERVALUE(LEFT(aoc_02_input[[#This Row],[InputNumbers]],aoc_02_input[[#This Row],[PosDash]]-1))</f>
        <v>2</v>
      </c>
      <c r="F675" s="1">
        <f>_xlfn.NUMBERVALUE(MID(aoc_02_input[[#This Row],[InputNumbers]],aoc_02_input[[#This Row],[PosDash]]+1,5))</f>
        <v>4</v>
      </c>
      <c r="G675" s="1" t="str">
        <f>LEFT(aoc_02_input[[#This Row],[InputChar]],1)</f>
        <v>n</v>
      </c>
      <c r="H675" s="1" cm="1">
        <f t="array" ref="H675">CountChar(aoc_02_input[[#This Row],[Password]],aoc_02_input[[#This Row],[Char]])</f>
        <v>3</v>
      </c>
      <c r="I675" s="1">
        <f>IF(AND(aoc_02_input[[#This Row],[Int1]]&lt;=aoc_02_input[[#This Row],[CountOfChar]],aoc_02_input[[#This Row],[CountOfChar]]&lt;=aoc_02_input[[#This Row],[Int2]]),1,0)</f>
        <v>1</v>
      </c>
      <c r="J675" s="1" t="str">
        <f>MID(aoc_02_input[[#This Row],[Password]],aoc_02_input[[#This Row],[Int1]],1)</f>
        <v>n</v>
      </c>
      <c r="K675" s="1">
        <f>IF(aoc_02_input[[#This Row],[Pos1]]=aoc_02_input[[#This Row],[Char]],1,0)</f>
        <v>1</v>
      </c>
      <c r="L675" s="1" t="str">
        <f>MID(aoc_02_input[[#This Row],[Password]],aoc_02_input[[#This Row],[Int2]],1)</f>
        <v>n</v>
      </c>
      <c r="M675" s="1">
        <f>IF(aoc_02_input[[#This Row],[Pos2]]=aoc_02_input[[#This Row],[Char]],1,0)</f>
        <v>1</v>
      </c>
      <c r="N675" s="1">
        <f>IF(aoc_02_input[[#This Row],[Pos1Valid]]&lt;&gt;aoc_02_input[[#This Row],[Pos2Valid]],1,0)</f>
        <v>0</v>
      </c>
    </row>
    <row r="676" spans="1:14" x14ac:dyDescent="0.45">
      <c r="A676" s="1" t="s">
        <v>380</v>
      </c>
      <c r="B676" s="1" t="s">
        <v>243</v>
      </c>
      <c r="C676" s="1" t="s">
        <v>1035</v>
      </c>
      <c r="D676" s="1">
        <f>FIND("-",aoc_02_input[[#This Row],[InputNumbers]])</f>
        <v>2</v>
      </c>
      <c r="E676" s="1">
        <f>_xlfn.NUMBERVALUE(LEFT(aoc_02_input[[#This Row],[InputNumbers]],aoc_02_input[[#This Row],[PosDash]]-1))</f>
        <v>3</v>
      </c>
      <c r="F676" s="1">
        <f>_xlfn.NUMBERVALUE(MID(aoc_02_input[[#This Row],[InputNumbers]],aoc_02_input[[#This Row],[PosDash]]+1,5))</f>
        <v>7</v>
      </c>
      <c r="G676" s="1" t="str">
        <f>LEFT(aoc_02_input[[#This Row],[InputChar]],1)</f>
        <v>f</v>
      </c>
      <c r="H676" s="1" cm="1">
        <f t="array" ref="H676">CountChar(aoc_02_input[[#This Row],[Password]],aoc_02_input[[#This Row],[Char]])</f>
        <v>4</v>
      </c>
      <c r="I676" s="1">
        <f>IF(AND(aoc_02_input[[#This Row],[Int1]]&lt;=aoc_02_input[[#This Row],[CountOfChar]],aoc_02_input[[#This Row],[CountOfChar]]&lt;=aoc_02_input[[#This Row],[Int2]]),1,0)</f>
        <v>1</v>
      </c>
      <c r="J676" s="1" t="str">
        <f>MID(aoc_02_input[[#This Row],[Password]],aoc_02_input[[#This Row],[Int1]],1)</f>
        <v>f</v>
      </c>
      <c r="K676" s="1">
        <f>IF(aoc_02_input[[#This Row],[Pos1]]=aoc_02_input[[#This Row],[Char]],1,0)</f>
        <v>1</v>
      </c>
      <c r="L676" s="1" t="str">
        <f>MID(aoc_02_input[[#This Row],[Password]],aoc_02_input[[#This Row],[Int2]],1)</f>
        <v>f</v>
      </c>
      <c r="M676" s="1">
        <f>IF(aoc_02_input[[#This Row],[Pos2]]=aoc_02_input[[#This Row],[Char]],1,0)</f>
        <v>1</v>
      </c>
      <c r="N676" s="1">
        <f>IF(aoc_02_input[[#This Row],[Pos1Valid]]&lt;&gt;aoc_02_input[[#This Row],[Pos2Valid]],1,0)</f>
        <v>0</v>
      </c>
    </row>
    <row r="677" spans="1:14" x14ac:dyDescent="0.45">
      <c r="A677" s="1" t="s">
        <v>277</v>
      </c>
      <c r="B677" s="1" t="s">
        <v>246</v>
      </c>
      <c r="C677" s="1" t="s">
        <v>1036</v>
      </c>
      <c r="D677" s="1">
        <f>FIND("-",aoc_02_input[[#This Row],[InputNumbers]])</f>
        <v>2</v>
      </c>
      <c r="E677" s="1">
        <f>_xlfn.NUMBERVALUE(LEFT(aoc_02_input[[#This Row],[InputNumbers]],aoc_02_input[[#This Row],[PosDash]]-1))</f>
        <v>7</v>
      </c>
      <c r="F677" s="1">
        <f>_xlfn.NUMBERVALUE(MID(aoc_02_input[[#This Row],[InputNumbers]],aoc_02_input[[#This Row],[PosDash]]+1,5))</f>
        <v>12</v>
      </c>
      <c r="G677" s="1" t="str">
        <f>LEFT(aoc_02_input[[#This Row],[InputChar]],1)</f>
        <v>n</v>
      </c>
      <c r="H677" s="1" cm="1">
        <f t="array" ref="H677">CountChar(aoc_02_input[[#This Row],[Password]],aoc_02_input[[#This Row],[Char]])</f>
        <v>8</v>
      </c>
      <c r="I677" s="1">
        <f>IF(AND(aoc_02_input[[#This Row],[Int1]]&lt;=aoc_02_input[[#This Row],[CountOfChar]],aoc_02_input[[#This Row],[CountOfChar]]&lt;=aoc_02_input[[#This Row],[Int2]]),1,0)</f>
        <v>1</v>
      </c>
      <c r="J677" s="1" t="str">
        <f>MID(aoc_02_input[[#This Row],[Password]],aoc_02_input[[#This Row],[Int1]],1)</f>
        <v>d</v>
      </c>
      <c r="K677" s="1">
        <f>IF(aoc_02_input[[#This Row],[Pos1]]=aoc_02_input[[#This Row],[Char]],1,0)</f>
        <v>0</v>
      </c>
      <c r="L677" s="1" t="str">
        <f>MID(aoc_02_input[[#This Row],[Password]],aoc_02_input[[#This Row],[Int2]],1)</f>
        <v>d</v>
      </c>
      <c r="M677" s="1">
        <f>IF(aoc_02_input[[#This Row],[Pos2]]=aoc_02_input[[#This Row],[Char]],1,0)</f>
        <v>0</v>
      </c>
      <c r="N677" s="1">
        <f>IF(aoc_02_input[[#This Row],[Pos1Valid]]&lt;&gt;aoc_02_input[[#This Row],[Pos2Valid]],1,0)</f>
        <v>0</v>
      </c>
    </row>
    <row r="678" spans="1:14" x14ac:dyDescent="0.45">
      <c r="A678" s="1" t="s">
        <v>445</v>
      </c>
      <c r="B678" s="1" t="s">
        <v>225</v>
      </c>
      <c r="C678" s="1" t="s">
        <v>1037</v>
      </c>
      <c r="D678" s="1">
        <f>FIND("-",aoc_02_input[[#This Row],[InputNumbers]])</f>
        <v>3</v>
      </c>
      <c r="E678" s="1">
        <f>_xlfn.NUMBERVALUE(LEFT(aoc_02_input[[#This Row],[InputNumbers]],aoc_02_input[[#This Row],[PosDash]]-1))</f>
        <v>17</v>
      </c>
      <c r="F678" s="1">
        <f>_xlfn.NUMBERVALUE(MID(aoc_02_input[[#This Row],[InputNumbers]],aoc_02_input[[#This Row],[PosDash]]+1,5))</f>
        <v>18</v>
      </c>
      <c r="G678" s="1" t="str">
        <f>LEFT(aoc_02_input[[#This Row],[InputChar]],1)</f>
        <v>j</v>
      </c>
      <c r="H678" s="1" cm="1">
        <f t="array" ref="H678">CountChar(aoc_02_input[[#This Row],[Password]],aoc_02_input[[#This Row],[Char]])</f>
        <v>15</v>
      </c>
      <c r="I678" s="1">
        <f>IF(AND(aoc_02_input[[#This Row],[Int1]]&lt;=aoc_02_input[[#This Row],[CountOfChar]],aoc_02_input[[#This Row],[CountOfChar]]&lt;=aoc_02_input[[#This Row],[Int2]]),1,0)</f>
        <v>0</v>
      </c>
      <c r="J678" s="1" t="str">
        <f>MID(aoc_02_input[[#This Row],[Password]],aoc_02_input[[#This Row],[Int1]],1)</f>
        <v>r</v>
      </c>
      <c r="K678" s="1">
        <f>IF(aoc_02_input[[#This Row],[Pos1]]=aoc_02_input[[#This Row],[Char]],1,0)</f>
        <v>0</v>
      </c>
      <c r="L678" s="1" t="str">
        <f>MID(aoc_02_input[[#This Row],[Password]],aoc_02_input[[#This Row],[Int2]],1)</f>
        <v>k</v>
      </c>
      <c r="M678" s="1">
        <f>IF(aoc_02_input[[#This Row],[Pos2]]=aoc_02_input[[#This Row],[Char]],1,0)</f>
        <v>0</v>
      </c>
      <c r="N678" s="1">
        <f>IF(aoc_02_input[[#This Row],[Pos1Valid]]&lt;&gt;aoc_02_input[[#This Row],[Pos2Valid]],1,0)</f>
        <v>0</v>
      </c>
    </row>
    <row r="679" spans="1:14" x14ac:dyDescent="0.45">
      <c r="A679" s="1" t="s">
        <v>394</v>
      </c>
      <c r="B679" s="1" t="s">
        <v>243</v>
      </c>
      <c r="C679" s="1" t="s">
        <v>1038</v>
      </c>
      <c r="D679" s="1">
        <f>FIND("-",aoc_02_input[[#This Row],[InputNumbers]])</f>
        <v>2</v>
      </c>
      <c r="E679" s="1">
        <f>_xlfn.NUMBERVALUE(LEFT(aoc_02_input[[#This Row],[InputNumbers]],aoc_02_input[[#This Row],[PosDash]]-1))</f>
        <v>4</v>
      </c>
      <c r="F679" s="1">
        <f>_xlfn.NUMBERVALUE(MID(aoc_02_input[[#This Row],[InputNumbers]],aoc_02_input[[#This Row],[PosDash]]+1,5))</f>
        <v>7</v>
      </c>
      <c r="G679" s="1" t="str">
        <f>LEFT(aoc_02_input[[#This Row],[InputChar]],1)</f>
        <v>f</v>
      </c>
      <c r="H679" s="1" cm="1">
        <f t="array" ref="H679">CountChar(aoc_02_input[[#This Row],[Password]],aoc_02_input[[#This Row],[Char]])</f>
        <v>6</v>
      </c>
      <c r="I679" s="1">
        <f>IF(AND(aoc_02_input[[#This Row],[Int1]]&lt;=aoc_02_input[[#This Row],[CountOfChar]],aoc_02_input[[#This Row],[CountOfChar]]&lt;=aoc_02_input[[#This Row],[Int2]]),1,0)</f>
        <v>1</v>
      </c>
      <c r="J679" s="1" t="str">
        <f>MID(aoc_02_input[[#This Row],[Password]],aoc_02_input[[#This Row],[Int1]],1)</f>
        <v>n</v>
      </c>
      <c r="K679" s="1">
        <f>IF(aoc_02_input[[#This Row],[Pos1]]=aoc_02_input[[#This Row],[Char]],1,0)</f>
        <v>0</v>
      </c>
      <c r="L679" s="1" t="str">
        <f>MID(aoc_02_input[[#This Row],[Password]],aoc_02_input[[#This Row],[Int2]],1)</f>
        <v>f</v>
      </c>
      <c r="M679" s="1">
        <f>IF(aoc_02_input[[#This Row],[Pos2]]=aoc_02_input[[#This Row],[Char]],1,0)</f>
        <v>1</v>
      </c>
      <c r="N679" s="1">
        <f>IF(aoc_02_input[[#This Row],[Pos1Valid]]&lt;&gt;aoc_02_input[[#This Row],[Pos2Valid]],1,0)</f>
        <v>1</v>
      </c>
    </row>
    <row r="680" spans="1:14" x14ac:dyDescent="0.45">
      <c r="A680" s="1" t="s">
        <v>227</v>
      </c>
      <c r="B680" s="1" t="s">
        <v>252</v>
      </c>
      <c r="C680" s="1" t="s">
        <v>1039</v>
      </c>
      <c r="D680" s="1">
        <f>FIND("-",aoc_02_input[[#This Row],[InputNumbers]])</f>
        <v>2</v>
      </c>
      <c r="E680" s="1">
        <f>_xlfn.NUMBERVALUE(LEFT(aoc_02_input[[#This Row],[InputNumbers]],aoc_02_input[[#This Row],[PosDash]]-1))</f>
        <v>4</v>
      </c>
      <c r="F680" s="1">
        <f>_xlfn.NUMBERVALUE(MID(aoc_02_input[[#This Row],[InputNumbers]],aoc_02_input[[#This Row],[PosDash]]+1,5))</f>
        <v>5</v>
      </c>
      <c r="G680" s="1" t="str">
        <f>LEFT(aoc_02_input[[#This Row],[InputChar]],1)</f>
        <v>p</v>
      </c>
      <c r="H680" s="1" cm="1">
        <f t="array" ref="H680">CountChar(aoc_02_input[[#This Row],[Password]],aoc_02_input[[#This Row],[Char]])</f>
        <v>4</v>
      </c>
      <c r="I680" s="1">
        <f>IF(AND(aoc_02_input[[#This Row],[Int1]]&lt;=aoc_02_input[[#This Row],[CountOfChar]],aoc_02_input[[#This Row],[CountOfChar]]&lt;=aoc_02_input[[#This Row],[Int2]]),1,0)</f>
        <v>1</v>
      </c>
      <c r="J680" s="1" t="str">
        <f>MID(aoc_02_input[[#This Row],[Password]],aoc_02_input[[#This Row],[Int1]],1)</f>
        <v>p</v>
      </c>
      <c r="K680" s="1">
        <f>IF(aoc_02_input[[#This Row],[Pos1]]=aoc_02_input[[#This Row],[Char]],1,0)</f>
        <v>1</v>
      </c>
      <c r="L680" s="1" t="str">
        <f>MID(aoc_02_input[[#This Row],[Password]],aoc_02_input[[#This Row],[Int2]],1)</f>
        <v>q</v>
      </c>
      <c r="M680" s="1">
        <f>IF(aoc_02_input[[#This Row],[Pos2]]=aoc_02_input[[#This Row],[Char]],1,0)</f>
        <v>0</v>
      </c>
      <c r="N680" s="1">
        <f>IF(aoc_02_input[[#This Row],[Pos1Valid]]&lt;&gt;aoc_02_input[[#This Row],[Pos2Valid]],1,0)</f>
        <v>1</v>
      </c>
    </row>
    <row r="681" spans="1:14" x14ac:dyDescent="0.45">
      <c r="A681" s="1" t="s">
        <v>417</v>
      </c>
      <c r="B681" s="1" t="s">
        <v>295</v>
      </c>
      <c r="C681" s="1" t="s">
        <v>1040</v>
      </c>
      <c r="D681" s="1">
        <f>FIND("-",aoc_02_input[[#This Row],[InputNumbers]])</f>
        <v>3</v>
      </c>
      <c r="E681" s="1">
        <f>_xlfn.NUMBERVALUE(LEFT(aoc_02_input[[#This Row],[InputNumbers]],aoc_02_input[[#This Row],[PosDash]]-1))</f>
        <v>12</v>
      </c>
      <c r="F681" s="1">
        <f>_xlfn.NUMBERVALUE(MID(aoc_02_input[[#This Row],[InputNumbers]],aoc_02_input[[#This Row],[PosDash]]+1,5))</f>
        <v>13</v>
      </c>
      <c r="G681" s="1" t="str">
        <f>LEFT(aoc_02_input[[#This Row],[InputChar]],1)</f>
        <v>c</v>
      </c>
      <c r="H681" s="1" cm="1">
        <f t="array" ref="H681">CountChar(aoc_02_input[[#This Row],[Password]],aoc_02_input[[#This Row],[Char]])</f>
        <v>11</v>
      </c>
      <c r="I681" s="1">
        <f>IF(AND(aoc_02_input[[#This Row],[Int1]]&lt;=aoc_02_input[[#This Row],[CountOfChar]],aoc_02_input[[#This Row],[CountOfChar]]&lt;=aoc_02_input[[#This Row],[Int2]]),1,0)</f>
        <v>0</v>
      </c>
      <c r="J681" s="1" t="str">
        <f>MID(aoc_02_input[[#This Row],[Password]],aoc_02_input[[#This Row],[Int1]],1)</f>
        <v>c</v>
      </c>
      <c r="K681" s="1">
        <f>IF(aoc_02_input[[#This Row],[Pos1]]=aoc_02_input[[#This Row],[Char]],1,0)</f>
        <v>1</v>
      </c>
      <c r="L681" s="1" t="str">
        <f>MID(aoc_02_input[[#This Row],[Password]],aoc_02_input[[#This Row],[Int2]],1)</f>
        <v>c</v>
      </c>
      <c r="M681" s="1">
        <f>IF(aoc_02_input[[#This Row],[Pos2]]=aoc_02_input[[#This Row],[Char]],1,0)</f>
        <v>1</v>
      </c>
      <c r="N681" s="1">
        <f>IF(aoc_02_input[[#This Row],[Pos1Valid]]&lt;&gt;aoc_02_input[[#This Row],[Pos2Valid]],1,0)</f>
        <v>0</v>
      </c>
    </row>
    <row r="682" spans="1:14" x14ac:dyDescent="0.45">
      <c r="A682" s="1" t="s">
        <v>660</v>
      </c>
      <c r="B682" s="1" t="s">
        <v>228</v>
      </c>
      <c r="C682" s="1" t="s">
        <v>1041</v>
      </c>
      <c r="D682" s="1">
        <f>FIND("-",aoc_02_input[[#This Row],[InputNumbers]])</f>
        <v>2</v>
      </c>
      <c r="E682" s="1">
        <f>_xlfn.NUMBERVALUE(LEFT(aoc_02_input[[#This Row],[InputNumbers]],aoc_02_input[[#This Row],[PosDash]]-1))</f>
        <v>4</v>
      </c>
      <c r="F682" s="1">
        <f>_xlfn.NUMBERVALUE(MID(aoc_02_input[[#This Row],[InputNumbers]],aoc_02_input[[#This Row],[PosDash]]+1,5))</f>
        <v>12</v>
      </c>
      <c r="G682" s="1" t="str">
        <f>LEFT(aoc_02_input[[#This Row],[InputChar]],1)</f>
        <v>t</v>
      </c>
      <c r="H682" s="1" cm="1">
        <f t="array" ref="H682">CountChar(aoc_02_input[[#This Row],[Password]],aoc_02_input[[#This Row],[Char]])</f>
        <v>4</v>
      </c>
      <c r="I682" s="1">
        <f>IF(AND(aoc_02_input[[#This Row],[Int1]]&lt;=aoc_02_input[[#This Row],[CountOfChar]],aoc_02_input[[#This Row],[CountOfChar]]&lt;=aoc_02_input[[#This Row],[Int2]]),1,0)</f>
        <v>1</v>
      </c>
      <c r="J682" s="1" t="str">
        <f>MID(aoc_02_input[[#This Row],[Password]],aoc_02_input[[#This Row],[Int1]],1)</f>
        <v>t</v>
      </c>
      <c r="K682" s="1">
        <f>IF(aoc_02_input[[#This Row],[Pos1]]=aoc_02_input[[#This Row],[Char]],1,0)</f>
        <v>1</v>
      </c>
      <c r="L682" s="1" t="str">
        <f>MID(aoc_02_input[[#This Row],[Password]],aoc_02_input[[#This Row],[Int2]],1)</f>
        <v>j</v>
      </c>
      <c r="M682" s="1">
        <f>IF(aoc_02_input[[#This Row],[Pos2]]=aoc_02_input[[#This Row],[Char]],1,0)</f>
        <v>0</v>
      </c>
      <c r="N682" s="1">
        <f>IF(aoc_02_input[[#This Row],[Pos1Valid]]&lt;&gt;aoc_02_input[[#This Row],[Pos2Valid]],1,0)</f>
        <v>1</v>
      </c>
    </row>
    <row r="683" spans="1:14" x14ac:dyDescent="0.45">
      <c r="A683" s="1" t="s">
        <v>394</v>
      </c>
      <c r="B683" s="1" t="s">
        <v>265</v>
      </c>
      <c r="C683" s="1" t="s">
        <v>1042</v>
      </c>
      <c r="D683" s="1">
        <f>FIND("-",aoc_02_input[[#This Row],[InputNumbers]])</f>
        <v>2</v>
      </c>
      <c r="E683" s="1">
        <f>_xlfn.NUMBERVALUE(LEFT(aoc_02_input[[#This Row],[InputNumbers]],aoc_02_input[[#This Row],[PosDash]]-1))</f>
        <v>4</v>
      </c>
      <c r="F683" s="1">
        <f>_xlfn.NUMBERVALUE(MID(aoc_02_input[[#This Row],[InputNumbers]],aoc_02_input[[#This Row],[PosDash]]+1,5))</f>
        <v>7</v>
      </c>
      <c r="G683" s="1" t="str">
        <f>LEFT(aoc_02_input[[#This Row],[InputChar]],1)</f>
        <v>r</v>
      </c>
      <c r="H683" s="1" cm="1">
        <f t="array" ref="H683">CountChar(aoc_02_input[[#This Row],[Password]],aoc_02_input[[#This Row],[Char]])</f>
        <v>2</v>
      </c>
      <c r="I683" s="1">
        <f>IF(AND(aoc_02_input[[#This Row],[Int1]]&lt;=aoc_02_input[[#This Row],[CountOfChar]],aoc_02_input[[#This Row],[CountOfChar]]&lt;=aoc_02_input[[#This Row],[Int2]]),1,0)</f>
        <v>0</v>
      </c>
      <c r="J683" s="1" t="str">
        <f>MID(aoc_02_input[[#This Row],[Password]],aoc_02_input[[#This Row],[Int1]],1)</f>
        <v>n</v>
      </c>
      <c r="K683" s="1">
        <f>IF(aoc_02_input[[#This Row],[Pos1]]=aoc_02_input[[#This Row],[Char]],1,0)</f>
        <v>0</v>
      </c>
      <c r="L683" s="1" t="str">
        <f>MID(aoc_02_input[[#This Row],[Password]],aoc_02_input[[#This Row],[Int2]],1)</f>
        <v>r</v>
      </c>
      <c r="M683" s="1">
        <f>IF(aoc_02_input[[#This Row],[Pos2]]=aoc_02_input[[#This Row],[Char]],1,0)</f>
        <v>1</v>
      </c>
      <c r="N683" s="1">
        <f>IF(aoc_02_input[[#This Row],[Pos1Valid]]&lt;&gt;aoc_02_input[[#This Row],[Pos2Valid]],1,0)</f>
        <v>1</v>
      </c>
    </row>
    <row r="684" spans="1:14" x14ac:dyDescent="0.45">
      <c r="A684" s="1" t="s">
        <v>251</v>
      </c>
      <c r="B684" s="1" t="s">
        <v>213</v>
      </c>
      <c r="C684" s="1" t="s">
        <v>1043</v>
      </c>
      <c r="D684" s="1">
        <f>FIND("-",aoc_02_input[[#This Row],[InputNumbers]])</f>
        <v>2</v>
      </c>
      <c r="E684" s="1">
        <f>_xlfn.NUMBERVALUE(LEFT(aoc_02_input[[#This Row],[InputNumbers]],aoc_02_input[[#This Row],[PosDash]]-1))</f>
        <v>5</v>
      </c>
      <c r="F684" s="1">
        <f>_xlfn.NUMBERVALUE(MID(aoc_02_input[[#This Row],[InputNumbers]],aoc_02_input[[#This Row],[PosDash]]+1,5))</f>
        <v>6</v>
      </c>
      <c r="G684" s="1" t="str">
        <f>LEFT(aoc_02_input[[#This Row],[InputChar]],1)</f>
        <v>m</v>
      </c>
      <c r="H684" s="1" cm="1">
        <f t="array" ref="H684">CountChar(aoc_02_input[[#This Row],[Password]],aoc_02_input[[#This Row],[Char]])</f>
        <v>6</v>
      </c>
      <c r="I684" s="1">
        <f>IF(AND(aoc_02_input[[#This Row],[Int1]]&lt;=aoc_02_input[[#This Row],[CountOfChar]],aoc_02_input[[#This Row],[CountOfChar]]&lt;=aoc_02_input[[#This Row],[Int2]]),1,0)</f>
        <v>1</v>
      </c>
      <c r="J684" s="1" t="str">
        <f>MID(aoc_02_input[[#This Row],[Password]],aoc_02_input[[#This Row],[Int1]],1)</f>
        <v>m</v>
      </c>
      <c r="K684" s="1">
        <f>IF(aoc_02_input[[#This Row],[Pos1]]=aoc_02_input[[#This Row],[Char]],1,0)</f>
        <v>1</v>
      </c>
      <c r="L684" s="1" t="str">
        <f>MID(aoc_02_input[[#This Row],[Password]],aoc_02_input[[#This Row],[Int2]],1)</f>
        <v>m</v>
      </c>
      <c r="M684" s="1">
        <f>IF(aoc_02_input[[#This Row],[Pos2]]=aoc_02_input[[#This Row],[Char]],1,0)</f>
        <v>1</v>
      </c>
      <c r="N684" s="1">
        <f>IF(aoc_02_input[[#This Row],[Pos1Valid]]&lt;&gt;aoc_02_input[[#This Row],[Pos2Valid]],1,0)</f>
        <v>0</v>
      </c>
    </row>
    <row r="685" spans="1:14" x14ac:dyDescent="0.45">
      <c r="A685" s="1" t="s">
        <v>392</v>
      </c>
      <c r="B685" s="1" t="s">
        <v>210</v>
      </c>
      <c r="C685" s="1" t="s">
        <v>1044</v>
      </c>
      <c r="D685" s="1">
        <f>FIND("-",aoc_02_input[[#This Row],[InputNumbers]])</f>
        <v>2</v>
      </c>
      <c r="E685" s="1">
        <f>_xlfn.NUMBERVALUE(LEFT(aoc_02_input[[#This Row],[InputNumbers]],aoc_02_input[[#This Row],[PosDash]]-1))</f>
        <v>8</v>
      </c>
      <c r="F685" s="1">
        <f>_xlfn.NUMBERVALUE(MID(aoc_02_input[[#This Row],[InputNumbers]],aoc_02_input[[#This Row],[PosDash]]+1,5))</f>
        <v>9</v>
      </c>
      <c r="G685" s="1" t="str">
        <f>LEFT(aoc_02_input[[#This Row],[InputChar]],1)</f>
        <v>v</v>
      </c>
      <c r="H685" s="1" cm="1">
        <f t="array" ref="H685">CountChar(aoc_02_input[[#This Row],[Password]],aoc_02_input[[#This Row],[Char]])</f>
        <v>10</v>
      </c>
      <c r="I685" s="1">
        <f>IF(AND(aoc_02_input[[#This Row],[Int1]]&lt;=aoc_02_input[[#This Row],[CountOfChar]],aoc_02_input[[#This Row],[CountOfChar]]&lt;=aoc_02_input[[#This Row],[Int2]]),1,0)</f>
        <v>0</v>
      </c>
      <c r="J685" s="1" t="str">
        <f>MID(aoc_02_input[[#This Row],[Password]],aoc_02_input[[#This Row],[Int1]],1)</f>
        <v>v</v>
      </c>
      <c r="K685" s="1">
        <f>IF(aoc_02_input[[#This Row],[Pos1]]=aoc_02_input[[#This Row],[Char]],1,0)</f>
        <v>1</v>
      </c>
      <c r="L685" s="1" t="str">
        <f>MID(aoc_02_input[[#This Row],[Password]],aoc_02_input[[#This Row],[Int2]],1)</f>
        <v>v</v>
      </c>
      <c r="M685" s="1">
        <f>IF(aoc_02_input[[#This Row],[Pos2]]=aoc_02_input[[#This Row],[Char]],1,0)</f>
        <v>1</v>
      </c>
      <c r="N685" s="1">
        <f>IF(aoc_02_input[[#This Row],[Pos1Valid]]&lt;&gt;aoc_02_input[[#This Row],[Pos2Valid]],1,0)</f>
        <v>0</v>
      </c>
    </row>
    <row r="686" spans="1:14" x14ac:dyDescent="0.45">
      <c r="A686" s="1" t="s">
        <v>264</v>
      </c>
      <c r="B686" s="1" t="s">
        <v>210</v>
      </c>
      <c r="C686" s="1" t="s">
        <v>1045</v>
      </c>
      <c r="D686" s="1">
        <f>FIND("-",aoc_02_input[[#This Row],[InputNumbers]])</f>
        <v>2</v>
      </c>
      <c r="E686" s="1">
        <f>_xlfn.NUMBERVALUE(LEFT(aoc_02_input[[#This Row],[InputNumbers]],aoc_02_input[[#This Row],[PosDash]]-1))</f>
        <v>9</v>
      </c>
      <c r="F686" s="1">
        <f>_xlfn.NUMBERVALUE(MID(aoc_02_input[[#This Row],[InputNumbers]],aoc_02_input[[#This Row],[PosDash]]+1,5))</f>
        <v>11</v>
      </c>
      <c r="G686" s="1" t="str">
        <f>LEFT(aoc_02_input[[#This Row],[InputChar]],1)</f>
        <v>v</v>
      </c>
      <c r="H686" s="1" cm="1">
        <f t="array" ref="H686">CountChar(aoc_02_input[[#This Row],[Password]],aoc_02_input[[#This Row],[Char]])</f>
        <v>9</v>
      </c>
      <c r="I686" s="1">
        <f>IF(AND(aoc_02_input[[#This Row],[Int1]]&lt;=aoc_02_input[[#This Row],[CountOfChar]],aoc_02_input[[#This Row],[CountOfChar]]&lt;=aoc_02_input[[#This Row],[Int2]]),1,0)</f>
        <v>1</v>
      </c>
      <c r="J686" s="1" t="str">
        <f>MID(aoc_02_input[[#This Row],[Password]],aoc_02_input[[#This Row],[Int1]],1)</f>
        <v>b</v>
      </c>
      <c r="K686" s="1">
        <f>IF(aoc_02_input[[#This Row],[Pos1]]=aoc_02_input[[#This Row],[Char]],1,0)</f>
        <v>0</v>
      </c>
      <c r="L686" s="1" t="str">
        <f>MID(aoc_02_input[[#This Row],[Password]],aoc_02_input[[#This Row],[Int2]],1)</f>
        <v>q</v>
      </c>
      <c r="M686" s="1">
        <f>IF(aoc_02_input[[#This Row],[Pos2]]=aoc_02_input[[#This Row],[Char]],1,0)</f>
        <v>0</v>
      </c>
      <c r="N686" s="1">
        <f>IF(aoc_02_input[[#This Row],[Pos1Valid]]&lt;&gt;aoc_02_input[[#This Row],[Pos2Valid]],1,0)</f>
        <v>0</v>
      </c>
    </row>
    <row r="687" spans="1:14" x14ac:dyDescent="0.45">
      <c r="A687" s="1" t="s">
        <v>660</v>
      </c>
      <c r="B687" s="1" t="s">
        <v>265</v>
      </c>
      <c r="C687" s="1" t="s">
        <v>1046</v>
      </c>
      <c r="D687" s="1">
        <f>FIND("-",aoc_02_input[[#This Row],[InputNumbers]])</f>
        <v>2</v>
      </c>
      <c r="E687" s="1">
        <f>_xlfn.NUMBERVALUE(LEFT(aoc_02_input[[#This Row],[InputNumbers]],aoc_02_input[[#This Row],[PosDash]]-1))</f>
        <v>4</v>
      </c>
      <c r="F687" s="1">
        <f>_xlfn.NUMBERVALUE(MID(aoc_02_input[[#This Row],[InputNumbers]],aoc_02_input[[#This Row],[PosDash]]+1,5))</f>
        <v>12</v>
      </c>
      <c r="G687" s="1" t="str">
        <f>LEFT(aoc_02_input[[#This Row],[InputChar]],1)</f>
        <v>r</v>
      </c>
      <c r="H687" s="1" cm="1">
        <f t="array" ref="H687">CountChar(aoc_02_input[[#This Row],[Password]],aoc_02_input[[#This Row],[Char]])</f>
        <v>3</v>
      </c>
      <c r="I687" s="1">
        <f>IF(AND(aoc_02_input[[#This Row],[Int1]]&lt;=aoc_02_input[[#This Row],[CountOfChar]],aoc_02_input[[#This Row],[CountOfChar]]&lt;=aoc_02_input[[#This Row],[Int2]]),1,0)</f>
        <v>0</v>
      </c>
      <c r="J687" s="1" t="str">
        <f>MID(aoc_02_input[[#This Row],[Password]],aoc_02_input[[#This Row],[Int1]],1)</f>
        <v>r</v>
      </c>
      <c r="K687" s="1">
        <f>IF(aoc_02_input[[#This Row],[Pos1]]=aoc_02_input[[#This Row],[Char]],1,0)</f>
        <v>1</v>
      </c>
      <c r="L687" s="1" t="str">
        <f>MID(aoc_02_input[[#This Row],[Password]],aoc_02_input[[#This Row],[Int2]],1)</f>
        <v>r</v>
      </c>
      <c r="M687" s="1">
        <f>IF(aoc_02_input[[#This Row],[Pos2]]=aoc_02_input[[#This Row],[Char]],1,0)</f>
        <v>1</v>
      </c>
      <c r="N687" s="1">
        <f>IF(aoc_02_input[[#This Row],[Pos1Valid]]&lt;&gt;aoc_02_input[[#This Row],[Pos2Valid]],1,0)</f>
        <v>0</v>
      </c>
    </row>
    <row r="688" spans="1:14" x14ac:dyDescent="0.45">
      <c r="A688" s="1" t="s">
        <v>502</v>
      </c>
      <c r="B688" s="1" t="s">
        <v>210</v>
      </c>
      <c r="C688" s="1" t="s">
        <v>1047</v>
      </c>
      <c r="D688" s="1">
        <f>FIND("-",aoc_02_input[[#This Row],[InputNumbers]])</f>
        <v>3</v>
      </c>
      <c r="E688" s="1">
        <f>_xlfn.NUMBERVALUE(LEFT(aoc_02_input[[#This Row],[InputNumbers]],aoc_02_input[[#This Row],[PosDash]]-1))</f>
        <v>14</v>
      </c>
      <c r="F688" s="1">
        <f>_xlfn.NUMBERVALUE(MID(aoc_02_input[[#This Row],[InputNumbers]],aoc_02_input[[#This Row],[PosDash]]+1,5))</f>
        <v>18</v>
      </c>
      <c r="G688" s="1" t="str">
        <f>LEFT(aoc_02_input[[#This Row],[InputChar]],1)</f>
        <v>v</v>
      </c>
      <c r="H688" s="1" cm="1">
        <f t="array" ref="H688">CountChar(aoc_02_input[[#This Row],[Password]],aoc_02_input[[#This Row],[Char]])</f>
        <v>10</v>
      </c>
      <c r="I688" s="1">
        <f>IF(AND(aoc_02_input[[#This Row],[Int1]]&lt;=aoc_02_input[[#This Row],[CountOfChar]],aoc_02_input[[#This Row],[CountOfChar]]&lt;=aoc_02_input[[#This Row],[Int2]]),1,0)</f>
        <v>0</v>
      </c>
      <c r="J688" s="1" t="str">
        <f>MID(aoc_02_input[[#This Row],[Password]],aoc_02_input[[#This Row],[Int1]],1)</f>
        <v>v</v>
      </c>
      <c r="K688" s="1">
        <f>IF(aoc_02_input[[#This Row],[Pos1]]=aoc_02_input[[#This Row],[Char]],1,0)</f>
        <v>1</v>
      </c>
      <c r="L688" s="1" t="str">
        <f>MID(aoc_02_input[[#This Row],[Password]],aoc_02_input[[#This Row],[Int2]],1)</f>
        <v>v</v>
      </c>
      <c r="M688" s="1">
        <f>IF(aoc_02_input[[#This Row],[Pos2]]=aoc_02_input[[#This Row],[Char]],1,0)</f>
        <v>1</v>
      </c>
      <c r="N688" s="1">
        <f>IF(aoc_02_input[[#This Row],[Pos1Valid]]&lt;&gt;aoc_02_input[[#This Row],[Pos2Valid]],1,0)</f>
        <v>0</v>
      </c>
    </row>
    <row r="689" spans="1:14" x14ac:dyDescent="0.45">
      <c r="A689" s="1" t="s">
        <v>698</v>
      </c>
      <c r="B689" s="1" t="s">
        <v>210</v>
      </c>
      <c r="C689" s="1" t="s">
        <v>1048</v>
      </c>
      <c r="D689" s="1">
        <f>FIND("-",aoc_02_input[[#This Row],[InputNumbers]])</f>
        <v>2</v>
      </c>
      <c r="E689" s="1">
        <f>_xlfn.NUMBERVALUE(LEFT(aoc_02_input[[#This Row],[InputNumbers]],aoc_02_input[[#This Row],[PosDash]]-1))</f>
        <v>5</v>
      </c>
      <c r="F689" s="1">
        <f>_xlfn.NUMBERVALUE(MID(aoc_02_input[[#This Row],[InputNumbers]],aoc_02_input[[#This Row],[PosDash]]+1,5))</f>
        <v>10</v>
      </c>
      <c r="G689" s="1" t="str">
        <f>LEFT(aoc_02_input[[#This Row],[InputChar]],1)</f>
        <v>v</v>
      </c>
      <c r="H689" s="1" cm="1">
        <f t="array" ref="H689">CountChar(aoc_02_input[[#This Row],[Password]],aoc_02_input[[#This Row],[Char]])</f>
        <v>10</v>
      </c>
      <c r="I689" s="1">
        <f>IF(AND(aoc_02_input[[#This Row],[Int1]]&lt;=aoc_02_input[[#This Row],[CountOfChar]],aoc_02_input[[#This Row],[CountOfChar]]&lt;=aoc_02_input[[#This Row],[Int2]]),1,0)</f>
        <v>1</v>
      </c>
      <c r="J689" s="1" t="str">
        <f>MID(aoc_02_input[[#This Row],[Password]],aoc_02_input[[#This Row],[Int1]],1)</f>
        <v>v</v>
      </c>
      <c r="K689" s="1">
        <f>IF(aoc_02_input[[#This Row],[Pos1]]=aoc_02_input[[#This Row],[Char]],1,0)</f>
        <v>1</v>
      </c>
      <c r="L689" s="1" t="str">
        <f>MID(aoc_02_input[[#This Row],[Password]],aoc_02_input[[#This Row],[Int2]],1)</f>
        <v>v</v>
      </c>
      <c r="M689" s="1">
        <f>IF(aoc_02_input[[#This Row],[Pos2]]=aoc_02_input[[#This Row],[Char]],1,0)</f>
        <v>1</v>
      </c>
      <c r="N689" s="1">
        <f>IF(aoc_02_input[[#This Row],[Pos1Valid]]&lt;&gt;aoc_02_input[[#This Row],[Pos2Valid]],1,0)</f>
        <v>0</v>
      </c>
    </row>
    <row r="690" spans="1:14" x14ac:dyDescent="0.45">
      <c r="A690" s="1" t="s">
        <v>473</v>
      </c>
      <c r="B690" s="1" t="s">
        <v>243</v>
      </c>
      <c r="C690" s="1" t="s">
        <v>1049</v>
      </c>
      <c r="D690" s="1">
        <f>FIND("-",aoc_02_input[[#This Row],[InputNumbers]])</f>
        <v>2</v>
      </c>
      <c r="E690" s="1">
        <f>_xlfn.NUMBERVALUE(LEFT(aoc_02_input[[#This Row],[InputNumbers]],aoc_02_input[[#This Row],[PosDash]]-1))</f>
        <v>2</v>
      </c>
      <c r="F690" s="1">
        <f>_xlfn.NUMBERVALUE(MID(aoc_02_input[[#This Row],[InputNumbers]],aoc_02_input[[#This Row],[PosDash]]+1,5))</f>
        <v>6</v>
      </c>
      <c r="G690" s="1" t="str">
        <f>LEFT(aoc_02_input[[#This Row],[InputChar]],1)</f>
        <v>f</v>
      </c>
      <c r="H690" s="1" cm="1">
        <f t="array" ref="H690">CountChar(aoc_02_input[[#This Row],[Password]],aoc_02_input[[#This Row],[Char]])</f>
        <v>3</v>
      </c>
      <c r="I690" s="1">
        <f>IF(AND(aoc_02_input[[#This Row],[Int1]]&lt;=aoc_02_input[[#This Row],[CountOfChar]],aoc_02_input[[#This Row],[CountOfChar]]&lt;=aoc_02_input[[#This Row],[Int2]]),1,0)</f>
        <v>1</v>
      </c>
      <c r="J690" s="1" t="str">
        <f>MID(aoc_02_input[[#This Row],[Password]],aoc_02_input[[#This Row],[Int1]],1)</f>
        <v>f</v>
      </c>
      <c r="K690" s="1">
        <f>IF(aoc_02_input[[#This Row],[Pos1]]=aoc_02_input[[#This Row],[Char]],1,0)</f>
        <v>1</v>
      </c>
      <c r="L690" s="1" t="str">
        <f>MID(aoc_02_input[[#This Row],[Password]],aoc_02_input[[#This Row],[Int2]],1)</f>
        <v>f</v>
      </c>
      <c r="M690" s="1">
        <f>IF(aoc_02_input[[#This Row],[Pos2]]=aoc_02_input[[#This Row],[Char]],1,0)</f>
        <v>1</v>
      </c>
      <c r="N690" s="1">
        <f>IF(aoc_02_input[[#This Row],[Pos1Valid]]&lt;&gt;aoc_02_input[[#This Row],[Pos2Valid]],1,0)</f>
        <v>0</v>
      </c>
    </row>
    <row r="691" spans="1:14" x14ac:dyDescent="0.45">
      <c r="A691" s="1" t="s">
        <v>514</v>
      </c>
      <c r="B691" s="1" t="s">
        <v>210</v>
      </c>
      <c r="C691" s="1" t="s">
        <v>1050</v>
      </c>
      <c r="D691" s="1">
        <f>FIND("-",aoc_02_input[[#This Row],[InputNumbers]])</f>
        <v>3</v>
      </c>
      <c r="E691" s="1">
        <f>_xlfn.NUMBERVALUE(LEFT(aoc_02_input[[#This Row],[InputNumbers]],aoc_02_input[[#This Row],[PosDash]]-1))</f>
        <v>13</v>
      </c>
      <c r="F691" s="1">
        <f>_xlfn.NUMBERVALUE(MID(aoc_02_input[[#This Row],[InputNumbers]],aoc_02_input[[#This Row],[PosDash]]+1,5))</f>
        <v>19</v>
      </c>
      <c r="G691" s="1" t="str">
        <f>LEFT(aoc_02_input[[#This Row],[InputChar]],1)</f>
        <v>v</v>
      </c>
      <c r="H691" s="1" cm="1">
        <f t="array" ref="H691">CountChar(aoc_02_input[[#This Row],[Password]],aoc_02_input[[#This Row],[Char]])</f>
        <v>12</v>
      </c>
      <c r="I691" s="1">
        <f>IF(AND(aoc_02_input[[#This Row],[Int1]]&lt;=aoc_02_input[[#This Row],[CountOfChar]],aoc_02_input[[#This Row],[CountOfChar]]&lt;=aoc_02_input[[#This Row],[Int2]]),1,0)</f>
        <v>0</v>
      </c>
      <c r="J691" s="1" t="str">
        <f>MID(aoc_02_input[[#This Row],[Password]],aoc_02_input[[#This Row],[Int1]],1)</f>
        <v>m</v>
      </c>
      <c r="K691" s="1">
        <f>IF(aoc_02_input[[#This Row],[Pos1]]=aoc_02_input[[#This Row],[Char]],1,0)</f>
        <v>0</v>
      </c>
      <c r="L691" s="1" t="str">
        <f>MID(aoc_02_input[[#This Row],[Password]],aoc_02_input[[#This Row],[Int2]],1)</f>
        <v>h</v>
      </c>
      <c r="M691" s="1">
        <f>IF(aoc_02_input[[#This Row],[Pos2]]=aoc_02_input[[#This Row],[Char]],1,0)</f>
        <v>0</v>
      </c>
      <c r="N691" s="1">
        <f>IF(aoc_02_input[[#This Row],[Pos1Valid]]&lt;&gt;aoc_02_input[[#This Row],[Pos2Valid]],1,0)</f>
        <v>0</v>
      </c>
    </row>
    <row r="692" spans="1:14" x14ac:dyDescent="0.45">
      <c r="A692" s="1" t="s">
        <v>290</v>
      </c>
      <c r="B692" s="1" t="s">
        <v>314</v>
      </c>
      <c r="C692" s="1" t="s">
        <v>1051</v>
      </c>
      <c r="D692" s="1">
        <f>FIND("-",aoc_02_input[[#This Row],[InputNumbers]])</f>
        <v>2</v>
      </c>
      <c r="E692" s="1">
        <f>_xlfn.NUMBERVALUE(LEFT(aoc_02_input[[#This Row],[InputNumbers]],aoc_02_input[[#This Row],[PosDash]]-1))</f>
        <v>8</v>
      </c>
      <c r="F692" s="1">
        <f>_xlfn.NUMBERVALUE(MID(aoc_02_input[[#This Row],[InputNumbers]],aoc_02_input[[#This Row],[PosDash]]+1,5))</f>
        <v>10</v>
      </c>
      <c r="G692" s="1" t="str">
        <f>LEFT(aoc_02_input[[#This Row],[InputChar]],1)</f>
        <v>h</v>
      </c>
      <c r="H692" s="1" cm="1">
        <f t="array" ref="H692">CountChar(aoc_02_input[[#This Row],[Password]],aoc_02_input[[#This Row],[Char]])</f>
        <v>7</v>
      </c>
      <c r="I692" s="1">
        <f>IF(AND(aoc_02_input[[#This Row],[Int1]]&lt;=aoc_02_input[[#This Row],[CountOfChar]],aoc_02_input[[#This Row],[CountOfChar]]&lt;=aoc_02_input[[#This Row],[Int2]]),1,0)</f>
        <v>0</v>
      </c>
      <c r="J692" s="1" t="str">
        <f>MID(aoc_02_input[[#This Row],[Password]],aoc_02_input[[#This Row],[Int1]],1)</f>
        <v>v</v>
      </c>
      <c r="K692" s="1">
        <f>IF(aoc_02_input[[#This Row],[Pos1]]=aoc_02_input[[#This Row],[Char]],1,0)</f>
        <v>0</v>
      </c>
      <c r="L692" s="1" t="str">
        <f>MID(aoc_02_input[[#This Row],[Password]],aoc_02_input[[#This Row],[Int2]],1)</f>
        <v>s</v>
      </c>
      <c r="M692" s="1">
        <f>IF(aoc_02_input[[#This Row],[Pos2]]=aoc_02_input[[#This Row],[Char]],1,0)</f>
        <v>0</v>
      </c>
      <c r="N692" s="1">
        <f>IF(aoc_02_input[[#This Row],[Pos1Valid]]&lt;&gt;aoc_02_input[[#This Row],[Pos2Valid]],1,0)</f>
        <v>0</v>
      </c>
    </row>
    <row r="693" spans="1:14" x14ac:dyDescent="0.45">
      <c r="A693" s="1" t="s">
        <v>392</v>
      </c>
      <c r="B693" s="1" t="s">
        <v>243</v>
      </c>
      <c r="C693" s="1" t="s">
        <v>1052</v>
      </c>
      <c r="D693" s="1">
        <f>FIND("-",aoc_02_input[[#This Row],[InputNumbers]])</f>
        <v>2</v>
      </c>
      <c r="E693" s="1">
        <f>_xlfn.NUMBERVALUE(LEFT(aoc_02_input[[#This Row],[InputNumbers]],aoc_02_input[[#This Row],[PosDash]]-1))</f>
        <v>8</v>
      </c>
      <c r="F693" s="1">
        <f>_xlfn.NUMBERVALUE(MID(aoc_02_input[[#This Row],[InputNumbers]],aoc_02_input[[#This Row],[PosDash]]+1,5))</f>
        <v>9</v>
      </c>
      <c r="G693" s="1" t="str">
        <f>LEFT(aoc_02_input[[#This Row],[InputChar]],1)</f>
        <v>f</v>
      </c>
      <c r="H693" s="1" cm="1">
        <f t="array" ref="H693">CountChar(aoc_02_input[[#This Row],[Password]],aoc_02_input[[#This Row],[Char]])</f>
        <v>6</v>
      </c>
      <c r="I693" s="1">
        <f>IF(AND(aoc_02_input[[#This Row],[Int1]]&lt;=aoc_02_input[[#This Row],[CountOfChar]],aoc_02_input[[#This Row],[CountOfChar]]&lt;=aoc_02_input[[#This Row],[Int2]]),1,0)</f>
        <v>0</v>
      </c>
      <c r="J693" s="1" t="str">
        <f>MID(aoc_02_input[[#This Row],[Password]],aoc_02_input[[#This Row],[Int1]],1)</f>
        <v>k</v>
      </c>
      <c r="K693" s="1">
        <f>IF(aoc_02_input[[#This Row],[Pos1]]=aoc_02_input[[#This Row],[Char]],1,0)</f>
        <v>0</v>
      </c>
      <c r="L693" s="1" t="str">
        <f>MID(aoc_02_input[[#This Row],[Password]],aoc_02_input[[#This Row],[Int2]],1)</f>
        <v>g</v>
      </c>
      <c r="M693" s="1">
        <f>IF(aoc_02_input[[#This Row],[Pos2]]=aoc_02_input[[#This Row],[Char]],1,0)</f>
        <v>0</v>
      </c>
      <c r="N693" s="1">
        <f>IF(aoc_02_input[[#This Row],[Pos1Valid]]&lt;&gt;aoc_02_input[[#This Row],[Pos2Valid]],1,0)</f>
        <v>0</v>
      </c>
    </row>
    <row r="694" spans="1:14" x14ac:dyDescent="0.45">
      <c r="A694" s="1" t="s">
        <v>307</v>
      </c>
      <c r="B694" s="1" t="s">
        <v>216</v>
      </c>
      <c r="C694" s="1" t="s">
        <v>1053</v>
      </c>
      <c r="D694" s="1">
        <f>FIND("-",aoc_02_input[[#This Row],[InputNumbers]])</f>
        <v>2</v>
      </c>
      <c r="E694" s="1">
        <f>_xlfn.NUMBERVALUE(LEFT(aoc_02_input[[#This Row],[InputNumbers]],aoc_02_input[[#This Row],[PosDash]]-1))</f>
        <v>3</v>
      </c>
      <c r="F694" s="1">
        <f>_xlfn.NUMBERVALUE(MID(aoc_02_input[[#This Row],[InputNumbers]],aoc_02_input[[#This Row],[PosDash]]+1,5))</f>
        <v>5</v>
      </c>
      <c r="G694" s="1" t="str">
        <f>LEFT(aoc_02_input[[#This Row],[InputChar]],1)</f>
        <v>z</v>
      </c>
      <c r="H694" s="1" cm="1">
        <f t="array" ref="H694">CountChar(aoc_02_input[[#This Row],[Password]],aoc_02_input[[#This Row],[Char]])</f>
        <v>3</v>
      </c>
      <c r="I694" s="1">
        <f>IF(AND(aoc_02_input[[#This Row],[Int1]]&lt;=aoc_02_input[[#This Row],[CountOfChar]],aoc_02_input[[#This Row],[CountOfChar]]&lt;=aoc_02_input[[#This Row],[Int2]]),1,0)</f>
        <v>1</v>
      </c>
      <c r="J694" s="1" t="str">
        <f>MID(aoc_02_input[[#This Row],[Password]],aoc_02_input[[#This Row],[Int1]],1)</f>
        <v>q</v>
      </c>
      <c r="K694" s="1">
        <f>IF(aoc_02_input[[#This Row],[Pos1]]=aoc_02_input[[#This Row],[Char]],1,0)</f>
        <v>0</v>
      </c>
      <c r="L694" s="1" t="str">
        <f>MID(aoc_02_input[[#This Row],[Password]],aoc_02_input[[#This Row],[Int2]],1)</f>
        <v>q</v>
      </c>
      <c r="M694" s="1">
        <f>IF(aoc_02_input[[#This Row],[Pos2]]=aoc_02_input[[#This Row],[Char]],1,0)</f>
        <v>0</v>
      </c>
      <c r="N694" s="1">
        <f>IF(aoc_02_input[[#This Row],[Pos1Valid]]&lt;&gt;aoc_02_input[[#This Row],[Pos2Valid]],1,0)</f>
        <v>0</v>
      </c>
    </row>
    <row r="695" spans="1:14" x14ac:dyDescent="0.45">
      <c r="A695" s="1" t="s">
        <v>283</v>
      </c>
      <c r="B695" s="1" t="s">
        <v>305</v>
      </c>
      <c r="C695" s="1" t="s">
        <v>1054</v>
      </c>
      <c r="D695" s="1">
        <f>FIND("-",aoc_02_input[[#This Row],[InputNumbers]])</f>
        <v>2</v>
      </c>
      <c r="E695" s="1">
        <f>_xlfn.NUMBERVALUE(LEFT(aoc_02_input[[#This Row],[InputNumbers]],aoc_02_input[[#This Row],[PosDash]]-1))</f>
        <v>3</v>
      </c>
      <c r="F695" s="1">
        <f>_xlfn.NUMBERVALUE(MID(aoc_02_input[[#This Row],[InputNumbers]],aoc_02_input[[#This Row],[PosDash]]+1,5))</f>
        <v>4</v>
      </c>
      <c r="G695" s="1" t="str">
        <f>LEFT(aoc_02_input[[#This Row],[InputChar]],1)</f>
        <v>s</v>
      </c>
      <c r="H695" s="1" cm="1">
        <f t="array" ref="H695">CountChar(aoc_02_input[[#This Row],[Password]],aoc_02_input[[#This Row],[Char]])</f>
        <v>2</v>
      </c>
      <c r="I695" s="1">
        <f>IF(AND(aoc_02_input[[#This Row],[Int1]]&lt;=aoc_02_input[[#This Row],[CountOfChar]],aoc_02_input[[#This Row],[CountOfChar]]&lt;=aoc_02_input[[#This Row],[Int2]]),1,0)</f>
        <v>0</v>
      </c>
      <c r="J695" s="1" t="str">
        <f>MID(aoc_02_input[[#This Row],[Password]],aoc_02_input[[#This Row],[Int1]],1)</f>
        <v>c</v>
      </c>
      <c r="K695" s="1">
        <f>IF(aoc_02_input[[#This Row],[Pos1]]=aoc_02_input[[#This Row],[Char]],1,0)</f>
        <v>0</v>
      </c>
      <c r="L695" s="1" t="str">
        <f>MID(aoc_02_input[[#This Row],[Password]],aoc_02_input[[#This Row],[Int2]],1)</f>
        <v>f</v>
      </c>
      <c r="M695" s="1">
        <f>IF(aoc_02_input[[#This Row],[Pos2]]=aoc_02_input[[#This Row],[Char]],1,0)</f>
        <v>0</v>
      </c>
      <c r="N695" s="1">
        <f>IF(aoc_02_input[[#This Row],[Pos1Valid]]&lt;&gt;aoc_02_input[[#This Row],[Pos2Valid]],1,0)</f>
        <v>0</v>
      </c>
    </row>
    <row r="696" spans="1:14" x14ac:dyDescent="0.45">
      <c r="A696" s="1" t="s">
        <v>953</v>
      </c>
      <c r="B696" s="1" t="s">
        <v>246</v>
      </c>
      <c r="C696" s="1" t="s">
        <v>1055</v>
      </c>
      <c r="D696" s="1">
        <f>FIND("-",aoc_02_input[[#This Row],[InputNumbers]])</f>
        <v>2</v>
      </c>
      <c r="E696" s="1">
        <f>_xlfn.NUMBERVALUE(LEFT(aoc_02_input[[#This Row],[InputNumbers]],aoc_02_input[[#This Row],[PosDash]]-1))</f>
        <v>2</v>
      </c>
      <c r="F696" s="1">
        <f>_xlfn.NUMBERVALUE(MID(aoc_02_input[[#This Row],[InputNumbers]],aoc_02_input[[#This Row],[PosDash]]+1,5))</f>
        <v>8</v>
      </c>
      <c r="G696" s="1" t="str">
        <f>LEFT(aoc_02_input[[#This Row],[InputChar]],1)</f>
        <v>n</v>
      </c>
      <c r="H696" s="1" cm="1">
        <f t="array" ref="H696">CountChar(aoc_02_input[[#This Row],[Password]],aoc_02_input[[#This Row],[Char]])</f>
        <v>1</v>
      </c>
      <c r="I696" s="1">
        <f>IF(AND(aoc_02_input[[#This Row],[Int1]]&lt;=aoc_02_input[[#This Row],[CountOfChar]],aoc_02_input[[#This Row],[CountOfChar]]&lt;=aoc_02_input[[#This Row],[Int2]]),1,0)</f>
        <v>0</v>
      </c>
      <c r="J696" s="1" t="str">
        <f>MID(aoc_02_input[[#This Row],[Password]],aoc_02_input[[#This Row],[Int1]],1)</f>
        <v>z</v>
      </c>
      <c r="K696" s="1">
        <f>IF(aoc_02_input[[#This Row],[Pos1]]=aoc_02_input[[#This Row],[Char]],1,0)</f>
        <v>0</v>
      </c>
      <c r="L696" s="1" t="str">
        <f>MID(aoc_02_input[[#This Row],[Password]],aoc_02_input[[#This Row],[Int2]],1)</f>
        <v>b</v>
      </c>
      <c r="M696" s="1">
        <f>IF(aoc_02_input[[#This Row],[Pos2]]=aoc_02_input[[#This Row],[Char]],1,0)</f>
        <v>0</v>
      </c>
      <c r="N696" s="1">
        <f>IF(aoc_02_input[[#This Row],[Pos1Valid]]&lt;&gt;aoc_02_input[[#This Row],[Pos2Valid]],1,0)</f>
        <v>0</v>
      </c>
    </row>
    <row r="697" spans="1:14" x14ac:dyDescent="0.45">
      <c r="A697" s="1" t="s">
        <v>264</v>
      </c>
      <c r="B697" s="1" t="s">
        <v>254</v>
      </c>
      <c r="C697" s="1" t="s">
        <v>1056</v>
      </c>
      <c r="D697" s="1">
        <f>FIND("-",aoc_02_input[[#This Row],[InputNumbers]])</f>
        <v>2</v>
      </c>
      <c r="E697" s="1">
        <f>_xlfn.NUMBERVALUE(LEFT(aoc_02_input[[#This Row],[InputNumbers]],aoc_02_input[[#This Row],[PosDash]]-1))</f>
        <v>9</v>
      </c>
      <c r="F697" s="1">
        <f>_xlfn.NUMBERVALUE(MID(aoc_02_input[[#This Row],[InputNumbers]],aoc_02_input[[#This Row],[PosDash]]+1,5))</f>
        <v>11</v>
      </c>
      <c r="G697" s="1" t="str">
        <f>LEFT(aoc_02_input[[#This Row],[InputChar]],1)</f>
        <v>k</v>
      </c>
      <c r="H697" s="1" cm="1">
        <f t="array" ref="H697">CountChar(aoc_02_input[[#This Row],[Password]],aoc_02_input[[#This Row],[Char]])</f>
        <v>4</v>
      </c>
      <c r="I697" s="1">
        <f>IF(AND(aoc_02_input[[#This Row],[Int1]]&lt;=aoc_02_input[[#This Row],[CountOfChar]],aoc_02_input[[#This Row],[CountOfChar]]&lt;=aoc_02_input[[#This Row],[Int2]]),1,0)</f>
        <v>0</v>
      </c>
      <c r="J697" s="1" t="str">
        <f>MID(aoc_02_input[[#This Row],[Password]],aoc_02_input[[#This Row],[Int1]],1)</f>
        <v>k</v>
      </c>
      <c r="K697" s="1">
        <f>IF(aoc_02_input[[#This Row],[Pos1]]=aoc_02_input[[#This Row],[Char]],1,0)</f>
        <v>1</v>
      </c>
      <c r="L697" s="1" t="str">
        <f>MID(aoc_02_input[[#This Row],[Password]],aoc_02_input[[#This Row],[Int2]],1)</f>
        <v>k</v>
      </c>
      <c r="M697" s="1">
        <f>IF(aoc_02_input[[#This Row],[Pos2]]=aoc_02_input[[#This Row],[Char]],1,0)</f>
        <v>1</v>
      </c>
      <c r="N697" s="1">
        <f>IF(aoc_02_input[[#This Row],[Pos1Valid]]&lt;&gt;aoc_02_input[[#This Row],[Pos2Valid]],1,0)</f>
        <v>0</v>
      </c>
    </row>
    <row r="698" spans="1:14" x14ac:dyDescent="0.45">
      <c r="A698" s="1" t="s">
        <v>221</v>
      </c>
      <c r="B698" s="1" t="s">
        <v>314</v>
      </c>
      <c r="C698" s="1" t="s">
        <v>1057</v>
      </c>
      <c r="D698" s="1">
        <f>FIND("-",aoc_02_input[[#This Row],[InputNumbers]])</f>
        <v>2</v>
      </c>
      <c r="E698" s="1">
        <f>_xlfn.NUMBERVALUE(LEFT(aoc_02_input[[#This Row],[InputNumbers]],aoc_02_input[[#This Row],[PosDash]]-1))</f>
        <v>2</v>
      </c>
      <c r="F698" s="1">
        <f>_xlfn.NUMBERVALUE(MID(aoc_02_input[[#This Row],[InputNumbers]],aoc_02_input[[#This Row],[PosDash]]+1,5))</f>
        <v>3</v>
      </c>
      <c r="G698" s="1" t="str">
        <f>LEFT(aoc_02_input[[#This Row],[InputChar]],1)</f>
        <v>h</v>
      </c>
      <c r="H698" s="1" cm="1">
        <f t="array" ref="H698">CountChar(aoc_02_input[[#This Row],[Password]],aoc_02_input[[#This Row],[Char]])</f>
        <v>2</v>
      </c>
      <c r="I698" s="1">
        <f>IF(AND(aoc_02_input[[#This Row],[Int1]]&lt;=aoc_02_input[[#This Row],[CountOfChar]],aoc_02_input[[#This Row],[CountOfChar]]&lt;=aoc_02_input[[#This Row],[Int2]]),1,0)</f>
        <v>1</v>
      </c>
      <c r="J698" s="1" t="str">
        <f>MID(aoc_02_input[[#This Row],[Password]],aoc_02_input[[#This Row],[Int1]],1)</f>
        <v>d</v>
      </c>
      <c r="K698" s="1">
        <f>IF(aoc_02_input[[#This Row],[Pos1]]=aoc_02_input[[#This Row],[Char]],1,0)</f>
        <v>0</v>
      </c>
      <c r="L698" s="1" t="str">
        <f>MID(aoc_02_input[[#This Row],[Password]],aoc_02_input[[#This Row],[Int2]],1)</f>
        <v>h</v>
      </c>
      <c r="M698" s="1">
        <f>IF(aoc_02_input[[#This Row],[Pos2]]=aoc_02_input[[#This Row],[Char]],1,0)</f>
        <v>1</v>
      </c>
      <c r="N698" s="1">
        <f>IF(aoc_02_input[[#This Row],[Pos1Valid]]&lt;&gt;aoc_02_input[[#This Row],[Pos2Valid]],1,0)</f>
        <v>1</v>
      </c>
    </row>
    <row r="699" spans="1:14" x14ac:dyDescent="0.45">
      <c r="A699" s="1" t="s">
        <v>221</v>
      </c>
      <c r="B699" s="1" t="s">
        <v>252</v>
      </c>
      <c r="C699" s="1" t="s">
        <v>1058</v>
      </c>
      <c r="D699" s="1">
        <f>FIND("-",aoc_02_input[[#This Row],[InputNumbers]])</f>
        <v>2</v>
      </c>
      <c r="E699" s="1">
        <f>_xlfn.NUMBERVALUE(LEFT(aoc_02_input[[#This Row],[InputNumbers]],aoc_02_input[[#This Row],[PosDash]]-1))</f>
        <v>2</v>
      </c>
      <c r="F699" s="1">
        <f>_xlfn.NUMBERVALUE(MID(aoc_02_input[[#This Row],[InputNumbers]],aoc_02_input[[#This Row],[PosDash]]+1,5))</f>
        <v>3</v>
      </c>
      <c r="G699" s="1" t="str">
        <f>LEFT(aoc_02_input[[#This Row],[InputChar]],1)</f>
        <v>p</v>
      </c>
      <c r="H699" s="1" cm="1">
        <f t="array" ref="H699">CountChar(aoc_02_input[[#This Row],[Password]],aoc_02_input[[#This Row],[Char]])</f>
        <v>3</v>
      </c>
      <c r="I699" s="1">
        <f>IF(AND(aoc_02_input[[#This Row],[Int1]]&lt;=aoc_02_input[[#This Row],[CountOfChar]],aoc_02_input[[#This Row],[CountOfChar]]&lt;=aoc_02_input[[#This Row],[Int2]]),1,0)</f>
        <v>1</v>
      </c>
      <c r="J699" s="1" t="str">
        <f>MID(aoc_02_input[[#This Row],[Password]],aoc_02_input[[#This Row],[Int1]],1)</f>
        <v>k</v>
      </c>
      <c r="K699" s="1">
        <f>IF(aoc_02_input[[#This Row],[Pos1]]=aoc_02_input[[#This Row],[Char]],1,0)</f>
        <v>0</v>
      </c>
      <c r="L699" s="1" t="str">
        <f>MID(aoc_02_input[[#This Row],[Password]],aoc_02_input[[#This Row],[Int2]],1)</f>
        <v>p</v>
      </c>
      <c r="M699" s="1">
        <f>IF(aoc_02_input[[#This Row],[Pos2]]=aoc_02_input[[#This Row],[Char]],1,0)</f>
        <v>1</v>
      </c>
      <c r="N699" s="1">
        <f>IF(aoc_02_input[[#This Row],[Pos1Valid]]&lt;&gt;aoc_02_input[[#This Row],[Pos2Valid]],1,0)</f>
        <v>1</v>
      </c>
    </row>
    <row r="700" spans="1:14" x14ac:dyDescent="0.45">
      <c r="A700" s="1" t="s">
        <v>581</v>
      </c>
      <c r="B700" s="1" t="s">
        <v>265</v>
      </c>
      <c r="C700" s="1" t="s">
        <v>1059</v>
      </c>
      <c r="D700" s="1">
        <f>FIND("-",aoc_02_input[[#This Row],[InputNumbers]])</f>
        <v>2</v>
      </c>
      <c r="E700" s="1">
        <f>_xlfn.NUMBERVALUE(LEFT(aoc_02_input[[#This Row],[InputNumbers]],aoc_02_input[[#This Row],[PosDash]]-1))</f>
        <v>7</v>
      </c>
      <c r="F700" s="1">
        <f>_xlfn.NUMBERVALUE(MID(aoc_02_input[[#This Row],[InputNumbers]],aoc_02_input[[#This Row],[PosDash]]+1,5))</f>
        <v>17</v>
      </c>
      <c r="G700" s="1" t="str">
        <f>LEFT(aoc_02_input[[#This Row],[InputChar]],1)</f>
        <v>r</v>
      </c>
      <c r="H700" s="1" cm="1">
        <f t="array" ref="H700">CountChar(aoc_02_input[[#This Row],[Password]],aoc_02_input[[#This Row],[Char]])</f>
        <v>6</v>
      </c>
      <c r="I700" s="1">
        <f>IF(AND(aoc_02_input[[#This Row],[Int1]]&lt;=aoc_02_input[[#This Row],[CountOfChar]],aoc_02_input[[#This Row],[CountOfChar]]&lt;=aoc_02_input[[#This Row],[Int2]]),1,0)</f>
        <v>0</v>
      </c>
      <c r="J700" s="1" t="str">
        <f>MID(aoc_02_input[[#This Row],[Password]],aoc_02_input[[#This Row],[Int1]],1)</f>
        <v>r</v>
      </c>
      <c r="K700" s="1">
        <f>IF(aoc_02_input[[#This Row],[Pos1]]=aoc_02_input[[#This Row],[Char]],1,0)</f>
        <v>1</v>
      </c>
      <c r="L700" s="1" t="str">
        <f>MID(aoc_02_input[[#This Row],[Password]],aoc_02_input[[#This Row],[Int2]],1)</f>
        <v>r</v>
      </c>
      <c r="M700" s="1">
        <f>IF(aoc_02_input[[#This Row],[Pos2]]=aoc_02_input[[#This Row],[Char]],1,0)</f>
        <v>1</v>
      </c>
      <c r="N700" s="1">
        <f>IF(aoc_02_input[[#This Row],[Pos1Valid]]&lt;&gt;aoc_02_input[[#This Row],[Pos2Valid]],1,0)</f>
        <v>0</v>
      </c>
    </row>
    <row r="701" spans="1:14" x14ac:dyDescent="0.45">
      <c r="A701" s="1" t="s">
        <v>288</v>
      </c>
      <c r="B701" s="1" t="s">
        <v>249</v>
      </c>
      <c r="C701" s="1" t="s">
        <v>1060</v>
      </c>
      <c r="D701" s="1">
        <f>FIND("-",aoc_02_input[[#This Row],[InputNumbers]])</f>
        <v>2</v>
      </c>
      <c r="E701" s="1">
        <f>_xlfn.NUMBERVALUE(LEFT(aoc_02_input[[#This Row],[InputNumbers]],aoc_02_input[[#This Row],[PosDash]]-1))</f>
        <v>1</v>
      </c>
      <c r="F701" s="1">
        <f>_xlfn.NUMBERVALUE(MID(aoc_02_input[[#This Row],[InputNumbers]],aoc_02_input[[#This Row],[PosDash]]+1,5))</f>
        <v>4</v>
      </c>
      <c r="G701" s="1" t="str">
        <f>LEFT(aoc_02_input[[#This Row],[InputChar]],1)</f>
        <v>q</v>
      </c>
      <c r="H701" s="1" cm="1">
        <f t="array" ref="H701">CountChar(aoc_02_input[[#This Row],[Password]],aoc_02_input[[#This Row],[Char]])</f>
        <v>2</v>
      </c>
      <c r="I701" s="1">
        <f>IF(AND(aoc_02_input[[#This Row],[Int1]]&lt;=aoc_02_input[[#This Row],[CountOfChar]],aoc_02_input[[#This Row],[CountOfChar]]&lt;=aoc_02_input[[#This Row],[Int2]]),1,0)</f>
        <v>1</v>
      </c>
      <c r="J701" s="1" t="str">
        <f>MID(aoc_02_input[[#This Row],[Password]],aoc_02_input[[#This Row],[Int1]],1)</f>
        <v>w</v>
      </c>
      <c r="K701" s="1">
        <f>IF(aoc_02_input[[#This Row],[Pos1]]=aoc_02_input[[#This Row],[Char]],1,0)</f>
        <v>0</v>
      </c>
      <c r="L701" s="1" t="str">
        <f>MID(aoc_02_input[[#This Row],[Password]],aoc_02_input[[#This Row],[Int2]],1)</f>
        <v>q</v>
      </c>
      <c r="M701" s="1">
        <f>IF(aoc_02_input[[#This Row],[Pos2]]=aoc_02_input[[#This Row],[Char]],1,0)</f>
        <v>1</v>
      </c>
      <c r="N701" s="1">
        <f>IF(aoc_02_input[[#This Row],[Pos1Valid]]&lt;&gt;aoc_02_input[[#This Row],[Pos2Valid]],1,0)</f>
        <v>1</v>
      </c>
    </row>
    <row r="702" spans="1:14" x14ac:dyDescent="0.45">
      <c r="A702" s="1" t="s">
        <v>1061</v>
      </c>
      <c r="B702" s="1" t="s">
        <v>207</v>
      </c>
      <c r="C702" s="1" t="s">
        <v>1062</v>
      </c>
      <c r="D702" s="1">
        <f>FIND("-",aoc_02_input[[#This Row],[InputNumbers]])</f>
        <v>2</v>
      </c>
      <c r="E702" s="1">
        <f>_xlfn.NUMBERVALUE(LEFT(aoc_02_input[[#This Row],[InputNumbers]],aoc_02_input[[#This Row],[PosDash]]-1))</f>
        <v>9</v>
      </c>
      <c r="F702" s="1">
        <f>_xlfn.NUMBERVALUE(MID(aoc_02_input[[#This Row],[InputNumbers]],aoc_02_input[[#This Row],[PosDash]]+1,5))</f>
        <v>19</v>
      </c>
      <c r="G702" s="1" t="str">
        <f>LEFT(aoc_02_input[[#This Row],[InputChar]],1)</f>
        <v>b</v>
      </c>
      <c r="H702" s="1" cm="1">
        <f t="array" ref="H702">CountChar(aoc_02_input[[#This Row],[Password]],aoc_02_input[[#This Row],[Char]])</f>
        <v>19</v>
      </c>
      <c r="I702" s="1">
        <f>IF(AND(aoc_02_input[[#This Row],[Int1]]&lt;=aoc_02_input[[#This Row],[CountOfChar]],aoc_02_input[[#This Row],[CountOfChar]]&lt;=aoc_02_input[[#This Row],[Int2]]),1,0)</f>
        <v>1</v>
      </c>
      <c r="J702" s="1" t="str">
        <f>MID(aoc_02_input[[#This Row],[Password]],aoc_02_input[[#This Row],[Int1]],1)</f>
        <v>l</v>
      </c>
      <c r="K702" s="1">
        <f>IF(aoc_02_input[[#This Row],[Pos1]]=aoc_02_input[[#This Row],[Char]],1,0)</f>
        <v>0</v>
      </c>
      <c r="L702" s="1" t="str">
        <f>MID(aoc_02_input[[#This Row],[Password]],aoc_02_input[[#This Row],[Int2]],1)</f>
        <v>b</v>
      </c>
      <c r="M702" s="1">
        <f>IF(aoc_02_input[[#This Row],[Pos2]]=aoc_02_input[[#This Row],[Char]],1,0)</f>
        <v>1</v>
      </c>
      <c r="N702" s="1">
        <f>IF(aoc_02_input[[#This Row],[Pos1Valid]]&lt;&gt;aoc_02_input[[#This Row],[Pos2Valid]],1,0)</f>
        <v>1</v>
      </c>
    </row>
    <row r="703" spans="1:14" x14ac:dyDescent="0.45">
      <c r="A703" s="1" t="s">
        <v>427</v>
      </c>
      <c r="B703" s="1" t="s">
        <v>305</v>
      </c>
      <c r="C703" s="1" t="s">
        <v>1063</v>
      </c>
      <c r="D703" s="1">
        <f>FIND("-",aoc_02_input[[#This Row],[InputNumbers]])</f>
        <v>2</v>
      </c>
      <c r="E703" s="1">
        <f>_xlfn.NUMBERVALUE(LEFT(aoc_02_input[[#This Row],[InputNumbers]],aoc_02_input[[#This Row],[PosDash]]-1))</f>
        <v>3</v>
      </c>
      <c r="F703" s="1">
        <f>_xlfn.NUMBERVALUE(MID(aoc_02_input[[#This Row],[InputNumbers]],aoc_02_input[[#This Row],[PosDash]]+1,5))</f>
        <v>8</v>
      </c>
      <c r="G703" s="1" t="str">
        <f>LEFT(aoc_02_input[[#This Row],[InputChar]],1)</f>
        <v>s</v>
      </c>
      <c r="H703" s="1" cm="1">
        <f t="array" ref="H703">CountChar(aoc_02_input[[#This Row],[Password]],aoc_02_input[[#This Row],[Char]])</f>
        <v>5</v>
      </c>
      <c r="I703" s="1">
        <f>IF(AND(aoc_02_input[[#This Row],[Int1]]&lt;=aoc_02_input[[#This Row],[CountOfChar]],aoc_02_input[[#This Row],[CountOfChar]]&lt;=aoc_02_input[[#This Row],[Int2]]),1,0)</f>
        <v>1</v>
      </c>
      <c r="J703" s="1" t="str">
        <f>MID(aoc_02_input[[#This Row],[Password]],aoc_02_input[[#This Row],[Int1]],1)</f>
        <v>s</v>
      </c>
      <c r="K703" s="1">
        <f>IF(aoc_02_input[[#This Row],[Pos1]]=aoc_02_input[[#This Row],[Char]],1,0)</f>
        <v>1</v>
      </c>
      <c r="L703" s="1" t="str">
        <f>MID(aoc_02_input[[#This Row],[Password]],aoc_02_input[[#This Row],[Int2]],1)</f>
        <v>s</v>
      </c>
      <c r="M703" s="1">
        <f>IF(aoc_02_input[[#This Row],[Pos2]]=aoc_02_input[[#This Row],[Char]],1,0)</f>
        <v>1</v>
      </c>
      <c r="N703" s="1">
        <f>IF(aoc_02_input[[#This Row],[Pos1Valid]]&lt;&gt;aoc_02_input[[#This Row],[Pos2Valid]],1,0)</f>
        <v>0</v>
      </c>
    </row>
    <row r="704" spans="1:14" x14ac:dyDescent="0.45">
      <c r="A704" s="1" t="s">
        <v>277</v>
      </c>
      <c r="B704" s="1" t="s">
        <v>238</v>
      </c>
      <c r="C704" s="1" t="s">
        <v>1064</v>
      </c>
      <c r="D704" s="1">
        <f>FIND("-",aoc_02_input[[#This Row],[InputNumbers]])</f>
        <v>2</v>
      </c>
      <c r="E704" s="1">
        <f>_xlfn.NUMBERVALUE(LEFT(aoc_02_input[[#This Row],[InputNumbers]],aoc_02_input[[#This Row],[PosDash]]-1))</f>
        <v>7</v>
      </c>
      <c r="F704" s="1">
        <f>_xlfn.NUMBERVALUE(MID(aoc_02_input[[#This Row],[InputNumbers]],aoc_02_input[[#This Row],[PosDash]]+1,5))</f>
        <v>12</v>
      </c>
      <c r="G704" s="1" t="str">
        <f>LEFT(aoc_02_input[[#This Row],[InputChar]],1)</f>
        <v>w</v>
      </c>
      <c r="H704" s="1" cm="1">
        <f t="array" ref="H704">CountChar(aoc_02_input[[#This Row],[Password]],aoc_02_input[[#This Row],[Char]])</f>
        <v>10</v>
      </c>
      <c r="I704" s="1">
        <f>IF(AND(aoc_02_input[[#This Row],[Int1]]&lt;=aoc_02_input[[#This Row],[CountOfChar]],aoc_02_input[[#This Row],[CountOfChar]]&lt;=aoc_02_input[[#This Row],[Int2]]),1,0)</f>
        <v>1</v>
      </c>
      <c r="J704" s="1" t="str">
        <f>MID(aoc_02_input[[#This Row],[Password]],aoc_02_input[[#This Row],[Int1]],1)</f>
        <v>w</v>
      </c>
      <c r="K704" s="1">
        <f>IF(aoc_02_input[[#This Row],[Pos1]]=aoc_02_input[[#This Row],[Char]],1,0)</f>
        <v>1</v>
      </c>
      <c r="L704" s="1" t="str">
        <f>MID(aoc_02_input[[#This Row],[Password]],aoc_02_input[[#This Row],[Int2]],1)</f>
        <v>c</v>
      </c>
      <c r="M704" s="1">
        <f>IF(aoc_02_input[[#This Row],[Pos2]]=aoc_02_input[[#This Row],[Char]],1,0)</f>
        <v>0</v>
      </c>
      <c r="N704" s="1">
        <f>IF(aoc_02_input[[#This Row],[Pos1Valid]]&lt;&gt;aoc_02_input[[#This Row],[Pos2Valid]],1,0)</f>
        <v>1</v>
      </c>
    </row>
    <row r="705" spans="1:14" x14ac:dyDescent="0.45">
      <c r="A705" s="1" t="s">
        <v>309</v>
      </c>
      <c r="B705" s="1" t="s">
        <v>305</v>
      </c>
      <c r="C705" s="1" t="s">
        <v>1065</v>
      </c>
      <c r="D705" s="1">
        <f>FIND("-",aoc_02_input[[#This Row],[InputNumbers]])</f>
        <v>2</v>
      </c>
      <c r="E705" s="1">
        <f>_xlfn.NUMBERVALUE(LEFT(aoc_02_input[[#This Row],[InputNumbers]],aoc_02_input[[#This Row],[PosDash]]-1))</f>
        <v>8</v>
      </c>
      <c r="F705" s="1">
        <f>_xlfn.NUMBERVALUE(MID(aoc_02_input[[#This Row],[InputNumbers]],aoc_02_input[[#This Row],[PosDash]]+1,5))</f>
        <v>11</v>
      </c>
      <c r="G705" s="1" t="str">
        <f>LEFT(aoc_02_input[[#This Row],[InputChar]],1)</f>
        <v>s</v>
      </c>
      <c r="H705" s="1" cm="1">
        <f t="array" ref="H705">CountChar(aoc_02_input[[#This Row],[Password]],aoc_02_input[[#This Row],[Char]])</f>
        <v>8</v>
      </c>
      <c r="I705" s="1">
        <f>IF(AND(aoc_02_input[[#This Row],[Int1]]&lt;=aoc_02_input[[#This Row],[CountOfChar]],aoc_02_input[[#This Row],[CountOfChar]]&lt;=aoc_02_input[[#This Row],[Int2]]),1,0)</f>
        <v>1</v>
      </c>
      <c r="J705" s="1" t="str">
        <f>MID(aoc_02_input[[#This Row],[Password]],aoc_02_input[[#This Row],[Int1]],1)</f>
        <v>s</v>
      </c>
      <c r="K705" s="1">
        <f>IF(aoc_02_input[[#This Row],[Pos1]]=aoc_02_input[[#This Row],[Char]],1,0)</f>
        <v>1</v>
      </c>
      <c r="L705" s="1" t="str">
        <f>MID(aoc_02_input[[#This Row],[Password]],aoc_02_input[[#This Row],[Int2]],1)</f>
        <v>n</v>
      </c>
      <c r="M705" s="1">
        <f>IF(aoc_02_input[[#This Row],[Pos2]]=aoc_02_input[[#This Row],[Char]],1,0)</f>
        <v>0</v>
      </c>
      <c r="N705" s="1">
        <f>IF(aoc_02_input[[#This Row],[Pos1Valid]]&lt;&gt;aoc_02_input[[#This Row],[Pos2Valid]],1,0)</f>
        <v>1</v>
      </c>
    </row>
    <row r="706" spans="1:14" x14ac:dyDescent="0.45">
      <c r="A706" s="1" t="s">
        <v>392</v>
      </c>
      <c r="B706" s="1" t="s">
        <v>210</v>
      </c>
      <c r="C706" s="1" t="s">
        <v>1066</v>
      </c>
      <c r="D706" s="1">
        <f>FIND("-",aoc_02_input[[#This Row],[InputNumbers]])</f>
        <v>2</v>
      </c>
      <c r="E706" s="1">
        <f>_xlfn.NUMBERVALUE(LEFT(aoc_02_input[[#This Row],[InputNumbers]],aoc_02_input[[#This Row],[PosDash]]-1))</f>
        <v>8</v>
      </c>
      <c r="F706" s="1">
        <f>_xlfn.NUMBERVALUE(MID(aoc_02_input[[#This Row],[InputNumbers]],aoc_02_input[[#This Row],[PosDash]]+1,5))</f>
        <v>9</v>
      </c>
      <c r="G706" s="1" t="str">
        <f>LEFT(aoc_02_input[[#This Row],[InputChar]],1)</f>
        <v>v</v>
      </c>
      <c r="H706" s="1" cm="1">
        <f t="array" ref="H706">CountChar(aoc_02_input[[#This Row],[Password]],aoc_02_input[[#This Row],[Char]])</f>
        <v>8</v>
      </c>
      <c r="I706" s="1">
        <f>IF(AND(aoc_02_input[[#This Row],[Int1]]&lt;=aoc_02_input[[#This Row],[CountOfChar]],aoc_02_input[[#This Row],[CountOfChar]]&lt;=aoc_02_input[[#This Row],[Int2]]),1,0)</f>
        <v>1</v>
      </c>
      <c r="J706" s="1" t="str">
        <f>MID(aoc_02_input[[#This Row],[Password]],aoc_02_input[[#This Row],[Int1]],1)</f>
        <v>b</v>
      </c>
      <c r="K706" s="1">
        <f>IF(aoc_02_input[[#This Row],[Pos1]]=aoc_02_input[[#This Row],[Char]],1,0)</f>
        <v>0</v>
      </c>
      <c r="L706" s="1" t="str">
        <f>MID(aoc_02_input[[#This Row],[Password]],aoc_02_input[[#This Row],[Int2]],1)</f>
        <v>v</v>
      </c>
      <c r="M706" s="1">
        <f>IF(aoc_02_input[[#This Row],[Pos2]]=aoc_02_input[[#This Row],[Char]],1,0)</f>
        <v>1</v>
      </c>
      <c r="N706" s="1">
        <f>IF(aoc_02_input[[#This Row],[Pos1Valid]]&lt;&gt;aoc_02_input[[#This Row],[Pos2Valid]],1,0)</f>
        <v>1</v>
      </c>
    </row>
    <row r="707" spans="1:14" x14ac:dyDescent="0.45">
      <c r="A707" s="1" t="s">
        <v>466</v>
      </c>
      <c r="B707" s="1" t="s">
        <v>225</v>
      </c>
      <c r="C707" s="1" t="s">
        <v>1067</v>
      </c>
      <c r="D707" s="1">
        <f>FIND("-",aoc_02_input[[#This Row],[InputNumbers]])</f>
        <v>2</v>
      </c>
      <c r="E707" s="1">
        <f>_xlfn.NUMBERVALUE(LEFT(aoc_02_input[[#This Row],[InputNumbers]],aoc_02_input[[#This Row],[PosDash]]-1))</f>
        <v>1</v>
      </c>
      <c r="F707" s="1">
        <f>_xlfn.NUMBERVALUE(MID(aoc_02_input[[#This Row],[InputNumbers]],aoc_02_input[[#This Row],[PosDash]]+1,5))</f>
        <v>9</v>
      </c>
      <c r="G707" s="1" t="str">
        <f>LEFT(aoc_02_input[[#This Row],[InputChar]],1)</f>
        <v>j</v>
      </c>
      <c r="H707" s="1" cm="1">
        <f t="array" ref="H707">CountChar(aoc_02_input[[#This Row],[Password]],aoc_02_input[[#This Row],[Char]])</f>
        <v>3</v>
      </c>
      <c r="I707" s="1">
        <f>IF(AND(aoc_02_input[[#This Row],[Int1]]&lt;=aoc_02_input[[#This Row],[CountOfChar]],aoc_02_input[[#This Row],[CountOfChar]]&lt;=aoc_02_input[[#This Row],[Int2]]),1,0)</f>
        <v>1</v>
      </c>
      <c r="J707" s="1" t="str">
        <f>MID(aoc_02_input[[#This Row],[Password]],aoc_02_input[[#This Row],[Int1]],1)</f>
        <v>q</v>
      </c>
      <c r="K707" s="1">
        <f>IF(aoc_02_input[[#This Row],[Pos1]]=aoc_02_input[[#This Row],[Char]],1,0)</f>
        <v>0</v>
      </c>
      <c r="L707" s="1" t="str">
        <f>MID(aoc_02_input[[#This Row],[Password]],aoc_02_input[[#This Row],[Int2]],1)</f>
        <v>j</v>
      </c>
      <c r="M707" s="1">
        <f>IF(aoc_02_input[[#This Row],[Pos2]]=aoc_02_input[[#This Row],[Char]],1,0)</f>
        <v>1</v>
      </c>
      <c r="N707" s="1">
        <f>IF(aoc_02_input[[#This Row],[Pos1Valid]]&lt;&gt;aoc_02_input[[#This Row],[Pos2Valid]],1,0)</f>
        <v>1</v>
      </c>
    </row>
    <row r="708" spans="1:14" x14ac:dyDescent="0.45">
      <c r="A708" s="1" t="s">
        <v>412</v>
      </c>
      <c r="B708" s="1" t="s">
        <v>249</v>
      </c>
      <c r="C708" s="1" t="s">
        <v>1068</v>
      </c>
      <c r="D708" s="1">
        <f>FIND("-",aoc_02_input[[#This Row],[InputNumbers]])</f>
        <v>3</v>
      </c>
      <c r="E708" s="1">
        <f>_xlfn.NUMBERVALUE(LEFT(aoc_02_input[[#This Row],[InputNumbers]],aoc_02_input[[#This Row],[PosDash]]-1))</f>
        <v>16</v>
      </c>
      <c r="F708" s="1">
        <f>_xlfn.NUMBERVALUE(MID(aoc_02_input[[#This Row],[InputNumbers]],aoc_02_input[[#This Row],[PosDash]]+1,5))</f>
        <v>17</v>
      </c>
      <c r="G708" s="1" t="str">
        <f>LEFT(aoc_02_input[[#This Row],[InputChar]],1)</f>
        <v>q</v>
      </c>
      <c r="H708" s="1" cm="1">
        <f t="array" ref="H708">CountChar(aoc_02_input[[#This Row],[Password]],aoc_02_input[[#This Row],[Char]])</f>
        <v>6</v>
      </c>
      <c r="I708" s="1">
        <f>IF(AND(aoc_02_input[[#This Row],[Int1]]&lt;=aoc_02_input[[#This Row],[CountOfChar]],aoc_02_input[[#This Row],[CountOfChar]]&lt;=aoc_02_input[[#This Row],[Int2]]),1,0)</f>
        <v>0</v>
      </c>
      <c r="J708" s="1" t="str">
        <f>MID(aoc_02_input[[#This Row],[Password]],aoc_02_input[[#This Row],[Int1]],1)</f>
        <v>q</v>
      </c>
      <c r="K708" s="1">
        <f>IF(aoc_02_input[[#This Row],[Pos1]]=aoc_02_input[[#This Row],[Char]],1,0)</f>
        <v>1</v>
      </c>
      <c r="L708" s="1" t="str">
        <f>MID(aoc_02_input[[#This Row],[Password]],aoc_02_input[[#This Row],[Int2]],1)</f>
        <v>q</v>
      </c>
      <c r="M708" s="1">
        <f>IF(aoc_02_input[[#This Row],[Pos2]]=aoc_02_input[[#This Row],[Char]],1,0)</f>
        <v>1</v>
      </c>
      <c r="N708" s="1">
        <f>IF(aoc_02_input[[#This Row],[Pos1Valid]]&lt;&gt;aoc_02_input[[#This Row],[Pos2Valid]],1,0)</f>
        <v>0</v>
      </c>
    </row>
    <row r="709" spans="1:14" x14ac:dyDescent="0.45">
      <c r="A709" s="1" t="s">
        <v>417</v>
      </c>
      <c r="B709" s="1" t="s">
        <v>243</v>
      </c>
      <c r="C709" s="1" t="s">
        <v>1069</v>
      </c>
      <c r="D709" s="1">
        <f>FIND("-",aoc_02_input[[#This Row],[InputNumbers]])</f>
        <v>3</v>
      </c>
      <c r="E709" s="1">
        <f>_xlfn.NUMBERVALUE(LEFT(aoc_02_input[[#This Row],[InputNumbers]],aoc_02_input[[#This Row],[PosDash]]-1))</f>
        <v>12</v>
      </c>
      <c r="F709" s="1">
        <f>_xlfn.NUMBERVALUE(MID(aoc_02_input[[#This Row],[InputNumbers]],aoc_02_input[[#This Row],[PosDash]]+1,5))</f>
        <v>13</v>
      </c>
      <c r="G709" s="1" t="str">
        <f>LEFT(aoc_02_input[[#This Row],[InputChar]],1)</f>
        <v>f</v>
      </c>
      <c r="H709" s="1" cm="1">
        <f t="array" ref="H709">CountChar(aoc_02_input[[#This Row],[Password]],aoc_02_input[[#This Row],[Char]])</f>
        <v>13</v>
      </c>
      <c r="I709" s="1">
        <f>IF(AND(aoc_02_input[[#This Row],[Int1]]&lt;=aoc_02_input[[#This Row],[CountOfChar]],aoc_02_input[[#This Row],[CountOfChar]]&lt;=aoc_02_input[[#This Row],[Int2]]),1,0)</f>
        <v>1</v>
      </c>
      <c r="J709" s="1" t="str">
        <f>MID(aoc_02_input[[#This Row],[Password]],aoc_02_input[[#This Row],[Int1]],1)</f>
        <v>f</v>
      </c>
      <c r="K709" s="1">
        <f>IF(aoc_02_input[[#This Row],[Pos1]]=aoc_02_input[[#This Row],[Char]],1,0)</f>
        <v>1</v>
      </c>
      <c r="L709" s="1" t="str">
        <f>MID(aoc_02_input[[#This Row],[Password]],aoc_02_input[[#This Row],[Int2]],1)</f>
        <v>f</v>
      </c>
      <c r="M709" s="1">
        <f>IF(aoc_02_input[[#This Row],[Pos2]]=aoc_02_input[[#This Row],[Char]],1,0)</f>
        <v>1</v>
      </c>
      <c r="N709" s="1">
        <f>IF(aoc_02_input[[#This Row],[Pos1Valid]]&lt;&gt;aoc_02_input[[#This Row],[Pos2Valid]],1,0)</f>
        <v>0</v>
      </c>
    </row>
    <row r="710" spans="1:14" x14ac:dyDescent="0.45">
      <c r="A710" s="1" t="s">
        <v>242</v>
      </c>
      <c r="B710" s="1" t="s">
        <v>254</v>
      </c>
      <c r="C710" s="1" t="s">
        <v>1070</v>
      </c>
      <c r="D710" s="1">
        <f>FIND("-",aoc_02_input[[#This Row],[InputNumbers]])</f>
        <v>3</v>
      </c>
      <c r="E710" s="1">
        <f>_xlfn.NUMBERVALUE(LEFT(aoc_02_input[[#This Row],[InputNumbers]],aoc_02_input[[#This Row],[PosDash]]-1))</f>
        <v>10</v>
      </c>
      <c r="F710" s="1">
        <f>_xlfn.NUMBERVALUE(MID(aoc_02_input[[#This Row],[InputNumbers]],aoc_02_input[[#This Row],[PosDash]]+1,5))</f>
        <v>11</v>
      </c>
      <c r="G710" s="1" t="str">
        <f>LEFT(aoc_02_input[[#This Row],[InputChar]],1)</f>
        <v>k</v>
      </c>
      <c r="H710" s="1" cm="1">
        <f t="array" ref="H710">CountChar(aoc_02_input[[#This Row],[Password]],aoc_02_input[[#This Row],[Char]])</f>
        <v>11</v>
      </c>
      <c r="I710" s="1">
        <f>IF(AND(aoc_02_input[[#This Row],[Int1]]&lt;=aoc_02_input[[#This Row],[CountOfChar]],aoc_02_input[[#This Row],[CountOfChar]]&lt;=aoc_02_input[[#This Row],[Int2]]),1,0)</f>
        <v>1</v>
      </c>
      <c r="J710" s="1" t="str">
        <f>MID(aoc_02_input[[#This Row],[Password]],aoc_02_input[[#This Row],[Int1]],1)</f>
        <v>k</v>
      </c>
      <c r="K710" s="1">
        <f>IF(aoc_02_input[[#This Row],[Pos1]]=aoc_02_input[[#This Row],[Char]],1,0)</f>
        <v>1</v>
      </c>
      <c r="L710" s="1" t="str">
        <f>MID(aoc_02_input[[#This Row],[Password]],aoc_02_input[[#This Row],[Int2]],1)</f>
        <v>k</v>
      </c>
      <c r="M710" s="1">
        <f>IF(aoc_02_input[[#This Row],[Pos2]]=aoc_02_input[[#This Row],[Char]],1,0)</f>
        <v>1</v>
      </c>
      <c r="N710" s="1">
        <f>IF(aoc_02_input[[#This Row],[Pos1Valid]]&lt;&gt;aoc_02_input[[#This Row],[Pos2Valid]],1,0)</f>
        <v>0</v>
      </c>
    </row>
    <row r="711" spans="1:14" x14ac:dyDescent="0.45">
      <c r="A711" s="1" t="s">
        <v>320</v>
      </c>
      <c r="B711" s="1" t="s">
        <v>265</v>
      </c>
      <c r="C711" s="1" t="s">
        <v>1071</v>
      </c>
      <c r="D711" s="1">
        <f>FIND("-",aoc_02_input[[#This Row],[InputNumbers]])</f>
        <v>2</v>
      </c>
      <c r="E711" s="1">
        <f>_xlfn.NUMBERVALUE(LEFT(aoc_02_input[[#This Row],[InputNumbers]],aoc_02_input[[#This Row],[PosDash]]-1))</f>
        <v>6</v>
      </c>
      <c r="F711" s="1">
        <f>_xlfn.NUMBERVALUE(MID(aoc_02_input[[#This Row],[InputNumbers]],aoc_02_input[[#This Row],[PosDash]]+1,5))</f>
        <v>7</v>
      </c>
      <c r="G711" s="1" t="str">
        <f>LEFT(aoc_02_input[[#This Row],[InputChar]],1)</f>
        <v>r</v>
      </c>
      <c r="H711" s="1" cm="1">
        <f t="array" ref="H711">CountChar(aoc_02_input[[#This Row],[Password]],aoc_02_input[[#This Row],[Char]])</f>
        <v>4</v>
      </c>
      <c r="I711" s="1">
        <f>IF(AND(aoc_02_input[[#This Row],[Int1]]&lt;=aoc_02_input[[#This Row],[CountOfChar]],aoc_02_input[[#This Row],[CountOfChar]]&lt;=aoc_02_input[[#This Row],[Int2]]),1,0)</f>
        <v>0</v>
      </c>
      <c r="J711" s="1" t="str">
        <f>MID(aoc_02_input[[#This Row],[Password]],aoc_02_input[[#This Row],[Int1]],1)</f>
        <v>r</v>
      </c>
      <c r="K711" s="1">
        <f>IF(aoc_02_input[[#This Row],[Pos1]]=aoc_02_input[[#This Row],[Char]],1,0)</f>
        <v>1</v>
      </c>
      <c r="L711" s="1" t="str">
        <f>MID(aoc_02_input[[#This Row],[Password]],aoc_02_input[[#This Row],[Int2]],1)</f>
        <v>r</v>
      </c>
      <c r="M711" s="1">
        <f>IF(aoc_02_input[[#This Row],[Pos2]]=aoc_02_input[[#This Row],[Char]],1,0)</f>
        <v>1</v>
      </c>
      <c r="N711" s="1">
        <f>IF(aoc_02_input[[#This Row],[Pos1Valid]]&lt;&gt;aoc_02_input[[#This Row],[Pos2Valid]],1,0)</f>
        <v>0</v>
      </c>
    </row>
    <row r="712" spans="1:14" x14ac:dyDescent="0.45">
      <c r="A712" s="1" t="s">
        <v>283</v>
      </c>
      <c r="B712" s="1" t="s">
        <v>305</v>
      </c>
      <c r="C712" s="1" t="s">
        <v>1072</v>
      </c>
      <c r="D712" s="1">
        <f>FIND("-",aoc_02_input[[#This Row],[InputNumbers]])</f>
        <v>2</v>
      </c>
      <c r="E712" s="1">
        <f>_xlfn.NUMBERVALUE(LEFT(aoc_02_input[[#This Row],[InputNumbers]],aoc_02_input[[#This Row],[PosDash]]-1))</f>
        <v>3</v>
      </c>
      <c r="F712" s="1">
        <f>_xlfn.NUMBERVALUE(MID(aoc_02_input[[#This Row],[InputNumbers]],aoc_02_input[[#This Row],[PosDash]]+1,5))</f>
        <v>4</v>
      </c>
      <c r="G712" s="1" t="str">
        <f>LEFT(aoc_02_input[[#This Row],[InputChar]],1)</f>
        <v>s</v>
      </c>
      <c r="H712" s="1" cm="1">
        <f t="array" ref="H712">CountChar(aoc_02_input[[#This Row],[Password]],aoc_02_input[[#This Row],[Char]])</f>
        <v>4</v>
      </c>
      <c r="I712" s="1">
        <f>IF(AND(aoc_02_input[[#This Row],[Int1]]&lt;=aoc_02_input[[#This Row],[CountOfChar]],aoc_02_input[[#This Row],[CountOfChar]]&lt;=aoc_02_input[[#This Row],[Int2]]),1,0)</f>
        <v>1</v>
      </c>
      <c r="J712" s="1" t="str">
        <f>MID(aoc_02_input[[#This Row],[Password]],aoc_02_input[[#This Row],[Int1]],1)</f>
        <v>s</v>
      </c>
      <c r="K712" s="1">
        <f>IF(aoc_02_input[[#This Row],[Pos1]]=aoc_02_input[[#This Row],[Char]],1,0)</f>
        <v>1</v>
      </c>
      <c r="L712" s="1" t="str">
        <f>MID(aoc_02_input[[#This Row],[Password]],aoc_02_input[[#This Row],[Int2]],1)</f>
        <v>s</v>
      </c>
      <c r="M712" s="1">
        <f>IF(aoc_02_input[[#This Row],[Pos2]]=aoc_02_input[[#This Row],[Char]],1,0)</f>
        <v>1</v>
      </c>
      <c r="N712" s="1">
        <f>IF(aoc_02_input[[#This Row],[Pos1Valid]]&lt;&gt;aoc_02_input[[#This Row],[Pos2Valid]],1,0)</f>
        <v>0</v>
      </c>
    </row>
    <row r="713" spans="1:14" x14ac:dyDescent="0.45">
      <c r="A713" s="1" t="s">
        <v>288</v>
      </c>
      <c r="B713" s="1" t="s">
        <v>278</v>
      </c>
      <c r="C713" s="1" t="s">
        <v>1073</v>
      </c>
      <c r="D713" s="1">
        <f>FIND("-",aoc_02_input[[#This Row],[InputNumbers]])</f>
        <v>2</v>
      </c>
      <c r="E713" s="1">
        <f>_xlfn.NUMBERVALUE(LEFT(aoc_02_input[[#This Row],[InputNumbers]],aoc_02_input[[#This Row],[PosDash]]-1))</f>
        <v>1</v>
      </c>
      <c r="F713" s="1">
        <f>_xlfn.NUMBERVALUE(MID(aoc_02_input[[#This Row],[InputNumbers]],aoc_02_input[[#This Row],[PosDash]]+1,5))</f>
        <v>4</v>
      </c>
      <c r="G713" s="1" t="str">
        <f>LEFT(aoc_02_input[[#This Row],[InputChar]],1)</f>
        <v>x</v>
      </c>
      <c r="H713" s="1" cm="1">
        <f t="array" ref="H713">CountChar(aoc_02_input[[#This Row],[Password]],aoc_02_input[[#This Row],[Char]])</f>
        <v>2</v>
      </c>
      <c r="I713" s="1">
        <f>IF(AND(aoc_02_input[[#This Row],[Int1]]&lt;=aoc_02_input[[#This Row],[CountOfChar]],aoc_02_input[[#This Row],[CountOfChar]]&lt;=aoc_02_input[[#This Row],[Int2]]),1,0)</f>
        <v>1</v>
      </c>
      <c r="J713" s="1" t="str">
        <f>MID(aoc_02_input[[#This Row],[Password]],aoc_02_input[[#This Row],[Int1]],1)</f>
        <v>q</v>
      </c>
      <c r="K713" s="1">
        <f>IF(aoc_02_input[[#This Row],[Pos1]]=aoc_02_input[[#This Row],[Char]],1,0)</f>
        <v>0</v>
      </c>
      <c r="L713" s="1" t="str">
        <f>MID(aoc_02_input[[#This Row],[Password]],aoc_02_input[[#This Row],[Int2]],1)</f>
        <v>x</v>
      </c>
      <c r="M713" s="1">
        <f>IF(aoc_02_input[[#This Row],[Pos2]]=aoc_02_input[[#This Row],[Char]],1,0)</f>
        <v>1</v>
      </c>
      <c r="N713" s="1">
        <f>IF(aoc_02_input[[#This Row],[Pos1Valid]]&lt;&gt;aoc_02_input[[#This Row],[Pos2Valid]],1,0)</f>
        <v>1</v>
      </c>
    </row>
    <row r="714" spans="1:14" x14ac:dyDescent="0.45">
      <c r="A714" s="1" t="s">
        <v>237</v>
      </c>
      <c r="B714" s="1" t="s">
        <v>252</v>
      </c>
      <c r="C714" s="1" t="s">
        <v>1074</v>
      </c>
      <c r="D714" s="1">
        <f>FIND("-",aoc_02_input[[#This Row],[InputNumbers]])</f>
        <v>2</v>
      </c>
      <c r="E714" s="1">
        <f>_xlfn.NUMBERVALUE(LEFT(aoc_02_input[[#This Row],[InputNumbers]],aoc_02_input[[#This Row],[PosDash]]-1))</f>
        <v>2</v>
      </c>
      <c r="F714" s="1">
        <f>_xlfn.NUMBERVALUE(MID(aoc_02_input[[#This Row],[InputNumbers]],aoc_02_input[[#This Row],[PosDash]]+1,5))</f>
        <v>12</v>
      </c>
      <c r="G714" s="1" t="str">
        <f>LEFT(aoc_02_input[[#This Row],[InputChar]],1)</f>
        <v>p</v>
      </c>
      <c r="H714" s="1" cm="1">
        <f t="array" ref="H714">CountChar(aoc_02_input[[#This Row],[Password]],aoc_02_input[[#This Row],[Char]])</f>
        <v>3</v>
      </c>
      <c r="I714" s="1">
        <f>IF(AND(aoc_02_input[[#This Row],[Int1]]&lt;=aoc_02_input[[#This Row],[CountOfChar]],aoc_02_input[[#This Row],[CountOfChar]]&lt;=aoc_02_input[[#This Row],[Int2]]),1,0)</f>
        <v>1</v>
      </c>
      <c r="J714" s="1" t="str">
        <f>MID(aoc_02_input[[#This Row],[Password]],aoc_02_input[[#This Row],[Int1]],1)</f>
        <v>p</v>
      </c>
      <c r="K714" s="1">
        <f>IF(aoc_02_input[[#This Row],[Pos1]]=aoc_02_input[[#This Row],[Char]],1,0)</f>
        <v>1</v>
      </c>
      <c r="L714" s="1" t="str">
        <f>MID(aoc_02_input[[#This Row],[Password]],aoc_02_input[[#This Row],[Int2]],1)</f>
        <v>p</v>
      </c>
      <c r="M714" s="1">
        <f>IF(aoc_02_input[[#This Row],[Pos2]]=aoc_02_input[[#This Row],[Char]],1,0)</f>
        <v>1</v>
      </c>
      <c r="N714" s="1">
        <f>IF(aoc_02_input[[#This Row],[Pos1Valid]]&lt;&gt;aoc_02_input[[#This Row],[Pos2Valid]],1,0)</f>
        <v>0</v>
      </c>
    </row>
    <row r="715" spans="1:14" x14ac:dyDescent="0.45">
      <c r="A715" s="1" t="s">
        <v>352</v>
      </c>
      <c r="B715" s="1" t="s">
        <v>225</v>
      </c>
      <c r="C715" s="1" t="s">
        <v>1075</v>
      </c>
      <c r="D715" s="1">
        <f>FIND("-",aoc_02_input[[#This Row],[InputNumbers]])</f>
        <v>3</v>
      </c>
      <c r="E715" s="1">
        <f>_xlfn.NUMBERVALUE(LEFT(aoc_02_input[[#This Row],[InputNumbers]],aoc_02_input[[#This Row],[PosDash]]-1))</f>
        <v>15</v>
      </c>
      <c r="F715" s="1">
        <f>_xlfn.NUMBERVALUE(MID(aoc_02_input[[#This Row],[InputNumbers]],aoc_02_input[[#This Row],[PosDash]]+1,5))</f>
        <v>16</v>
      </c>
      <c r="G715" s="1" t="str">
        <f>LEFT(aoc_02_input[[#This Row],[InputChar]],1)</f>
        <v>j</v>
      </c>
      <c r="H715" s="1" cm="1">
        <f t="array" ref="H715">CountChar(aoc_02_input[[#This Row],[Password]],aoc_02_input[[#This Row],[Char]])</f>
        <v>15</v>
      </c>
      <c r="I715" s="1">
        <f>IF(AND(aoc_02_input[[#This Row],[Int1]]&lt;=aoc_02_input[[#This Row],[CountOfChar]],aoc_02_input[[#This Row],[CountOfChar]]&lt;=aoc_02_input[[#This Row],[Int2]]),1,0)</f>
        <v>1</v>
      </c>
      <c r="J715" s="1" t="str">
        <f>MID(aoc_02_input[[#This Row],[Password]],aoc_02_input[[#This Row],[Int1]],1)</f>
        <v>j</v>
      </c>
      <c r="K715" s="1">
        <f>IF(aoc_02_input[[#This Row],[Pos1]]=aoc_02_input[[#This Row],[Char]],1,0)</f>
        <v>1</v>
      </c>
      <c r="L715" s="1" t="str">
        <f>MID(aoc_02_input[[#This Row],[Password]],aoc_02_input[[#This Row],[Int2]],1)</f>
        <v>j</v>
      </c>
      <c r="M715" s="1">
        <f>IF(aoc_02_input[[#This Row],[Pos2]]=aoc_02_input[[#This Row],[Char]],1,0)</f>
        <v>1</v>
      </c>
      <c r="N715" s="1">
        <f>IF(aoc_02_input[[#This Row],[Pos1Valid]]&lt;&gt;aoc_02_input[[#This Row],[Pos2Valid]],1,0)</f>
        <v>0</v>
      </c>
    </row>
    <row r="716" spans="1:14" x14ac:dyDescent="0.45">
      <c r="A716" s="1" t="s">
        <v>283</v>
      </c>
      <c r="B716" s="1" t="s">
        <v>295</v>
      </c>
      <c r="C716" s="1" t="s">
        <v>1076</v>
      </c>
      <c r="D716" s="1">
        <f>FIND("-",aoc_02_input[[#This Row],[InputNumbers]])</f>
        <v>2</v>
      </c>
      <c r="E716" s="1">
        <f>_xlfn.NUMBERVALUE(LEFT(aoc_02_input[[#This Row],[InputNumbers]],aoc_02_input[[#This Row],[PosDash]]-1))</f>
        <v>3</v>
      </c>
      <c r="F716" s="1">
        <f>_xlfn.NUMBERVALUE(MID(aoc_02_input[[#This Row],[InputNumbers]],aoc_02_input[[#This Row],[PosDash]]+1,5))</f>
        <v>4</v>
      </c>
      <c r="G716" s="1" t="str">
        <f>LEFT(aoc_02_input[[#This Row],[InputChar]],1)</f>
        <v>c</v>
      </c>
      <c r="H716" s="1" cm="1">
        <f t="array" ref="H716">CountChar(aoc_02_input[[#This Row],[Password]],aoc_02_input[[#This Row],[Char]])</f>
        <v>3</v>
      </c>
      <c r="I716" s="1">
        <f>IF(AND(aoc_02_input[[#This Row],[Int1]]&lt;=aoc_02_input[[#This Row],[CountOfChar]],aoc_02_input[[#This Row],[CountOfChar]]&lt;=aoc_02_input[[#This Row],[Int2]]),1,0)</f>
        <v>1</v>
      </c>
      <c r="J716" s="1" t="str">
        <f>MID(aoc_02_input[[#This Row],[Password]],aoc_02_input[[#This Row],[Int1]],1)</f>
        <v>p</v>
      </c>
      <c r="K716" s="1">
        <f>IF(aoc_02_input[[#This Row],[Pos1]]=aoc_02_input[[#This Row],[Char]],1,0)</f>
        <v>0</v>
      </c>
      <c r="L716" s="1" t="str">
        <f>MID(aoc_02_input[[#This Row],[Password]],aoc_02_input[[#This Row],[Int2]],1)</f>
        <v>c</v>
      </c>
      <c r="M716" s="1">
        <f>IF(aoc_02_input[[#This Row],[Pos2]]=aoc_02_input[[#This Row],[Char]],1,0)</f>
        <v>1</v>
      </c>
      <c r="N716" s="1">
        <f>IF(aoc_02_input[[#This Row],[Pos1Valid]]&lt;&gt;aoc_02_input[[#This Row],[Pos2Valid]],1,0)</f>
        <v>1</v>
      </c>
    </row>
    <row r="717" spans="1:14" x14ac:dyDescent="0.45">
      <c r="A717" s="1" t="s">
        <v>227</v>
      </c>
      <c r="B717" s="1" t="s">
        <v>207</v>
      </c>
      <c r="C717" s="1" t="s">
        <v>1077</v>
      </c>
      <c r="D717" s="1">
        <f>FIND("-",aoc_02_input[[#This Row],[InputNumbers]])</f>
        <v>2</v>
      </c>
      <c r="E717" s="1">
        <f>_xlfn.NUMBERVALUE(LEFT(aoc_02_input[[#This Row],[InputNumbers]],aoc_02_input[[#This Row],[PosDash]]-1))</f>
        <v>4</v>
      </c>
      <c r="F717" s="1">
        <f>_xlfn.NUMBERVALUE(MID(aoc_02_input[[#This Row],[InputNumbers]],aoc_02_input[[#This Row],[PosDash]]+1,5))</f>
        <v>5</v>
      </c>
      <c r="G717" s="1" t="str">
        <f>LEFT(aoc_02_input[[#This Row],[InputChar]],1)</f>
        <v>b</v>
      </c>
      <c r="H717" s="1" cm="1">
        <f t="array" ref="H717">CountChar(aoc_02_input[[#This Row],[Password]],aoc_02_input[[#This Row],[Char]])</f>
        <v>3</v>
      </c>
      <c r="I717" s="1">
        <f>IF(AND(aoc_02_input[[#This Row],[Int1]]&lt;=aoc_02_input[[#This Row],[CountOfChar]],aoc_02_input[[#This Row],[CountOfChar]]&lt;=aoc_02_input[[#This Row],[Int2]]),1,0)</f>
        <v>0</v>
      </c>
      <c r="J717" s="1" t="str">
        <f>MID(aoc_02_input[[#This Row],[Password]],aoc_02_input[[#This Row],[Int1]],1)</f>
        <v>b</v>
      </c>
      <c r="K717" s="1">
        <f>IF(aoc_02_input[[#This Row],[Pos1]]=aoc_02_input[[#This Row],[Char]],1,0)</f>
        <v>1</v>
      </c>
      <c r="L717" s="1" t="str">
        <f>MID(aoc_02_input[[#This Row],[Password]],aoc_02_input[[#This Row],[Int2]],1)</f>
        <v>h</v>
      </c>
      <c r="M717" s="1">
        <f>IF(aoc_02_input[[#This Row],[Pos2]]=aoc_02_input[[#This Row],[Char]],1,0)</f>
        <v>0</v>
      </c>
      <c r="N717" s="1">
        <f>IF(aoc_02_input[[#This Row],[Pos1Valid]]&lt;&gt;aoc_02_input[[#This Row],[Pos2Valid]],1,0)</f>
        <v>1</v>
      </c>
    </row>
    <row r="718" spans="1:14" x14ac:dyDescent="0.45">
      <c r="A718" s="1" t="s">
        <v>227</v>
      </c>
      <c r="B718" s="1" t="s">
        <v>213</v>
      </c>
      <c r="C718" s="1" t="s">
        <v>1078</v>
      </c>
      <c r="D718" s="1">
        <f>FIND("-",aoc_02_input[[#This Row],[InputNumbers]])</f>
        <v>2</v>
      </c>
      <c r="E718" s="1">
        <f>_xlfn.NUMBERVALUE(LEFT(aoc_02_input[[#This Row],[InputNumbers]],aoc_02_input[[#This Row],[PosDash]]-1))</f>
        <v>4</v>
      </c>
      <c r="F718" s="1">
        <f>_xlfn.NUMBERVALUE(MID(aoc_02_input[[#This Row],[InputNumbers]],aoc_02_input[[#This Row],[PosDash]]+1,5))</f>
        <v>5</v>
      </c>
      <c r="G718" s="1" t="str">
        <f>LEFT(aoc_02_input[[#This Row],[InputChar]],1)</f>
        <v>m</v>
      </c>
      <c r="H718" s="1" cm="1">
        <f t="array" ref="H718">CountChar(aoc_02_input[[#This Row],[Password]],aoc_02_input[[#This Row],[Char]])</f>
        <v>3</v>
      </c>
      <c r="I718" s="1">
        <f>IF(AND(aoc_02_input[[#This Row],[Int1]]&lt;=aoc_02_input[[#This Row],[CountOfChar]],aoc_02_input[[#This Row],[CountOfChar]]&lt;=aoc_02_input[[#This Row],[Int2]]),1,0)</f>
        <v>0</v>
      </c>
      <c r="J718" s="1" t="str">
        <f>MID(aoc_02_input[[#This Row],[Password]],aoc_02_input[[#This Row],[Int1]],1)</f>
        <v>z</v>
      </c>
      <c r="K718" s="1">
        <f>IF(aoc_02_input[[#This Row],[Pos1]]=aoc_02_input[[#This Row],[Char]],1,0)</f>
        <v>0</v>
      </c>
      <c r="L718" s="1" t="str">
        <f>MID(aoc_02_input[[#This Row],[Password]],aoc_02_input[[#This Row],[Int2]],1)</f>
        <v>m</v>
      </c>
      <c r="M718" s="1">
        <f>IF(aoc_02_input[[#This Row],[Pos2]]=aoc_02_input[[#This Row],[Char]],1,0)</f>
        <v>1</v>
      </c>
      <c r="N718" s="1">
        <f>IF(aoc_02_input[[#This Row],[Pos1Valid]]&lt;&gt;aoc_02_input[[#This Row],[Pos2Valid]],1,0)</f>
        <v>1</v>
      </c>
    </row>
    <row r="719" spans="1:14" x14ac:dyDescent="0.45">
      <c r="A719" s="1" t="s">
        <v>307</v>
      </c>
      <c r="B719" s="1" t="s">
        <v>246</v>
      </c>
      <c r="C719" s="1" t="s">
        <v>1079</v>
      </c>
      <c r="D719" s="1">
        <f>FIND("-",aoc_02_input[[#This Row],[InputNumbers]])</f>
        <v>2</v>
      </c>
      <c r="E719" s="1">
        <f>_xlfn.NUMBERVALUE(LEFT(aoc_02_input[[#This Row],[InputNumbers]],aoc_02_input[[#This Row],[PosDash]]-1))</f>
        <v>3</v>
      </c>
      <c r="F719" s="1">
        <f>_xlfn.NUMBERVALUE(MID(aoc_02_input[[#This Row],[InputNumbers]],aoc_02_input[[#This Row],[PosDash]]+1,5))</f>
        <v>5</v>
      </c>
      <c r="G719" s="1" t="str">
        <f>LEFT(aoc_02_input[[#This Row],[InputChar]],1)</f>
        <v>n</v>
      </c>
      <c r="H719" s="1" cm="1">
        <f t="array" ref="H719">CountChar(aoc_02_input[[#This Row],[Password]],aoc_02_input[[#This Row],[Char]])</f>
        <v>5</v>
      </c>
      <c r="I719" s="1">
        <f>IF(AND(aoc_02_input[[#This Row],[Int1]]&lt;=aoc_02_input[[#This Row],[CountOfChar]],aoc_02_input[[#This Row],[CountOfChar]]&lt;=aoc_02_input[[#This Row],[Int2]]),1,0)</f>
        <v>1</v>
      </c>
      <c r="J719" s="1" t="str">
        <f>MID(aoc_02_input[[#This Row],[Password]],aoc_02_input[[#This Row],[Int1]],1)</f>
        <v>n</v>
      </c>
      <c r="K719" s="1">
        <f>IF(aoc_02_input[[#This Row],[Pos1]]=aoc_02_input[[#This Row],[Char]],1,0)</f>
        <v>1</v>
      </c>
      <c r="L719" s="1" t="str">
        <f>MID(aoc_02_input[[#This Row],[Password]],aoc_02_input[[#This Row],[Int2]],1)</f>
        <v>n</v>
      </c>
      <c r="M719" s="1">
        <f>IF(aoc_02_input[[#This Row],[Pos2]]=aoc_02_input[[#This Row],[Char]],1,0)</f>
        <v>1</v>
      </c>
      <c r="N719" s="1">
        <f>IF(aoc_02_input[[#This Row],[Pos1Valid]]&lt;&gt;aoc_02_input[[#This Row],[Pos2Valid]],1,0)</f>
        <v>0</v>
      </c>
    </row>
    <row r="720" spans="1:14" x14ac:dyDescent="0.45">
      <c r="A720" s="1" t="s">
        <v>452</v>
      </c>
      <c r="B720" s="1" t="s">
        <v>207</v>
      </c>
      <c r="C720" s="1" t="s">
        <v>1080</v>
      </c>
      <c r="D720" s="1">
        <f>FIND("-",aoc_02_input[[#This Row],[InputNumbers]])</f>
        <v>3</v>
      </c>
      <c r="E720" s="1">
        <f>_xlfn.NUMBERVALUE(LEFT(aoc_02_input[[#This Row],[InputNumbers]],aoc_02_input[[#This Row],[PosDash]]-1))</f>
        <v>14</v>
      </c>
      <c r="F720" s="1">
        <f>_xlfn.NUMBERVALUE(MID(aoc_02_input[[#This Row],[InputNumbers]],aoc_02_input[[#This Row],[PosDash]]+1,5))</f>
        <v>15</v>
      </c>
      <c r="G720" s="1" t="str">
        <f>LEFT(aoc_02_input[[#This Row],[InputChar]],1)</f>
        <v>b</v>
      </c>
      <c r="H720" s="1" cm="1">
        <f t="array" ref="H720">CountChar(aoc_02_input[[#This Row],[Password]],aoc_02_input[[#This Row],[Char]])</f>
        <v>16</v>
      </c>
      <c r="I720" s="1">
        <f>IF(AND(aoc_02_input[[#This Row],[Int1]]&lt;=aoc_02_input[[#This Row],[CountOfChar]],aoc_02_input[[#This Row],[CountOfChar]]&lt;=aoc_02_input[[#This Row],[Int2]]),1,0)</f>
        <v>0</v>
      </c>
      <c r="J720" s="1" t="str">
        <f>MID(aoc_02_input[[#This Row],[Password]],aoc_02_input[[#This Row],[Int1]],1)</f>
        <v>b</v>
      </c>
      <c r="K720" s="1">
        <f>IF(aoc_02_input[[#This Row],[Pos1]]=aoc_02_input[[#This Row],[Char]],1,0)</f>
        <v>1</v>
      </c>
      <c r="L720" s="1" t="str">
        <f>MID(aoc_02_input[[#This Row],[Password]],aoc_02_input[[#This Row],[Int2]],1)</f>
        <v>k</v>
      </c>
      <c r="M720" s="1">
        <f>IF(aoc_02_input[[#This Row],[Pos2]]=aoc_02_input[[#This Row],[Char]],1,0)</f>
        <v>0</v>
      </c>
      <c r="N720" s="1">
        <f>IF(aoc_02_input[[#This Row],[Pos1Valid]]&lt;&gt;aoc_02_input[[#This Row],[Pos2Valid]],1,0)</f>
        <v>1</v>
      </c>
    </row>
    <row r="721" spans="1:14" x14ac:dyDescent="0.45">
      <c r="A721" s="1" t="s">
        <v>458</v>
      </c>
      <c r="B721" s="1" t="s">
        <v>243</v>
      </c>
      <c r="C721" s="1" t="s">
        <v>1081</v>
      </c>
      <c r="D721" s="1">
        <f>FIND("-",aoc_02_input[[#This Row],[InputNumbers]])</f>
        <v>2</v>
      </c>
      <c r="E721" s="1">
        <f>_xlfn.NUMBERVALUE(LEFT(aoc_02_input[[#This Row],[InputNumbers]],aoc_02_input[[#This Row],[PosDash]]-1))</f>
        <v>9</v>
      </c>
      <c r="F721" s="1">
        <f>_xlfn.NUMBERVALUE(MID(aoc_02_input[[#This Row],[InputNumbers]],aoc_02_input[[#This Row],[PosDash]]+1,5))</f>
        <v>12</v>
      </c>
      <c r="G721" s="1" t="str">
        <f>LEFT(aoc_02_input[[#This Row],[InputChar]],1)</f>
        <v>f</v>
      </c>
      <c r="H721" s="1" cm="1">
        <f t="array" ref="H721">CountChar(aoc_02_input[[#This Row],[Password]],aoc_02_input[[#This Row],[Char]])</f>
        <v>3</v>
      </c>
      <c r="I721" s="1">
        <f>IF(AND(aoc_02_input[[#This Row],[Int1]]&lt;=aoc_02_input[[#This Row],[CountOfChar]],aoc_02_input[[#This Row],[CountOfChar]]&lt;=aoc_02_input[[#This Row],[Int2]]),1,0)</f>
        <v>0</v>
      </c>
      <c r="J721" s="1" t="str">
        <f>MID(aoc_02_input[[#This Row],[Password]],aoc_02_input[[#This Row],[Int1]],1)</f>
        <v>b</v>
      </c>
      <c r="K721" s="1">
        <f>IF(aoc_02_input[[#This Row],[Pos1]]=aoc_02_input[[#This Row],[Char]],1,0)</f>
        <v>0</v>
      </c>
      <c r="L721" s="1" t="str">
        <f>MID(aoc_02_input[[#This Row],[Password]],aoc_02_input[[#This Row],[Int2]],1)</f>
        <v>f</v>
      </c>
      <c r="M721" s="1">
        <f>IF(aoc_02_input[[#This Row],[Pos2]]=aoc_02_input[[#This Row],[Char]],1,0)</f>
        <v>1</v>
      </c>
      <c r="N721" s="1">
        <f>IF(aoc_02_input[[#This Row],[Pos1Valid]]&lt;&gt;aoc_02_input[[#This Row],[Pos2Valid]],1,0)</f>
        <v>1</v>
      </c>
    </row>
    <row r="722" spans="1:14" x14ac:dyDescent="0.45">
      <c r="A722" s="1" t="s">
        <v>290</v>
      </c>
      <c r="B722" s="1" t="s">
        <v>254</v>
      </c>
      <c r="C722" s="1" t="s">
        <v>1082</v>
      </c>
      <c r="D722" s="1">
        <f>FIND("-",aoc_02_input[[#This Row],[InputNumbers]])</f>
        <v>2</v>
      </c>
      <c r="E722" s="1">
        <f>_xlfn.NUMBERVALUE(LEFT(aoc_02_input[[#This Row],[InputNumbers]],aoc_02_input[[#This Row],[PosDash]]-1))</f>
        <v>8</v>
      </c>
      <c r="F722" s="1">
        <f>_xlfn.NUMBERVALUE(MID(aoc_02_input[[#This Row],[InputNumbers]],aoc_02_input[[#This Row],[PosDash]]+1,5))</f>
        <v>10</v>
      </c>
      <c r="G722" s="1" t="str">
        <f>LEFT(aoc_02_input[[#This Row],[InputChar]],1)</f>
        <v>k</v>
      </c>
      <c r="H722" s="1" cm="1">
        <f t="array" ref="H722">CountChar(aoc_02_input[[#This Row],[Password]],aoc_02_input[[#This Row],[Char]])</f>
        <v>5</v>
      </c>
      <c r="I722" s="1">
        <f>IF(AND(aoc_02_input[[#This Row],[Int1]]&lt;=aoc_02_input[[#This Row],[CountOfChar]],aoc_02_input[[#This Row],[CountOfChar]]&lt;=aoc_02_input[[#This Row],[Int2]]),1,0)</f>
        <v>0</v>
      </c>
      <c r="J722" s="1" t="str">
        <f>MID(aoc_02_input[[#This Row],[Password]],aoc_02_input[[#This Row],[Int1]],1)</f>
        <v>p</v>
      </c>
      <c r="K722" s="1">
        <f>IF(aoc_02_input[[#This Row],[Pos1]]=aoc_02_input[[#This Row],[Char]],1,0)</f>
        <v>0</v>
      </c>
      <c r="L722" s="1" t="str">
        <f>MID(aoc_02_input[[#This Row],[Password]],aoc_02_input[[#This Row],[Int2]],1)</f>
        <v>k</v>
      </c>
      <c r="M722" s="1">
        <f>IF(aoc_02_input[[#This Row],[Pos2]]=aoc_02_input[[#This Row],[Char]],1,0)</f>
        <v>1</v>
      </c>
      <c r="N722" s="1">
        <f>IF(aoc_02_input[[#This Row],[Pos1Valid]]&lt;&gt;aoc_02_input[[#This Row],[Pos2Valid]],1,0)</f>
        <v>1</v>
      </c>
    </row>
    <row r="723" spans="1:14" x14ac:dyDescent="0.45">
      <c r="A723" s="1" t="s">
        <v>494</v>
      </c>
      <c r="B723" s="1" t="s">
        <v>252</v>
      </c>
      <c r="C723" s="1" t="s">
        <v>1083</v>
      </c>
      <c r="D723" s="1">
        <f>FIND("-",aoc_02_input[[#This Row],[InputNumbers]])</f>
        <v>2</v>
      </c>
      <c r="E723" s="1">
        <f>_xlfn.NUMBERVALUE(LEFT(aoc_02_input[[#This Row],[InputNumbers]],aoc_02_input[[#This Row],[PosDash]]-1))</f>
        <v>7</v>
      </c>
      <c r="F723" s="1">
        <f>_xlfn.NUMBERVALUE(MID(aoc_02_input[[#This Row],[InputNumbers]],aoc_02_input[[#This Row],[PosDash]]+1,5))</f>
        <v>10</v>
      </c>
      <c r="G723" s="1" t="str">
        <f>LEFT(aoc_02_input[[#This Row],[InputChar]],1)</f>
        <v>p</v>
      </c>
      <c r="H723" s="1" cm="1">
        <f t="array" ref="H723">CountChar(aoc_02_input[[#This Row],[Password]],aoc_02_input[[#This Row],[Char]])</f>
        <v>8</v>
      </c>
      <c r="I723" s="1">
        <f>IF(AND(aoc_02_input[[#This Row],[Int1]]&lt;=aoc_02_input[[#This Row],[CountOfChar]],aoc_02_input[[#This Row],[CountOfChar]]&lt;=aoc_02_input[[#This Row],[Int2]]),1,0)</f>
        <v>1</v>
      </c>
      <c r="J723" s="1" t="str">
        <f>MID(aoc_02_input[[#This Row],[Password]],aoc_02_input[[#This Row],[Int1]],1)</f>
        <v>p</v>
      </c>
      <c r="K723" s="1">
        <f>IF(aoc_02_input[[#This Row],[Pos1]]=aoc_02_input[[#This Row],[Char]],1,0)</f>
        <v>1</v>
      </c>
      <c r="L723" s="1" t="str">
        <f>MID(aoc_02_input[[#This Row],[Password]],aoc_02_input[[#This Row],[Int2]],1)</f>
        <v>z</v>
      </c>
      <c r="M723" s="1">
        <f>IF(aoc_02_input[[#This Row],[Pos2]]=aoc_02_input[[#This Row],[Char]],1,0)</f>
        <v>0</v>
      </c>
      <c r="N723" s="1">
        <f>IF(aoc_02_input[[#This Row],[Pos1Valid]]&lt;&gt;aoc_02_input[[#This Row],[Pos2Valid]],1,0)</f>
        <v>1</v>
      </c>
    </row>
    <row r="724" spans="1:14" x14ac:dyDescent="0.45">
      <c r="A724" s="1" t="s">
        <v>316</v>
      </c>
      <c r="B724" s="1" t="s">
        <v>254</v>
      </c>
      <c r="C724" s="1" t="s">
        <v>1084</v>
      </c>
      <c r="D724" s="1">
        <f>FIND("-",aoc_02_input[[#This Row],[InputNumbers]])</f>
        <v>2</v>
      </c>
      <c r="E724" s="1">
        <f>_xlfn.NUMBERVALUE(LEFT(aoc_02_input[[#This Row],[InputNumbers]],aoc_02_input[[#This Row],[PosDash]]-1))</f>
        <v>1</v>
      </c>
      <c r="F724" s="1">
        <f>_xlfn.NUMBERVALUE(MID(aoc_02_input[[#This Row],[InputNumbers]],aoc_02_input[[#This Row],[PosDash]]+1,5))</f>
        <v>6</v>
      </c>
      <c r="G724" s="1" t="str">
        <f>LEFT(aoc_02_input[[#This Row],[InputChar]],1)</f>
        <v>k</v>
      </c>
      <c r="H724" s="1" cm="1">
        <f t="array" ref="H724">CountChar(aoc_02_input[[#This Row],[Password]],aoc_02_input[[#This Row],[Char]])</f>
        <v>6</v>
      </c>
      <c r="I724" s="1">
        <f>IF(AND(aoc_02_input[[#This Row],[Int1]]&lt;=aoc_02_input[[#This Row],[CountOfChar]],aoc_02_input[[#This Row],[CountOfChar]]&lt;=aoc_02_input[[#This Row],[Int2]]),1,0)</f>
        <v>1</v>
      </c>
      <c r="J724" s="1" t="str">
        <f>MID(aoc_02_input[[#This Row],[Password]],aoc_02_input[[#This Row],[Int1]],1)</f>
        <v>k</v>
      </c>
      <c r="K724" s="1">
        <f>IF(aoc_02_input[[#This Row],[Pos1]]=aoc_02_input[[#This Row],[Char]],1,0)</f>
        <v>1</v>
      </c>
      <c r="L724" s="1" t="str">
        <f>MID(aoc_02_input[[#This Row],[Password]],aoc_02_input[[#This Row],[Int2]],1)</f>
        <v>q</v>
      </c>
      <c r="M724" s="1">
        <f>IF(aoc_02_input[[#This Row],[Pos2]]=aoc_02_input[[#This Row],[Char]],1,0)</f>
        <v>0</v>
      </c>
      <c r="N724" s="1">
        <f>IF(aoc_02_input[[#This Row],[Pos1Valid]]&lt;&gt;aoc_02_input[[#This Row],[Pos2Valid]],1,0)</f>
        <v>1</v>
      </c>
    </row>
    <row r="725" spans="1:14" x14ac:dyDescent="0.45">
      <c r="A725" s="1" t="s">
        <v>458</v>
      </c>
      <c r="B725" s="1" t="s">
        <v>213</v>
      </c>
      <c r="C725" s="1" t="s">
        <v>1085</v>
      </c>
      <c r="D725" s="1">
        <f>FIND("-",aoc_02_input[[#This Row],[InputNumbers]])</f>
        <v>2</v>
      </c>
      <c r="E725" s="1">
        <f>_xlfn.NUMBERVALUE(LEFT(aoc_02_input[[#This Row],[InputNumbers]],aoc_02_input[[#This Row],[PosDash]]-1))</f>
        <v>9</v>
      </c>
      <c r="F725" s="1">
        <f>_xlfn.NUMBERVALUE(MID(aoc_02_input[[#This Row],[InputNumbers]],aoc_02_input[[#This Row],[PosDash]]+1,5))</f>
        <v>12</v>
      </c>
      <c r="G725" s="1" t="str">
        <f>LEFT(aoc_02_input[[#This Row],[InputChar]],1)</f>
        <v>m</v>
      </c>
      <c r="H725" s="1" cm="1">
        <f t="array" ref="H725">CountChar(aoc_02_input[[#This Row],[Password]],aoc_02_input[[#This Row],[Char]])</f>
        <v>10</v>
      </c>
      <c r="I725" s="1">
        <f>IF(AND(aoc_02_input[[#This Row],[Int1]]&lt;=aoc_02_input[[#This Row],[CountOfChar]],aoc_02_input[[#This Row],[CountOfChar]]&lt;=aoc_02_input[[#This Row],[Int2]]),1,0)</f>
        <v>1</v>
      </c>
      <c r="J725" s="1" t="str">
        <f>MID(aoc_02_input[[#This Row],[Password]],aoc_02_input[[#This Row],[Int1]],1)</f>
        <v>m</v>
      </c>
      <c r="K725" s="1">
        <f>IF(aoc_02_input[[#This Row],[Pos1]]=aoc_02_input[[#This Row],[Char]],1,0)</f>
        <v>1</v>
      </c>
      <c r="L725" s="1" t="str">
        <f>MID(aoc_02_input[[#This Row],[Password]],aoc_02_input[[#This Row],[Int2]],1)</f>
        <v>t</v>
      </c>
      <c r="M725" s="1">
        <f>IF(aoc_02_input[[#This Row],[Pos2]]=aoc_02_input[[#This Row],[Char]],1,0)</f>
        <v>0</v>
      </c>
      <c r="N725" s="1">
        <f>IF(aoc_02_input[[#This Row],[Pos1Valid]]&lt;&gt;aoc_02_input[[#This Row],[Pos2Valid]],1,0)</f>
        <v>1</v>
      </c>
    </row>
    <row r="726" spans="1:14" x14ac:dyDescent="0.45">
      <c r="A726" s="1" t="s">
        <v>441</v>
      </c>
      <c r="B726" s="1" t="s">
        <v>249</v>
      </c>
      <c r="C726" s="1" t="s">
        <v>1086</v>
      </c>
      <c r="D726" s="1">
        <f>FIND("-",aoc_02_input[[#This Row],[InputNumbers]])</f>
        <v>3</v>
      </c>
      <c r="E726" s="1">
        <f>_xlfn.NUMBERVALUE(LEFT(aoc_02_input[[#This Row],[InputNumbers]],aoc_02_input[[#This Row],[PosDash]]-1))</f>
        <v>11</v>
      </c>
      <c r="F726" s="1">
        <f>_xlfn.NUMBERVALUE(MID(aoc_02_input[[#This Row],[InputNumbers]],aoc_02_input[[#This Row],[PosDash]]+1,5))</f>
        <v>13</v>
      </c>
      <c r="G726" s="1" t="str">
        <f>LEFT(aoc_02_input[[#This Row],[InputChar]],1)</f>
        <v>q</v>
      </c>
      <c r="H726" s="1" cm="1">
        <f t="array" ref="H726">CountChar(aoc_02_input[[#This Row],[Password]],aoc_02_input[[#This Row],[Char]])</f>
        <v>6</v>
      </c>
      <c r="I726" s="1">
        <f>IF(AND(aoc_02_input[[#This Row],[Int1]]&lt;=aoc_02_input[[#This Row],[CountOfChar]],aoc_02_input[[#This Row],[CountOfChar]]&lt;=aoc_02_input[[#This Row],[Int2]]),1,0)</f>
        <v>0</v>
      </c>
      <c r="J726" s="1" t="str">
        <f>MID(aoc_02_input[[#This Row],[Password]],aoc_02_input[[#This Row],[Int1]],1)</f>
        <v>x</v>
      </c>
      <c r="K726" s="1">
        <f>IF(aoc_02_input[[#This Row],[Pos1]]=aoc_02_input[[#This Row],[Char]],1,0)</f>
        <v>0</v>
      </c>
      <c r="L726" s="1" t="str">
        <f>MID(aoc_02_input[[#This Row],[Password]],aoc_02_input[[#This Row],[Int2]],1)</f>
        <v>q</v>
      </c>
      <c r="M726" s="1">
        <f>IF(aoc_02_input[[#This Row],[Pos2]]=aoc_02_input[[#This Row],[Char]],1,0)</f>
        <v>1</v>
      </c>
      <c r="N726" s="1">
        <f>IF(aoc_02_input[[#This Row],[Pos1Valid]]&lt;&gt;aoc_02_input[[#This Row],[Pos2Valid]],1,0)</f>
        <v>1</v>
      </c>
    </row>
    <row r="727" spans="1:14" x14ac:dyDescent="0.45">
      <c r="A727" s="1" t="s">
        <v>349</v>
      </c>
      <c r="B727" s="1" t="s">
        <v>216</v>
      </c>
      <c r="C727" s="1" t="s">
        <v>1087</v>
      </c>
      <c r="D727" s="1">
        <f>FIND("-",aoc_02_input[[#This Row],[InputNumbers]])</f>
        <v>2</v>
      </c>
      <c r="E727" s="1">
        <f>_xlfn.NUMBERVALUE(LEFT(aoc_02_input[[#This Row],[InputNumbers]],aoc_02_input[[#This Row],[PosDash]]-1))</f>
        <v>7</v>
      </c>
      <c r="F727" s="1">
        <f>_xlfn.NUMBERVALUE(MID(aoc_02_input[[#This Row],[InputNumbers]],aoc_02_input[[#This Row],[PosDash]]+1,5))</f>
        <v>16</v>
      </c>
      <c r="G727" s="1" t="str">
        <f>LEFT(aoc_02_input[[#This Row],[InputChar]],1)</f>
        <v>z</v>
      </c>
      <c r="H727" s="1" cm="1">
        <f t="array" ref="H727">CountChar(aoc_02_input[[#This Row],[Password]],aoc_02_input[[#This Row],[Char]])</f>
        <v>10</v>
      </c>
      <c r="I727" s="1">
        <f>IF(AND(aoc_02_input[[#This Row],[Int1]]&lt;=aoc_02_input[[#This Row],[CountOfChar]],aoc_02_input[[#This Row],[CountOfChar]]&lt;=aoc_02_input[[#This Row],[Int2]]),1,0)</f>
        <v>1</v>
      </c>
      <c r="J727" s="1" t="str">
        <f>MID(aoc_02_input[[#This Row],[Password]],aoc_02_input[[#This Row],[Int1]],1)</f>
        <v>z</v>
      </c>
      <c r="K727" s="1">
        <f>IF(aoc_02_input[[#This Row],[Pos1]]=aoc_02_input[[#This Row],[Char]],1,0)</f>
        <v>1</v>
      </c>
      <c r="L727" s="1" t="str">
        <f>MID(aoc_02_input[[#This Row],[Password]],aoc_02_input[[#This Row],[Int2]],1)</f>
        <v>f</v>
      </c>
      <c r="M727" s="1">
        <f>IF(aoc_02_input[[#This Row],[Pos2]]=aoc_02_input[[#This Row],[Char]],1,0)</f>
        <v>0</v>
      </c>
      <c r="N727" s="1">
        <f>IF(aoc_02_input[[#This Row],[Pos1Valid]]&lt;&gt;aoc_02_input[[#This Row],[Pos2Valid]],1,0)</f>
        <v>1</v>
      </c>
    </row>
    <row r="728" spans="1:14" x14ac:dyDescent="0.45">
      <c r="A728" s="1" t="s">
        <v>227</v>
      </c>
      <c r="B728" s="1" t="s">
        <v>295</v>
      </c>
      <c r="C728" s="1" t="s">
        <v>1088</v>
      </c>
      <c r="D728" s="1">
        <f>FIND("-",aoc_02_input[[#This Row],[InputNumbers]])</f>
        <v>2</v>
      </c>
      <c r="E728" s="1">
        <f>_xlfn.NUMBERVALUE(LEFT(aoc_02_input[[#This Row],[InputNumbers]],aoc_02_input[[#This Row],[PosDash]]-1))</f>
        <v>4</v>
      </c>
      <c r="F728" s="1">
        <f>_xlfn.NUMBERVALUE(MID(aoc_02_input[[#This Row],[InputNumbers]],aoc_02_input[[#This Row],[PosDash]]+1,5))</f>
        <v>5</v>
      </c>
      <c r="G728" s="1" t="str">
        <f>LEFT(aoc_02_input[[#This Row],[InputChar]],1)</f>
        <v>c</v>
      </c>
      <c r="H728" s="1" cm="1">
        <f t="array" ref="H728">CountChar(aoc_02_input[[#This Row],[Password]],aoc_02_input[[#This Row],[Char]])</f>
        <v>2</v>
      </c>
      <c r="I728" s="1">
        <f>IF(AND(aoc_02_input[[#This Row],[Int1]]&lt;=aoc_02_input[[#This Row],[CountOfChar]],aoc_02_input[[#This Row],[CountOfChar]]&lt;=aoc_02_input[[#This Row],[Int2]]),1,0)</f>
        <v>0</v>
      </c>
      <c r="J728" s="1" t="str">
        <f>MID(aoc_02_input[[#This Row],[Password]],aoc_02_input[[#This Row],[Int1]],1)</f>
        <v>q</v>
      </c>
      <c r="K728" s="1">
        <f>IF(aoc_02_input[[#This Row],[Pos1]]=aoc_02_input[[#This Row],[Char]],1,0)</f>
        <v>0</v>
      </c>
      <c r="L728" s="1" t="str">
        <f>MID(aoc_02_input[[#This Row],[Password]],aoc_02_input[[#This Row],[Int2]],1)</f>
        <v>f</v>
      </c>
      <c r="M728" s="1">
        <f>IF(aoc_02_input[[#This Row],[Pos2]]=aoc_02_input[[#This Row],[Char]],1,0)</f>
        <v>0</v>
      </c>
      <c r="N728" s="1">
        <f>IF(aoc_02_input[[#This Row],[Pos1Valid]]&lt;&gt;aoc_02_input[[#This Row],[Pos2Valid]],1,0)</f>
        <v>0</v>
      </c>
    </row>
    <row r="729" spans="1:14" x14ac:dyDescent="0.45">
      <c r="A729" s="1" t="s">
        <v>227</v>
      </c>
      <c r="B729" s="1" t="s">
        <v>252</v>
      </c>
      <c r="C729" s="1" t="s">
        <v>1089</v>
      </c>
      <c r="D729" s="1">
        <f>FIND("-",aoc_02_input[[#This Row],[InputNumbers]])</f>
        <v>2</v>
      </c>
      <c r="E729" s="1">
        <f>_xlfn.NUMBERVALUE(LEFT(aoc_02_input[[#This Row],[InputNumbers]],aoc_02_input[[#This Row],[PosDash]]-1))</f>
        <v>4</v>
      </c>
      <c r="F729" s="1">
        <f>_xlfn.NUMBERVALUE(MID(aoc_02_input[[#This Row],[InputNumbers]],aoc_02_input[[#This Row],[PosDash]]+1,5))</f>
        <v>5</v>
      </c>
      <c r="G729" s="1" t="str">
        <f>LEFT(aoc_02_input[[#This Row],[InputChar]],1)</f>
        <v>p</v>
      </c>
      <c r="H729" s="1" cm="1">
        <f t="array" ref="H729">CountChar(aoc_02_input[[#This Row],[Password]],aoc_02_input[[#This Row],[Char]])</f>
        <v>4</v>
      </c>
      <c r="I729" s="1">
        <f>IF(AND(aoc_02_input[[#This Row],[Int1]]&lt;=aoc_02_input[[#This Row],[CountOfChar]],aoc_02_input[[#This Row],[CountOfChar]]&lt;=aoc_02_input[[#This Row],[Int2]]),1,0)</f>
        <v>1</v>
      </c>
      <c r="J729" s="1" t="str">
        <f>MID(aoc_02_input[[#This Row],[Password]],aoc_02_input[[#This Row],[Int1]],1)</f>
        <v>p</v>
      </c>
      <c r="K729" s="1">
        <f>IF(aoc_02_input[[#This Row],[Pos1]]=aoc_02_input[[#This Row],[Char]],1,0)</f>
        <v>1</v>
      </c>
      <c r="L729" s="1" t="str">
        <f>MID(aoc_02_input[[#This Row],[Password]],aoc_02_input[[#This Row],[Int2]],1)</f>
        <v>r</v>
      </c>
      <c r="M729" s="1">
        <f>IF(aoc_02_input[[#This Row],[Pos2]]=aoc_02_input[[#This Row],[Char]],1,0)</f>
        <v>0</v>
      </c>
      <c r="N729" s="1">
        <f>IF(aoc_02_input[[#This Row],[Pos1Valid]]&lt;&gt;aoc_02_input[[#This Row],[Pos2Valid]],1,0)</f>
        <v>1</v>
      </c>
    </row>
    <row r="730" spans="1:14" x14ac:dyDescent="0.45">
      <c r="A730" s="1" t="s">
        <v>660</v>
      </c>
      <c r="B730" s="1" t="s">
        <v>265</v>
      </c>
      <c r="C730" s="1" t="s">
        <v>1090</v>
      </c>
      <c r="D730" s="1">
        <f>FIND("-",aoc_02_input[[#This Row],[InputNumbers]])</f>
        <v>2</v>
      </c>
      <c r="E730" s="1">
        <f>_xlfn.NUMBERVALUE(LEFT(aoc_02_input[[#This Row],[InputNumbers]],aoc_02_input[[#This Row],[PosDash]]-1))</f>
        <v>4</v>
      </c>
      <c r="F730" s="1">
        <f>_xlfn.NUMBERVALUE(MID(aoc_02_input[[#This Row],[InputNumbers]],aoc_02_input[[#This Row],[PosDash]]+1,5))</f>
        <v>12</v>
      </c>
      <c r="G730" s="1" t="str">
        <f>LEFT(aoc_02_input[[#This Row],[InputChar]],1)</f>
        <v>r</v>
      </c>
      <c r="H730" s="1" cm="1">
        <f t="array" ref="H730">CountChar(aoc_02_input[[#This Row],[Password]],aoc_02_input[[#This Row],[Char]])</f>
        <v>11</v>
      </c>
      <c r="I730" s="1">
        <f>IF(AND(aoc_02_input[[#This Row],[Int1]]&lt;=aoc_02_input[[#This Row],[CountOfChar]],aoc_02_input[[#This Row],[CountOfChar]]&lt;=aoc_02_input[[#This Row],[Int2]]),1,0)</f>
        <v>1</v>
      </c>
      <c r="J730" s="1" t="str">
        <f>MID(aoc_02_input[[#This Row],[Password]],aoc_02_input[[#This Row],[Int1]],1)</f>
        <v>n</v>
      </c>
      <c r="K730" s="1">
        <f>IF(aoc_02_input[[#This Row],[Pos1]]=aoc_02_input[[#This Row],[Char]],1,0)</f>
        <v>0</v>
      </c>
      <c r="L730" s="1" t="str">
        <f>MID(aoc_02_input[[#This Row],[Password]],aoc_02_input[[#This Row],[Int2]],1)</f>
        <v>n</v>
      </c>
      <c r="M730" s="1">
        <f>IF(aoc_02_input[[#This Row],[Pos2]]=aoc_02_input[[#This Row],[Char]],1,0)</f>
        <v>0</v>
      </c>
      <c r="N730" s="1">
        <f>IF(aoc_02_input[[#This Row],[Pos1Valid]]&lt;&gt;aoc_02_input[[#This Row],[Pos2Valid]],1,0)</f>
        <v>0</v>
      </c>
    </row>
    <row r="731" spans="1:14" x14ac:dyDescent="0.45">
      <c r="A731" s="1" t="s">
        <v>283</v>
      </c>
      <c r="B731" s="1" t="s">
        <v>225</v>
      </c>
      <c r="C731" s="1" t="s">
        <v>1091</v>
      </c>
      <c r="D731" s="1">
        <f>FIND("-",aoc_02_input[[#This Row],[InputNumbers]])</f>
        <v>2</v>
      </c>
      <c r="E731" s="1">
        <f>_xlfn.NUMBERVALUE(LEFT(aoc_02_input[[#This Row],[InputNumbers]],aoc_02_input[[#This Row],[PosDash]]-1))</f>
        <v>3</v>
      </c>
      <c r="F731" s="1">
        <f>_xlfn.NUMBERVALUE(MID(aoc_02_input[[#This Row],[InputNumbers]],aoc_02_input[[#This Row],[PosDash]]+1,5))</f>
        <v>4</v>
      </c>
      <c r="G731" s="1" t="str">
        <f>LEFT(aoc_02_input[[#This Row],[InputChar]],1)</f>
        <v>j</v>
      </c>
      <c r="H731" s="1" cm="1">
        <f t="array" ref="H731">CountChar(aoc_02_input[[#This Row],[Password]],aoc_02_input[[#This Row],[Char]])</f>
        <v>3</v>
      </c>
      <c r="I731" s="1">
        <f>IF(AND(aoc_02_input[[#This Row],[Int1]]&lt;=aoc_02_input[[#This Row],[CountOfChar]],aoc_02_input[[#This Row],[CountOfChar]]&lt;=aoc_02_input[[#This Row],[Int2]]),1,0)</f>
        <v>1</v>
      </c>
      <c r="J731" s="1" t="str">
        <f>MID(aoc_02_input[[#This Row],[Password]],aoc_02_input[[#This Row],[Int1]],1)</f>
        <v>f</v>
      </c>
      <c r="K731" s="1">
        <f>IF(aoc_02_input[[#This Row],[Pos1]]=aoc_02_input[[#This Row],[Char]],1,0)</f>
        <v>0</v>
      </c>
      <c r="L731" s="1" t="str">
        <f>MID(aoc_02_input[[#This Row],[Password]],aoc_02_input[[#This Row],[Int2]],1)</f>
        <v>j</v>
      </c>
      <c r="M731" s="1">
        <f>IF(aoc_02_input[[#This Row],[Pos2]]=aoc_02_input[[#This Row],[Char]],1,0)</f>
        <v>1</v>
      </c>
      <c r="N731" s="1">
        <f>IF(aoc_02_input[[#This Row],[Pos1Valid]]&lt;&gt;aoc_02_input[[#This Row],[Pos2Valid]],1,0)</f>
        <v>1</v>
      </c>
    </row>
    <row r="732" spans="1:14" x14ac:dyDescent="0.45">
      <c r="A732" s="1" t="s">
        <v>320</v>
      </c>
      <c r="B732" s="1" t="s">
        <v>225</v>
      </c>
      <c r="C732" s="1" t="s">
        <v>1092</v>
      </c>
      <c r="D732" s="1">
        <f>FIND("-",aoc_02_input[[#This Row],[InputNumbers]])</f>
        <v>2</v>
      </c>
      <c r="E732" s="1">
        <f>_xlfn.NUMBERVALUE(LEFT(aoc_02_input[[#This Row],[InputNumbers]],aoc_02_input[[#This Row],[PosDash]]-1))</f>
        <v>6</v>
      </c>
      <c r="F732" s="1">
        <f>_xlfn.NUMBERVALUE(MID(aoc_02_input[[#This Row],[InputNumbers]],aoc_02_input[[#This Row],[PosDash]]+1,5))</f>
        <v>7</v>
      </c>
      <c r="G732" s="1" t="str">
        <f>LEFT(aoc_02_input[[#This Row],[InputChar]],1)</f>
        <v>j</v>
      </c>
      <c r="H732" s="1" cm="1">
        <f t="array" ref="H732">CountChar(aoc_02_input[[#This Row],[Password]],aoc_02_input[[#This Row],[Char]])</f>
        <v>0</v>
      </c>
      <c r="I732" s="1">
        <f>IF(AND(aoc_02_input[[#This Row],[Int1]]&lt;=aoc_02_input[[#This Row],[CountOfChar]],aoc_02_input[[#This Row],[CountOfChar]]&lt;=aoc_02_input[[#This Row],[Int2]]),1,0)</f>
        <v>0</v>
      </c>
      <c r="J732" s="1" t="str">
        <f>MID(aoc_02_input[[#This Row],[Password]],aoc_02_input[[#This Row],[Int1]],1)</f>
        <v>k</v>
      </c>
      <c r="K732" s="1">
        <f>IF(aoc_02_input[[#This Row],[Pos1]]=aoc_02_input[[#This Row],[Char]],1,0)</f>
        <v>0</v>
      </c>
      <c r="L732" s="1" t="str">
        <f>MID(aoc_02_input[[#This Row],[Password]],aoc_02_input[[#This Row],[Int2]],1)</f>
        <v>z</v>
      </c>
      <c r="M732" s="1">
        <f>IF(aoc_02_input[[#This Row],[Pos2]]=aoc_02_input[[#This Row],[Char]],1,0)</f>
        <v>0</v>
      </c>
      <c r="N732" s="1">
        <f>IF(aoc_02_input[[#This Row],[Pos1Valid]]&lt;&gt;aoc_02_input[[#This Row],[Pos2Valid]],1,0)</f>
        <v>0</v>
      </c>
    </row>
    <row r="733" spans="1:14" x14ac:dyDescent="0.45">
      <c r="A733" s="1" t="s">
        <v>234</v>
      </c>
      <c r="B733" s="1" t="s">
        <v>243</v>
      </c>
      <c r="C733" s="1" t="s">
        <v>1093</v>
      </c>
      <c r="D733" s="1">
        <f>FIND("-",aoc_02_input[[#This Row],[InputNumbers]])</f>
        <v>2</v>
      </c>
      <c r="E733" s="1">
        <f>_xlfn.NUMBERVALUE(LEFT(aoc_02_input[[#This Row],[InputNumbers]],aoc_02_input[[#This Row],[PosDash]]-1))</f>
        <v>7</v>
      </c>
      <c r="F733" s="1">
        <f>_xlfn.NUMBERVALUE(MID(aoc_02_input[[#This Row],[InputNumbers]],aoc_02_input[[#This Row],[PosDash]]+1,5))</f>
        <v>8</v>
      </c>
      <c r="G733" s="1" t="str">
        <f>LEFT(aoc_02_input[[#This Row],[InputChar]],1)</f>
        <v>f</v>
      </c>
      <c r="H733" s="1" cm="1">
        <f t="array" ref="H733">CountChar(aoc_02_input[[#This Row],[Password]],aoc_02_input[[#This Row],[Char]])</f>
        <v>7</v>
      </c>
      <c r="I733" s="1">
        <f>IF(AND(aoc_02_input[[#This Row],[Int1]]&lt;=aoc_02_input[[#This Row],[CountOfChar]],aoc_02_input[[#This Row],[CountOfChar]]&lt;=aoc_02_input[[#This Row],[Int2]]),1,0)</f>
        <v>1</v>
      </c>
      <c r="J733" s="1" t="str">
        <f>MID(aoc_02_input[[#This Row],[Password]],aoc_02_input[[#This Row],[Int1]],1)</f>
        <v>w</v>
      </c>
      <c r="K733" s="1">
        <f>IF(aoc_02_input[[#This Row],[Pos1]]=aoc_02_input[[#This Row],[Char]],1,0)</f>
        <v>0</v>
      </c>
      <c r="L733" s="1" t="str">
        <f>MID(aoc_02_input[[#This Row],[Password]],aoc_02_input[[#This Row],[Int2]],1)</f>
        <v>f</v>
      </c>
      <c r="M733" s="1">
        <f>IF(aoc_02_input[[#This Row],[Pos2]]=aoc_02_input[[#This Row],[Char]],1,0)</f>
        <v>1</v>
      </c>
      <c r="N733" s="1">
        <f>IF(aoc_02_input[[#This Row],[Pos1Valid]]&lt;&gt;aoc_02_input[[#This Row],[Pos2Valid]],1,0)</f>
        <v>1</v>
      </c>
    </row>
    <row r="734" spans="1:14" x14ac:dyDescent="0.45">
      <c r="A734" s="1" t="s">
        <v>232</v>
      </c>
      <c r="B734" s="1" t="s">
        <v>278</v>
      </c>
      <c r="C734" s="1" t="s">
        <v>1094</v>
      </c>
      <c r="D734" s="1">
        <f>FIND("-",aoc_02_input[[#This Row],[InputNumbers]])</f>
        <v>2</v>
      </c>
      <c r="E734" s="1">
        <f>_xlfn.NUMBERVALUE(LEFT(aoc_02_input[[#This Row],[InputNumbers]],aoc_02_input[[#This Row],[PosDash]]-1))</f>
        <v>4</v>
      </c>
      <c r="F734" s="1">
        <f>_xlfn.NUMBERVALUE(MID(aoc_02_input[[#This Row],[InputNumbers]],aoc_02_input[[#This Row],[PosDash]]+1,5))</f>
        <v>6</v>
      </c>
      <c r="G734" s="1" t="str">
        <f>LEFT(aoc_02_input[[#This Row],[InputChar]],1)</f>
        <v>x</v>
      </c>
      <c r="H734" s="1" cm="1">
        <f t="array" ref="H734">CountChar(aoc_02_input[[#This Row],[Password]],aoc_02_input[[#This Row],[Char]])</f>
        <v>4</v>
      </c>
      <c r="I734" s="1">
        <f>IF(AND(aoc_02_input[[#This Row],[Int1]]&lt;=aoc_02_input[[#This Row],[CountOfChar]],aoc_02_input[[#This Row],[CountOfChar]]&lt;=aoc_02_input[[#This Row],[Int2]]),1,0)</f>
        <v>1</v>
      </c>
      <c r="J734" s="1" t="str">
        <f>MID(aoc_02_input[[#This Row],[Password]],aoc_02_input[[#This Row],[Int1]],1)</f>
        <v>d</v>
      </c>
      <c r="K734" s="1">
        <f>IF(aoc_02_input[[#This Row],[Pos1]]=aoc_02_input[[#This Row],[Char]],1,0)</f>
        <v>0</v>
      </c>
      <c r="L734" s="1" t="str">
        <f>MID(aoc_02_input[[#This Row],[Password]],aoc_02_input[[#This Row],[Int2]],1)</f>
        <v>t</v>
      </c>
      <c r="M734" s="1">
        <f>IF(aoc_02_input[[#This Row],[Pos2]]=aoc_02_input[[#This Row],[Char]],1,0)</f>
        <v>0</v>
      </c>
      <c r="N734" s="1">
        <f>IF(aoc_02_input[[#This Row],[Pos1Valid]]&lt;&gt;aoc_02_input[[#This Row],[Pos2Valid]],1,0)</f>
        <v>0</v>
      </c>
    </row>
    <row r="735" spans="1:14" x14ac:dyDescent="0.45">
      <c r="A735" s="1" t="s">
        <v>221</v>
      </c>
      <c r="B735" s="1" t="s">
        <v>238</v>
      </c>
      <c r="C735" s="1" t="s">
        <v>1095</v>
      </c>
      <c r="D735" s="1">
        <f>FIND("-",aoc_02_input[[#This Row],[InputNumbers]])</f>
        <v>2</v>
      </c>
      <c r="E735" s="1">
        <f>_xlfn.NUMBERVALUE(LEFT(aoc_02_input[[#This Row],[InputNumbers]],aoc_02_input[[#This Row],[PosDash]]-1))</f>
        <v>2</v>
      </c>
      <c r="F735" s="1">
        <f>_xlfn.NUMBERVALUE(MID(aoc_02_input[[#This Row],[InputNumbers]],aoc_02_input[[#This Row],[PosDash]]+1,5))</f>
        <v>3</v>
      </c>
      <c r="G735" s="1" t="str">
        <f>LEFT(aoc_02_input[[#This Row],[InputChar]],1)</f>
        <v>w</v>
      </c>
      <c r="H735" s="1" cm="1">
        <f t="array" ref="H735">CountChar(aoc_02_input[[#This Row],[Password]],aoc_02_input[[#This Row],[Char]])</f>
        <v>1</v>
      </c>
      <c r="I735" s="1">
        <f>IF(AND(aoc_02_input[[#This Row],[Int1]]&lt;=aoc_02_input[[#This Row],[CountOfChar]],aoc_02_input[[#This Row],[CountOfChar]]&lt;=aoc_02_input[[#This Row],[Int2]]),1,0)</f>
        <v>0</v>
      </c>
      <c r="J735" s="1" t="str">
        <f>MID(aoc_02_input[[#This Row],[Password]],aoc_02_input[[#This Row],[Int1]],1)</f>
        <v>f</v>
      </c>
      <c r="K735" s="1">
        <f>IF(aoc_02_input[[#This Row],[Pos1]]=aoc_02_input[[#This Row],[Char]],1,0)</f>
        <v>0</v>
      </c>
      <c r="L735" s="1" t="str">
        <f>MID(aoc_02_input[[#This Row],[Password]],aoc_02_input[[#This Row],[Int2]],1)</f>
        <v>n</v>
      </c>
      <c r="M735" s="1">
        <f>IF(aoc_02_input[[#This Row],[Pos2]]=aoc_02_input[[#This Row],[Char]],1,0)</f>
        <v>0</v>
      </c>
      <c r="N735" s="1">
        <f>IF(aoc_02_input[[#This Row],[Pos1Valid]]&lt;&gt;aoc_02_input[[#This Row],[Pos2Valid]],1,0)</f>
        <v>0</v>
      </c>
    </row>
    <row r="736" spans="1:14" x14ac:dyDescent="0.45">
      <c r="A736" s="1" t="s">
        <v>227</v>
      </c>
      <c r="B736" s="1" t="s">
        <v>246</v>
      </c>
      <c r="C736" s="1" t="s">
        <v>1096</v>
      </c>
      <c r="D736" s="1">
        <f>FIND("-",aoc_02_input[[#This Row],[InputNumbers]])</f>
        <v>2</v>
      </c>
      <c r="E736" s="1">
        <f>_xlfn.NUMBERVALUE(LEFT(aoc_02_input[[#This Row],[InputNumbers]],aoc_02_input[[#This Row],[PosDash]]-1))</f>
        <v>4</v>
      </c>
      <c r="F736" s="1">
        <f>_xlfn.NUMBERVALUE(MID(aoc_02_input[[#This Row],[InputNumbers]],aoc_02_input[[#This Row],[PosDash]]+1,5))</f>
        <v>5</v>
      </c>
      <c r="G736" s="1" t="str">
        <f>LEFT(aoc_02_input[[#This Row],[InputChar]],1)</f>
        <v>n</v>
      </c>
      <c r="H736" s="1" cm="1">
        <f t="array" ref="H736">CountChar(aoc_02_input[[#This Row],[Password]],aoc_02_input[[#This Row],[Char]])</f>
        <v>4</v>
      </c>
      <c r="I736" s="1">
        <f>IF(AND(aoc_02_input[[#This Row],[Int1]]&lt;=aoc_02_input[[#This Row],[CountOfChar]],aoc_02_input[[#This Row],[CountOfChar]]&lt;=aoc_02_input[[#This Row],[Int2]]),1,0)</f>
        <v>1</v>
      </c>
      <c r="J736" s="1" t="str">
        <f>MID(aoc_02_input[[#This Row],[Password]],aoc_02_input[[#This Row],[Int1]],1)</f>
        <v>n</v>
      </c>
      <c r="K736" s="1">
        <f>IF(aoc_02_input[[#This Row],[Pos1]]=aoc_02_input[[#This Row],[Char]],1,0)</f>
        <v>1</v>
      </c>
      <c r="L736" s="1" t="str">
        <f>MID(aoc_02_input[[#This Row],[Password]],aoc_02_input[[#This Row],[Int2]],1)</f>
        <v>m</v>
      </c>
      <c r="M736" s="1">
        <f>IF(aoc_02_input[[#This Row],[Pos2]]=aoc_02_input[[#This Row],[Char]],1,0)</f>
        <v>0</v>
      </c>
      <c r="N736" s="1">
        <f>IF(aoc_02_input[[#This Row],[Pos1Valid]]&lt;&gt;aoc_02_input[[#This Row],[Pos2Valid]],1,0)</f>
        <v>1</v>
      </c>
    </row>
    <row r="737" spans="1:14" x14ac:dyDescent="0.45">
      <c r="A737" s="1" t="s">
        <v>227</v>
      </c>
      <c r="B737" s="1" t="s">
        <v>238</v>
      </c>
      <c r="C737" s="1" t="s">
        <v>1097</v>
      </c>
      <c r="D737" s="1">
        <f>FIND("-",aoc_02_input[[#This Row],[InputNumbers]])</f>
        <v>2</v>
      </c>
      <c r="E737" s="1">
        <f>_xlfn.NUMBERVALUE(LEFT(aoc_02_input[[#This Row],[InputNumbers]],aoc_02_input[[#This Row],[PosDash]]-1))</f>
        <v>4</v>
      </c>
      <c r="F737" s="1">
        <f>_xlfn.NUMBERVALUE(MID(aoc_02_input[[#This Row],[InputNumbers]],aoc_02_input[[#This Row],[PosDash]]+1,5))</f>
        <v>5</v>
      </c>
      <c r="G737" s="1" t="str">
        <f>LEFT(aoc_02_input[[#This Row],[InputChar]],1)</f>
        <v>w</v>
      </c>
      <c r="H737" s="1" cm="1">
        <f t="array" ref="H737">CountChar(aoc_02_input[[#This Row],[Password]],aoc_02_input[[#This Row],[Char]])</f>
        <v>3</v>
      </c>
      <c r="I737" s="1">
        <f>IF(AND(aoc_02_input[[#This Row],[Int1]]&lt;=aoc_02_input[[#This Row],[CountOfChar]],aoc_02_input[[#This Row],[CountOfChar]]&lt;=aoc_02_input[[#This Row],[Int2]]),1,0)</f>
        <v>0</v>
      </c>
      <c r="J737" s="1" t="str">
        <f>MID(aoc_02_input[[#This Row],[Password]],aoc_02_input[[#This Row],[Int1]],1)</f>
        <v>q</v>
      </c>
      <c r="K737" s="1">
        <f>IF(aoc_02_input[[#This Row],[Pos1]]=aoc_02_input[[#This Row],[Char]],1,0)</f>
        <v>0</v>
      </c>
      <c r="L737" s="1" t="str">
        <f>MID(aoc_02_input[[#This Row],[Password]],aoc_02_input[[#This Row],[Int2]],1)</f>
        <v>n</v>
      </c>
      <c r="M737" s="1">
        <f>IF(aoc_02_input[[#This Row],[Pos2]]=aoc_02_input[[#This Row],[Char]],1,0)</f>
        <v>0</v>
      </c>
      <c r="N737" s="1">
        <f>IF(aoc_02_input[[#This Row],[Pos1Valid]]&lt;&gt;aoc_02_input[[#This Row],[Pos2Valid]],1,0)</f>
        <v>0</v>
      </c>
    </row>
    <row r="738" spans="1:14" x14ac:dyDescent="0.45">
      <c r="A738" s="1" t="s">
        <v>283</v>
      </c>
      <c r="B738" s="1" t="s">
        <v>246</v>
      </c>
      <c r="C738" s="1" t="s">
        <v>1098</v>
      </c>
      <c r="D738" s="1">
        <f>FIND("-",aoc_02_input[[#This Row],[InputNumbers]])</f>
        <v>2</v>
      </c>
      <c r="E738" s="1">
        <f>_xlfn.NUMBERVALUE(LEFT(aoc_02_input[[#This Row],[InputNumbers]],aoc_02_input[[#This Row],[PosDash]]-1))</f>
        <v>3</v>
      </c>
      <c r="F738" s="1">
        <f>_xlfn.NUMBERVALUE(MID(aoc_02_input[[#This Row],[InputNumbers]],aoc_02_input[[#This Row],[PosDash]]+1,5))</f>
        <v>4</v>
      </c>
      <c r="G738" s="1" t="str">
        <f>LEFT(aoc_02_input[[#This Row],[InputChar]],1)</f>
        <v>n</v>
      </c>
      <c r="H738" s="1" cm="1">
        <f t="array" ref="H738">CountChar(aoc_02_input[[#This Row],[Password]],aoc_02_input[[#This Row],[Char]])</f>
        <v>4</v>
      </c>
      <c r="I738" s="1">
        <f>IF(AND(aoc_02_input[[#This Row],[Int1]]&lt;=aoc_02_input[[#This Row],[CountOfChar]],aoc_02_input[[#This Row],[CountOfChar]]&lt;=aoc_02_input[[#This Row],[Int2]]),1,0)</f>
        <v>1</v>
      </c>
      <c r="J738" s="1" t="str">
        <f>MID(aoc_02_input[[#This Row],[Password]],aoc_02_input[[#This Row],[Int1]],1)</f>
        <v>n</v>
      </c>
      <c r="K738" s="1">
        <f>IF(aoc_02_input[[#This Row],[Pos1]]=aoc_02_input[[#This Row],[Char]],1,0)</f>
        <v>1</v>
      </c>
      <c r="L738" s="1" t="str">
        <f>MID(aoc_02_input[[#This Row],[Password]],aoc_02_input[[#This Row],[Int2]],1)</f>
        <v>n</v>
      </c>
      <c r="M738" s="1">
        <f>IF(aoc_02_input[[#This Row],[Pos2]]=aoc_02_input[[#This Row],[Char]],1,0)</f>
        <v>1</v>
      </c>
      <c r="N738" s="1">
        <f>IF(aoc_02_input[[#This Row],[Pos1Valid]]&lt;&gt;aoc_02_input[[#This Row],[Pos2Valid]],1,0)</f>
        <v>0</v>
      </c>
    </row>
    <row r="739" spans="1:14" x14ac:dyDescent="0.45">
      <c r="A739" s="1" t="s">
        <v>462</v>
      </c>
      <c r="B739" s="1" t="s">
        <v>213</v>
      </c>
      <c r="C739" s="1" t="s">
        <v>1099</v>
      </c>
      <c r="D739" s="1">
        <f>FIND("-",aoc_02_input[[#This Row],[InputNumbers]])</f>
        <v>2</v>
      </c>
      <c r="E739" s="1">
        <f>_xlfn.NUMBERVALUE(LEFT(aoc_02_input[[#This Row],[InputNumbers]],aoc_02_input[[#This Row],[PosDash]]-1))</f>
        <v>4</v>
      </c>
      <c r="F739" s="1">
        <f>_xlfn.NUMBERVALUE(MID(aoc_02_input[[#This Row],[InputNumbers]],aoc_02_input[[#This Row],[PosDash]]+1,5))</f>
        <v>8</v>
      </c>
      <c r="G739" s="1" t="str">
        <f>LEFT(aoc_02_input[[#This Row],[InputChar]],1)</f>
        <v>m</v>
      </c>
      <c r="H739" s="1" cm="1">
        <f t="array" ref="H739">CountChar(aoc_02_input[[#This Row],[Password]],aoc_02_input[[#This Row],[Char]])</f>
        <v>13</v>
      </c>
      <c r="I739" s="1">
        <f>IF(AND(aoc_02_input[[#This Row],[Int1]]&lt;=aoc_02_input[[#This Row],[CountOfChar]],aoc_02_input[[#This Row],[CountOfChar]]&lt;=aoc_02_input[[#This Row],[Int2]]),1,0)</f>
        <v>0</v>
      </c>
      <c r="J739" s="1" t="str">
        <f>MID(aoc_02_input[[#This Row],[Password]],aoc_02_input[[#This Row],[Int1]],1)</f>
        <v>f</v>
      </c>
      <c r="K739" s="1">
        <f>IF(aoc_02_input[[#This Row],[Pos1]]=aoc_02_input[[#This Row],[Char]],1,0)</f>
        <v>0</v>
      </c>
      <c r="L739" s="1" t="str">
        <f>MID(aoc_02_input[[#This Row],[Password]],aoc_02_input[[#This Row],[Int2]],1)</f>
        <v>h</v>
      </c>
      <c r="M739" s="1">
        <f>IF(aoc_02_input[[#This Row],[Pos2]]=aoc_02_input[[#This Row],[Char]],1,0)</f>
        <v>0</v>
      </c>
      <c r="N739" s="1">
        <f>IF(aoc_02_input[[#This Row],[Pos1Valid]]&lt;&gt;aoc_02_input[[#This Row],[Pos2Valid]],1,0)</f>
        <v>0</v>
      </c>
    </row>
    <row r="740" spans="1:14" x14ac:dyDescent="0.45">
      <c r="A740" s="1" t="s">
        <v>1100</v>
      </c>
      <c r="B740" s="1" t="s">
        <v>246</v>
      </c>
      <c r="C740" s="1" t="s">
        <v>1101</v>
      </c>
      <c r="D740" s="1">
        <f>FIND("-",aoc_02_input[[#This Row],[InputNumbers]])</f>
        <v>2</v>
      </c>
      <c r="E740" s="1">
        <f>_xlfn.NUMBERVALUE(LEFT(aoc_02_input[[#This Row],[InputNumbers]],aoc_02_input[[#This Row],[PosDash]]-1))</f>
        <v>4</v>
      </c>
      <c r="F740" s="1">
        <f>_xlfn.NUMBERVALUE(MID(aoc_02_input[[#This Row],[InputNumbers]],aoc_02_input[[#This Row],[PosDash]]+1,5))</f>
        <v>17</v>
      </c>
      <c r="G740" s="1" t="str">
        <f>LEFT(aoc_02_input[[#This Row],[InputChar]],1)</f>
        <v>n</v>
      </c>
      <c r="H740" s="1" cm="1">
        <f t="array" ref="H740">CountChar(aoc_02_input[[#This Row],[Password]],aoc_02_input[[#This Row],[Char]])</f>
        <v>13</v>
      </c>
      <c r="I740" s="1">
        <f>IF(AND(aoc_02_input[[#This Row],[Int1]]&lt;=aoc_02_input[[#This Row],[CountOfChar]],aoc_02_input[[#This Row],[CountOfChar]]&lt;=aoc_02_input[[#This Row],[Int2]]),1,0)</f>
        <v>1</v>
      </c>
      <c r="J740" s="1" t="str">
        <f>MID(aoc_02_input[[#This Row],[Password]],aoc_02_input[[#This Row],[Int1]],1)</f>
        <v>w</v>
      </c>
      <c r="K740" s="1">
        <f>IF(aoc_02_input[[#This Row],[Pos1]]=aoc_02_input[[#This Row],[Char]],1,0)</f>
        <v>0</v>
      </c>
      <c r="L740" s="1" t="str">
        <f>MID(aoc_02_input[[#This Row],[Password]],aoc_02_input[[#This Row],[Int2]],1)</f>
        <v>p</v>
      </c>
      <c r="M740" s="1">
        <f>IF(aoc_02_input[[#This Row],[Pos2]]=aoc_02_input[[#This Row],[Char]],1,0)</f>
        <v>0</v>
      </c>
      <c r="N740" s="1">
        <f>IF(aoc_02_input[[#This Row],[Pos1Valid]]&lt;&gt;aoc_02_input[[#This Row],[Pos2Valid]],1,0)</f>
        <v>0</v>
      </c>
    </row>
    <row r="741" spans="1:14" x14ac:dyDescent="0.45">
      <c r="A741" s="1" t="s">
        <v>234</v>
      </c>
      <c r="B741" s="1" t="s">
        <v>278</v>
      </c>
      <c r="C741" s="1" t="s">
        <v>1102</v>
      </c>
      <c r="D741" s="1">
        <f>FIND("-",aoc_02_input[[#This Row],[InputNumbers]])</f>
        <v>2</v>
      </c>
      <c r="E741" s="1">
        <f>_xlfn.NUMBERVALUE(LEFT(aoc_02_input[[#This Row],[InputNumbers]],aoc_02_input[[#This Row],[PosDash]]-1))</f>
        <v>7</v>
      </c>
      <c r="F741" s="1">
        <f>_xlfn.NUMBERVALUE(MID(aoc_02_input[[#This Row],[InputNumbers]],aoc_02_input[[#This Row],[PosDash]]+1,5))</f>
        <v>8</v>
      </c>
      <c r="G741" s="1" t="str">
        <f>LEFT(aoc_02_input[[#This Row],[InputChar]],1)</f>
        <v>x</v>
      </c>
      <c r="H741" s="1" cm="1">
        <f t="array" ref="H741">CountChar(aoc_02_input[[#This Row],[Password]],aoc_02_input[[#This Row],[Char]])</f>
        <v>2</v>
      </c>
      <c r="I741" s="1">
        <f>IF(AND(aoc_02_input[[#This Row],[Int1]]&lt;=aoc_02_input[[#This Row],[CountOfChar]],aoc_02_input[[#This Row],[CountOfChar]]&lt;=aoc_02_input[[#This Row],[Int2]]),1,0)</f>
        <v>0</v>
      </c>
      <c r="J741" s="1" t="str">
        <f>MID(aoc_02_input[[#This Row],[Password]],aoc_02_input[[#This Row],[Int1]],1)</f>
        <v>x</v>
      </c>
      <c r="K741" s="1">
        <f>IF(aoc_02_input[[#This Row],[Pos1]]=aoc_02_input[[#This Row],[Char]],1,0)</f>
        <v>1</v>
      </c>
      <c r="L741" s="1" t="str">
        <f>MID(aoc_02_input[[#This Row],[Password]],aoc_02_input[[#This Row],[Int2]],1)</f>
        <v>z</v>
      </c>
      <c r="M741" s="1">
        <f>IF(aoc_02_input[[#This Row],[Pos2]]=aoc_02_input[[#This Row],[Char]],1,0)</f>
        <v>0</v>
      </c>
      <c r="N741" s="1">
        <f>IF(aoc_02_input[[#This Row],[Pos1Valid]]&lt;&gt;aoc_02_input[[#This Row],[Pos2Valid]],1,0)</f>
        <v>1</v>
      </c>
    </row>
    <row r="742" spans="1:14" x14ac:dyDescent="0.45">
      <c r="A742" s="1" t="s">
        <v>224</v>
      </c>
      <c r="B742" s="1" t="s">
        <v>278</v>
      </c>
      <c r="C742" s="1" t="s">
        <v>1103</v>
      </c>
      <c r="D742" s="1">
        <f>FIND("-",aoc_02_input[[#This Row],[InputNumbers]])</f>
        <v>2</v>
      </c>
      <c r="E742" s="1">
        <f>_xlfn.NUMBERVALUE(LEFT(aoc_02_input[[#This Row],[InputNumbers]],aoc_02_input[[#This Row],[PosDash]]-1))</f>
        <v>1</v>
      </c>
      <c r="F742" s="1">
        <f>_xlfn.NUMBERVALUE(MID(aoc_02_input[[#This Row],[InputNumbers]],aoc_02_input[[#This Row],[PosDash]]+1,5))</f>
        <v>5</v>
      </c>
      <c r="G742" s="1" t="str">
        <f>LEFT(aoc_02_input[[#This Row],[InputChar]],1)</f>
        <v>x</v>
      </c>
      <c r="H742" s="1" cm="1">
        <f t="array" ref="H742">CountChar(aoc_02_input[[#This Row],[Password]],aoc_02_input[[#This Row],[Char]])</f>
        <v>5</v>
      </c>
      <c r="I742" s="1">
        <f>IF(AND(aoc_02_input[[#This Row],[Int1]]&lt;=aoc_02_input[[#This Row],[CountOfChar]],aoc_02_input[[#This Row],[CountOfChar]]&lt;=aoc_02_input[[#This Row],[Int2]]),1,0)</f>
        <v>1</v>
      </c>
      <c r="J742" s="1" t="str">
        <f>MID(aoc_02_input[[#This Row],[Password]],aoc_02_input[[#This Row],[Int1]],1)</f>
        <v>w</v>
      </c>
      <c r="K742" s="1">
        <f>IF(aoc_02_input[[#This Row],[Pos1]]=aoc_02_input[[#This Row],[Char]],1,0)</f>
        <v>0</v>
      </c>
      <c r="L742" s="1" t="str">
        <f>MID(aoc_02_input[[#This Row],[Password]],aoc_02_input[[#This Row],[Int2]],1)</f>
        <v>x</v>
      </c>
      <c r="M742" s="1">
        <f>IF(aoc_02_input[[#This Row],[Pos2]]=aoc_02_input[[#This Row],[Char]],1,0)</f>
        <v>1</v>
      </c>
      <c r="N742" s="1">
        <f>IF(aoc_02_input[[#This Row],[Pos1Valid]]&lt;&gt;aoc_02_input[[#This Row],[Pos2Valid]],1,0)</f>
        <v>1</v>
      </c>
    </row>
    <row r="743" spans="1:14" x14ac:dyDescent="0.45">
      <c r="A743" s="1" t="s">
        <v>292</v>
      </c>
      <c r="B743" s="1" t="s">
        <v>213</v>
      </c>
      <c r="C743" s="1" t="s">
        <v>1104</v>
      </c>
      <c r="D743" s="1">
        <f>FIND("-",aoc_02_input[[#This Row],[InputNumbers]])</f>
        <v>2</v>
      </c>
      <c r="E743" s="1">
        <f>_xlfn.NUMBERVALUE(LEFT(aoc_02_input[[#This Row],[InputNumbers]],aoc_02_input[[#This Row],[PosDash]]-1))</f>
        <v>7</v>
      </c>
      <c r="F743" s="1">
        <f>_xlfn.NUMBERVALUE(MID(aoc_02_input[[#This Row],[InputNumbers]],aoc_02_input[[#This Row],[PosDash]]+1,5))</f>
        <v>9</v>
      </c>
      <c r="G743" s="1" t="str">
        <f>LEFT(aoc_02_input[[#This Row],[InputChar]],1)</f>
        <v>m</v>
      </c>
      <c r="H743" s="1" cm="1">
        <f t="array" ref="H743">CountChar(aoc_02_input[[#This Row],[Password]],aoc_02_input[[#This Row],[Char]])</f>
        <v>7</v>
      </c>
      <c r="I743" s="1">
        <f>IF(AND(aoc_02_input[[#This Row],[Int1]]&lt;=aoc_02_input[[#This Row],[CountOfChar]],aoc_02_input[[#This Row],[CountOfChar]]&lt;=aoc_02_input[[#This Row],[Int2]]),1,0)</f>
        <v>1</v>
      </c>
      <c r="J743" s="1" t="str">
        <f>MID(aoc_02_input[[#This Row],[Password]],aoc_02_input[[#This Row],[Int1]],1)</f>
        <v>p</v>
      </c>
      <c r="K743" s="1">
        <f>IF(aoc_02_input[[#This Row],[Pos1]]=aoc_02_input[[#This Row],[Char]],1,0)</f>
        <v>0</v>
      </c>
      <c r="L743" s="1" t="str">
        <f>MID(aoc_02_input[[#This Row],[Password]],aoc_02_input[[#This Row],[Int2]],1)</f>
        <v>s</v>
      </c>
      <c r="M743" s="1">
        <f>IF(aoc_02_input[[#This Row],[Pos2]]=aoc_02_input[[#This Row],[Char]],1,0)</f>
        <v>0</v>
      </c>
      <c r="N743" s="1">
        <f>IF(aoc_02_input[[#This Row],[Pos1Valid]]&lt;&gt;aoc_02_input[[#This Row],[Pos2Valid]],1,0)</f>
        <v>0</v>
      </c>
    </row>
    <row r="744" spans="1:14" x14ac:dyDescent="0.45">
      <c r="A744" s="1" t="s">
        <v>280</v>
      </c>
      <c r="B744" s="1" t="s">
        <v>213</v>
      </c>
      <c r="C744" s="1" t="s">
        <v>1105</v>
      </c>
      <c r="D744" s="1">
        <f>FIND("-",aoc_02_input[[#This Row],[InputNumbers]])</f>
        <v>3</v>
      </c>
      <c r="E744" s="1">
        <f>_xlfn.NUMBERVALUE(LEFT(aoc_02_input[[#This Row],[InputNumbers]],aoc_02_input[[#This Row],[PosDash]]-1))</f>
        <v>17</v>
      </c>
      <c r="F744" s="1">
        <f>_xlfn.NUMBERVALUE(MID(aoc_02_input[[#This Row],[InputNumbers]],aoc_02_input[[#This Row],[PosDash]]+1,5))</f>
        <v>19</v>
      </c>
      <c r="G744" s="1" t="str">
        <f>LEFT(aoc_02_input[[#This Row],[InputChar]],1)</f>
        <v>m</v>
      </c>
      <c r="H744" s="1" cm="1">
        <f t="array" ref="H744">CountChar(aoc_02_input[[#This Row],[Password]],aoc_02_input[[#This Row],[Char]])</f>
        <v>3</v>
      </c>
      <c r="I744" s="1">
        <f>IF(AND(aoc_02_input[[#This Row],[Int1]]&lt;=aoc_02_input[[#This Row],[CountOfChar]],aoc_02_input[[#This Row],[CountOfChar]]&lt;=aoc_02_input[[#This Row],[Int2]]),1,0)</f>
        <v>0</v>
      </c>
      <c r="J744" s="1" t="str">
        <f>MID(aoc_02_input[[#This Row],[Password]],aoc_02_input[[#This Row],[Int1]],1)</f>
        <v>w</v>
      </c>
      <c r="K744" s="1">
        <f>IF(aoc_02_input[[#This Row],[Pos1]]=aoc_02_input[[#This Row],[Char]],1,0)</f>
        <v>0</v>
      </c>
      <c r="L744" s="1" t="str">
        <f>MID(aoc_02_input[[#This Row],[Password]],aoc_02_input[[#This Row],[Int2]],1)</f>
        <v>s</v>
      </c>
      <c r="M744" s="1">
        <f>IF(aoc_02_input[[#This Row],[Pos2]]=aoc_02_input[[#This Row],[Char]],1,0)</f>
        <v>0</v>
      </c>
      <c r="N744" s="1">
        <f>IF(aoc_02_input[[#This Row],[Pos1Valid]]&lt;&gt;aoc_02_input[[#This Row],[Pos2Valid]],1,0)</f>
        <v>0</v>
      </c>
    </row>
    <row r="745" spans="1:14" x14ac:dyDescent="0.45">
      <c r="A745" s="1" t="s">
        <v>324</v>
      </c>
      <c r="B745" s="1" t="s">
        <v>225</v>
      </c>
      <c r="C745" s="1" t="s">
        <v>1106</v>
      </c>
      <c r="D745" s="1">
        <f>FIND("-",aoc_02_input[[#This Row],[InputNumbers]])</f>
        <v>2</v>
      </c>
      <c r="E745" s="1">
        <f>_xlfn.NUMBERVALUE(LEFT(aoc_02_input[[#This Row],[InputNumbers]],aoc_02_input[[#This Row],[PosDash]]-1))</f>
        <v>1</v>
      </c>
      <c r="F745" s="1">
        <f>_xlfn.NUMBERVALUE(MID(aoc_02_input[[#This Row],[InputNumbers]],aoc_02_input[[#This Row],[PosDash]]+1,5))</f>
        <v>3</v>
      </c>
      <c r="G745" s="1" t="str">
        <f>LEFT(aoc_02_input[[#This Row],[InputChar]],1)</f>
        <v>j</v>
      </c>
      <c r="H745" s="1" cm="1">
        <f t="array" ref="H745">CountChar(aoc_02_input[[#This Row],[Password]],aoc_02_input[[#This Row],[Char]])</f>
        <v>1</v>
      </c>
      <c r="I745" s="1">
        <f>IF(AND(aoc_02_input[[#This Row],[Int1]]&lt;=aoc_02_input[[#This Row],[CountOfChar]],aoc_02_input[[#This Row],[CountOfChar]]&lt;=aoc_02_input[[#This Row],[Int2]]),1,0)</f>
        <v>1</v>
      </c>
      <c r="J745" s="1" t="str">
        <f>MID(aoc_02_input[[#This Row],[Password]],aoc_02_input[[#This Row],[Int1]],1)</f>
        <v>j</v>
      </c>
      <c r="K745" s="1">
        <f>IF(aoc_02_input[[#This Row],[Pos1]]=aoc_02_input[[#This Row],[Char]],1,0)</f>
        <v>1</v>
      </c>
      <c r="L745" s="1" t="str">
        <f>MID(aoc_02_input[[#This Row],[Password]],aoc_02_input[[#This Row],[Int2]],1)</f>
        <v>m</v>
      </c>
      <c r="M745" s="1">
        <f>IF(aoc_02_input[[#This Row],[Pos2]]=aoc_02_input[[#This Row],[Char]],1,0)</f>
        <v>0</v>
      </c>
      <c r="N745" s="1">
        <f>IF(aoc_02_input[[#This Row],[Pos1Valid]]&lt;&gt;aoc_02_input[[#This Row],[Pos2Valid]],1,0)</f>
        <v>1</v>
      </c>
    </row>
    <row r="746" spans="1:14" x14ac:dyDescent="0.45">
      <c r="A746" s="1" t="s">
        <v>248</v>
      </c>
      <c r="B746" s="1" t="s">
        <v>265</v>
      </c>
      <c r="C746" s="1" t="s">
        <v>1107</v>
      </c>
      <c r="D746" s="1">
        <f>FIND("-",aoc_02_input[[#This Row],[InputNumbers]])</f>
        <v>3</v>
      </c>
      <c r="E746" s="1">
        <f>_xlfn.NUMBERVALUE(LEFT(aoc_02_input[[#This Row],[InputNumbers]],aoc_02_input[[#This Row],[PosDash]]-1))</f>
        <v>11</v>
      </c>
      <c r="F746" s="1">
        <f>_xlfn.NUMBERVALUE(MID(aoc_02_input[[#This Row],[InputNumbers]],aoc_02_input[[#This Row],[PosDash]]+1,5))</f>
        <v>12</v>
      </c>
      <c r="G746" s="1" t="str">
        <f>LEFT(aoc_02_input[[#This Row],[InputChar]],1)</f>
        <v>r</v>
      </c>
      <c r="H746" s="1" cm="1">
        <f t="array" ref="H746">CountChar(aoc_02_input[[#This Row],[Password]],aoc_02_input[[#This Row],[Char]])</f>
        <v>11</v>
      </c>
      <c r="I746" s="1">
        <f>IF(AND(aoc_02_input[[#This Row],[Int1]]&lt;=aoc_02_input[[#This Row],[CountOfChar]],aoc_02_input[[#This Row],[CountOfChar]]&lt;=aoc_02_input[[#This Row],[Int2]]),1,0)</f>
        <v>1</v>
      </c>
      <c r="J746" s="1" t="str">
        <f>MID(aoc_02_input[[#This Row],[Password]],aoc_02_input[[#This Row],[Int1]],1)</f>
        <v>b</v>
      </c>
      <c r="K746" s="1">
        <f>IF(aoc_02_input[[#This Row],[Pos1]]=aoc_02_input[[#This Row],[Char]],1,0)</f>
        <v>0</v>
      </c>
      <c r="L746" s="1" t="str">
        <f>MID(aoc_02_input[[#This Row],[Password]],aoc_02_input[[#This Row],[Int2]],1)</f>
        <v>p</v>
      </c>
      <c r="M746" s="1">
        <f>IF(aoc_02_input[[#This Row],[Pos2]]=aoc_02_input[[#This Row],[Char]],1,0)</f>
        <v>0</v>
      </c>
      <c r="N746" s="1">
        <f>IF(aoc_02_input[[#This Row],[Pos1Valid]]&lt;&gt;aoc_02_input[[#This Row],[Pos2Valid]],1,0)</f>
        <v>0</v>
      </c>
    </row>
    <row r="747" spans="1:14" x14ac:dyDescent="0.45">
      <c r="A747" s="1" t="s">
        <v>380</v>
      </c>
      <c r="B747" s="1" t="s">
        <v>210</v>
      </c>
      <c r="C747" s="1" t="s">
        <v>1108</v>
      </c>
      <c r="D747" s="1">
        <f>FIND("-",aoc_02_input[[#This Row],[InputNumbers]])</f>
        <v>2</v>
      </c>
      <c r="E747" s="1">
        <f>_xlfn.NUMBERVALUE(LEFT(aoc_02_input[[#This Row],[InputNumbers]],aoc_02_input[[#This Row],[PosDash]]-1))</f>
        <v>3</v>
      </c>
      <c r="F747" s="1">
        <f>_xlfn.NUMBERVALUE(MID(aoc_02_input[[#This Row],[InputNumbers]],aoc_02_input[[#This Row],[PosDash]]+1,5))</f>
        <v>7</v>
      </c>
      <c r="G747" s="1" t="str">
        <f>LEFT(aoc_02_input[[#This Row],[InputChar]],1)</f>
        <v>v</v>
      </c>
      <c r="H747" s="1" cm="1">
        <f t="array" ref="H747">CountChar(aoc_02_input[[#This Row],[Password]],aoc_02_input[[#This Row],[Char]])</f>
        <v>7</v>
      </c>
      <c r="I747" s="1">
        <f>IF(AND(aoc_02_input[[#This Row],[Int1]]&lt;=aoc_02_input[[#This Row],[CountOfChar]],aoc_02_input[[#This Row],[CountOfChar]]&lt;=aoc_02_input[[#This Row],[Int2]]),1,0)</f>
        <v>1</v>
      </c>
      <c r="J747" s="1" t="str">
        <f>MID(aoc_02_input[[#This Row],[Password]],aoc_02_input[[#This Row],[Int1]],1)</f>
        <v>v</v>
      </c>
      <c r="K747" s="1">
        <f>IF(aoc_02_input[[#This Row],[Pos1]]=aoc_02_input[[#This Row],[Char]],1,0)</f>
        <v>1</v>
      </c>
      <c r="L747" s="1" t="str">
        <f>MID(aoc_02_input[[#This Row],[Password]],aoc_02_input[[#This Row],[Int2]],1)</f>
        <v>v</v>
      </c>
      <c r="M747" s="1">
        <f>IF(aoc_02_input[[#This Row],[Pos2]]=aoc_02_input[[#This Row],[Char]],1,0)</f>
        <v>1</v>
      </c>
      <c r="N747" s="1">
        <f>IF(aoc_02_input[[#This Row],[Pos1Valid]]&lt;&gt;aoc_02_input[[#This Row],[Pos2Valid]],1,0)</f>
        <v>0</v>
      </c>
    </row>
    <row r="748" spans="1:14" x14ac:dyDescent="0.45">
      <c r="A748" s="1" t="s">
        <v>462</v>
      </c>
      <c r="B748" s="1" t="s">
        <v>314</v>
      </c>
      <c r="C748" s="1" t="s">
        <v>1109</v>
      </c>
      <c r="D748" s="1">
        <f>FIND("-",aoc_02_input[[#This Row],[InputNumbers]])</f>
        <v>2</v>
      </c>
      <c r="E748" s="1">
        <f>_xlfn.NUMBERVALUE(LEFT(aoc_02_input[[#This Row],[InputNumbers]],aoc_02_input[[#This Row],[PosDash]]-1))</f>
        <v>4</v>
      </c>
      <c r="F748" s="1">
        <f>_xlfn.NUMBERVALUE(MID(aoc_02_input[[#This Row],[InputNumbers]],aoc_02_input[[#This Row],[PosDash]]+1,5))</f>
        <v>8</v>
      </c>
      <c r="G748" s="1" t="str">
        <f>LEFT(aoc_02_input[[#This Row],[InputChar]],1)</f>
        <v>h</v>
      </c>
      <c r="H748" s="1" cm="1">
        <f t="array" ref="H748">CountChar(aoc_02_input[[#This Row],[Password]],aoc_02_input[[#This Row],[Char]])</f>
        <v>2</v>
      </c>
      <c r="I748" s="1">
        <f>IF(AND(aoc_02_input[[#This Row],[Int1]]&lt;=aoc_02_input[[#This Row],[CountOfChar]],aoc_02_input[[#This Row],[CountOfChar]]&lt;=aoc_02_input[[#This Row],[Int2]]),1,0)</f>
        <v>0</v>
      </c>
      <c r="J748" s="1" t="str">
        <f>MID(aoc_02_input[[#This Row],[Password]],aoc_02_input[[#This Row],[Int1]],1)</f>
        <v>x</v>
      </c>
      <c r="K748" s="1">
        <f>IF(aoc_02_input[[#This Row],[Pos1]]=aoc_02_input[[#This Row],[Char]],1,0)</f>
        <v>0</v>
      </c>
      <c r="L748" s="1" t="str">
        <f>MID(aoc_02_input[[#This Row],[Password]],aoc_02_input[[#This Row],[Int2]],1)</f>
        <v>n</v>
      </c>
      <c r="M748" s="1">
        <f>IF(aoc_02_input[[#This Row],[Pos2]]=aoc_02_input[[#This Row],[Char]],1,0)</f>
        <v>0</v>
      </c>
      <c r="N748" s="1">
        <f>IF(aoc_02_input[[#This Row],[Pos1Valid]]&lt;&gt;aoc_02_input[[#This Row],[Pos2Valid]],1,0)</f>
        <v>0</v>
      </c>
    </row>
    <row r="749" spans="1:14" x14ac:dyDescent="0.45">
      <c r="A749" s="1" t="s">
        <v>1110</v>
      </c>
      <c r="B749" s="1" t="s">
        <v>278</v>
      </c>
      <c r="C749" s="1" t="s">
        <v>1111</v>
      </c>
      <c r="D749" s="1">
        <f>FIND("-",aoc_02_input[[#This Row],[InputNumbers]])</f>
        <v>3</v>
      </c>
      <c r="E749" s="1">
        <f>_xlfn.NUMBERVALUE(LEFT(aoc_02_input[[#This Row],[InputNumbers]],aoc_02_input[[#This Row],[PosDash]]-1))</f>
        <v>16</v>
      </c>
      <c r="F749" s="1">
        <f>_xlfn.NUMBERVALUE(MID(aoc_02_input[[#This Row],[InputNumbers]],aoc_02_input[[#This Row],[PosDash]]+1,5))</f>
        <v>20</v>
      </c>
      <c r="G749" s="1" t="str">
        <f>LEFT(aoc_02_input[[#This Row],[InputChar]],1)</f>
        <v>x</v>
      </c>
      <c r="H749" s="1" cm="1">
        <f t="array" ref="H749">CountChar(aoc_02_input[[#This Row],[Password]],aoc_02_input[[#This Row],[Char]])</f>
        <v>8</v>
      </c>
      <c r="I749" s="1">
        <f>IF(AND(aoc_02_input[[#This Row],[Int1]]&lt;=aoc_02_input[[#This Row],[CountOfChar]],aoc_02_input[[#This Row],[CountOfChar]]&lt;=aoc_02_input[[#This Row],[Int2]]),1,0)</f>
        <v>0</v>
      </c>
      <c r="J749" s="1" t="str">
        <f>MID(aoc_02_input[[#This Row],[Password]],aoc_02_input[[#This Row],[Int1]],1)</f>
        <v>j</v>
      </c>
      <c r="K749" s="1">
        <f>IF(aoc_02_input[[#This Row],[Pos1]]=aoc_02_input[[#This Row],[Char]],1,0)</f>
        <v>0</v>
      </c>
      <c r="L749" s="1" t="str">
        <f>MID(aoc_02_input[[#This Row],[Password]],aoc_02_input[[#This Row],[Int2]],1)</f>
        <v>x</v>
      </c>
      <c r="M749" s="1">
        <f>IF(aoc_02_input[[#This Row],[Pos2]]=aoc_02_input[[#This Row],[Char]],1,0)</f>
        <v>1</v>
      </c>
      <c r="N749" s="1">
        <f>IF(aoc_02_input[[#This Row],[Pos1Valid]]&lt;&gt;aoc_02_input[[#This Row],[Pos2Valid]],1,0)</f>
        <v>1</v>
      </c>
    </row>
    <row r="750" spans="1:14" x14ac:dyDescent="0.45">
      <c r="A750" s="1" t="s">
        <v>283</v>
      </c>
      <c r="B750" s="1" t="s">
        <v>207</v>
      </c>
      <c r="C750" s="1" t="s">
        <v>1112</v>
      </c>
      <c r="D750" s="1">
        <f>FIND("-",aoc_02_input[[#This Row],[InputNumbers]])</f>
        <v>2</v>
      </c>
      <c r="E750" s="1">
        <f>_xlfn.NUMBERVALUE(LEFT(aoc_02_input[[#This Row],[InputNumbers]],aoc_02_input[[#This Row],[PosDash]]-1))</f>
        <v>3</v>
      </c>
      <c r="F750" s="1">
        <f>_xlfn.NUMBERVALUE(MID(aoc_02_input[[#This Row],[InputNumbers]],aoc_02_input[[#This Row],[PosDash]]+1,5))</f>
        <v>4</v>
      </c>
      <c r="G750" s="1" t="str">
        <f>LEFT(aoc_02_input[[#This Row],[InputChar]],1)</f>
        <v>b</v>
      </c>
      <c r="H750" s="1" cm="1">
        <f t="array" ref="H750">CountChar(aoc_02_input[[#This Row],[Password]],aoc_02_input[[#This Row],[Char]])</f>
        <v>2</v>
      </c>
      <c r="I750" s="1">
        <f>IF(AND(aoc_02_input[[#This Row],[Int1]]&lt;=aoc_02_input[[#This Row],[CountOfChar]],aoc_02_input[[#This Row],[CountOfChar]]&lt;=aoc_02_input[[#This Row],[Int2]]),1,0)</f>
        <v>0</v>
      </c>
      <c r="J750" s="1" t="str">
        <f>MID(aoc_02_input[[#This Row],[Password]],aoc_02_input[[#This Row],[Int1]],1)</f>
        <v>t</v>
      </c>
      <c r="K750" s="1">
        <f>IF(aoc_02_input[[#This Row],[Pos1]]=aoc_02_input[[#This Row],[Char]],1,0)</f>
        <v>0</v>
      </c>
      <c r="L750" s="1" t="str">
        <f>MID(aoc_02_input[[#This Row],[Password]],aoc_02_input[[#This Row],[Int2]],1)</f>
        <v>h</v>
      </c>
      <c r="M750" s="1">
        <f>IF(aoc_02_input[[#This Row],[Pos2]]=aoc_02_input[[#This Row],[Char]],1,0)</f>
        <v>0</v>
      </c>
      <c r="N750" s="1">
        <f>IF(aoc_02_input[[#This Row],[Pos1Valid]]&lt;&gt;aoc_02_input[[#This Row],[Pos2Valid]],1,0)</f>
        <v>0</v>
      </c>
    </row>
    <row r="751" spans="1:14" x14ac:dyDescent="0.45">
      <c r="A751" s="1" t="s">
        <v>424</v>
      </c>
      <c r="B751" s="1" t="s">
        <v>254</v>
      </c>
      <c r="C751" s="1" t="s">
        <v>1113</v>
      </c>
      <c r="D751" s="1">
        <f>FIND("-",aoc_02_input[[#This Row],[InputNumbers]])</f>
        <v>2</v>
      </c>
      <c r="E751" s="1">
        <f>_xlfn.NUMBERVALUE(LEFT(aoc_02_input[[#This Row],[InputNumbers]],aoc_02_input[[#This Row],[PosDash]]-1))</f>
        <v>3</v>
      </c>
      <c r="F751" s="1">
        <f>_xlfn.NUMBERVALUE(MID(aoc_02_input[[#This Row],[InputNumbers]],aoc_02_input[[#This Row],[PosDash]]+1,5))</f>
        <v>9</v>
      </c>
      <c r="G751" s="1" t="str">
        <f>LEFT(aoc_02_input[[#This Row],[InputChar]],1)</f>
        <v>k</v>
      </c>
      <c r="H751" s="1" cm="1">
        <f t="array" ref="H751">CountChar(aoc_02_input[[#This Row],[Password]],aoc_02_input[[#This Row],[Char]])</f>
        <v>2</v>
      </c>
      <c r="I751" s="1">
        <f>IF(AND(aoc_02_input[[#This Row],[Int1]]&lt;=aoc_02_input[[#This Row],[CountOfChar]],aoc_02_input[[#This Row],[CountOfChar]]&lt;=aoc_02_input[[#This Row],[Int2]]),1,0)</f>
        <v>0</v>
      </c>
      <c r="J751" s="1" t="str">
        <f>MID(aoc_02_input[[#This Row],[Password]],aoc_02_input[[#This Row],[Int1]],1)</f>
        <v>p</v>
      </c>
      <c r="K751" s="1">
        <f>IF(aoc_02_input[[#This Row],[Pos1]]=aoc_02_input[[#This Row],[Char]],1,0)</f>
        <v>0</v>
      </c>
      <c r="L751" s="1" t="str">
        <f>MID(aoc_02_input[[#This Row],[Password]],aoc_02_input[[#This Row],[Int2]],1)</f>
        <v>k</v>
      </c>
      <c r="M751" s="1">
        <f>IF(aoc_02_input[[#This Row],[Pos2]]=aoc_02_input[[#This Row],[Char]],1,0)</f>
        <v>1</v>
      </c>
      <c r="N751" s="1">
        <f>IF(aoc_02_input[[#This Row],[Pos1Valid]]&lt;&gt;aoc_02_input[[#This Row],[Pos2Valid]],1,0)</f>
        <v>1</v>
      </c>
    </row>
    <row r="752" spans="1:14" x14ac:dyDescent="0.45">
      <c r="A752" s="1" t="s">
        <v>271</v>
      </c>
      <c r="B752" s="1" t="s">
        <v>238</v>
      </c>
      <c r="C752" s="1" t="s">
        <v>1114</v>
      </c>
      <c r="D752" s="1">
        <f>FIND("-",aoc_02_input[[#This Row],[InputNumbers]])</f>
        <v>2</v>
      </c>
      <c r="E752" s="1">
        <f>_xlfn.NUMBERVALUE(LEFT(aoc_02_input[[#This Row],[InputNumbers]],aoc_02_input[[#This Row],[PosDash]]-1))</f>
        <v>9</v>
      </c>
      <c r="F752" s="1">
        <f>_xlfn.NUMBERVALUE(MID(aoc_02_input[[#This Row],[InputNumbers]],aoc_02_input[[#This Row],[PosDash]]+1,5))</f>
        <v>10</v>
      </c>
      <c r="G752" s="1" t="str">
        <f>LEFT(aoc_02_input[[#This Row],[InputChar]],1)</f>
        <v>w</v>
      </c>
      <c r="H752" s="1" cm="1">
        <f t="array" ref="H752">CountChar(aoc_02_input[[#This Row],[Password]],aoc_02_input[[#This Row],[Char]])</f>
        <v>8</v>
      </c>
      <c r="I752" s="1">
        <f>IF(AND(aoc_02_input[[#This Row],[Int1]]&lt;=aoc_02_input[[#This Row],[CountOfChar]],aoc_02_input[[#This Row],[CountOfChar]]&lt;=aoc_02_input[[#This Row],[Int2]]),1,0)</f>
        <v>0</v>
      </c>
      <c r="J752" s="1" t="str">
        <f>MID(aoc_02_input[[#This Row],[Password]],aoc_02_input[[#This Row],[Int1]],1)</f>
        <v>n</v>
      </c>
      <c r="K752" s="1">
        <f>IF(aoc_02_input[[#This Row],[Pos1]]=aoc_02_input[[#This Row],[Char]],1,0)</f>
        <v>0</v>
      </c>
      <c r="L752" s="1" t="str">
        <f>MID(aoc_02_input[[#This Row],[Password]],aoc_02_input[[#This Row],[Int2]],1)</f>
        <v>w</v>
      </c>
      <c r="M752" s="1">
        <f>IF(aoc_02_input[[#This Row],[Pos2]]=aoc_02_input[[#This Row],[Char]],1,0)</f>
        <v>1</v>
      </c>
      <c r="N752" s="1">
        <f>IF(aoc_02_input[[#This Row],[Pos1Valid]]&lt;&gt;aoc_02_input[[#This Row],[Pos2Valid]],1,0)</f>
        <v>1</v>
      </c>
    </row>
    <row r="753" spans="1:14" x14ac:dyDescent="0.45">
      <c r="A753" s="1" t="s">
        <v>299</v>
      </c>
      <c r="B753" s="1" t="s">
        <v>225</v>
      </c>
      <c r="C753" s="1" t="s">
        <v>1115</v>
      </c>
      <c r="D753" s="1">
        <f>FIND("-",aoc_02_input[[#This Row],[InputNumbers]])</f>
        <v>2</v>
      </c>
      <c r="E753" s="1">
        <f>_xlfn.NUMBERVALUE(LEFT(aoc_02_input[[#This Row],[InputNumbers]],aoc_02_input[[#This Row],[PosDash]]-1))</f>
        <v>1</v>
      </c>
      <c r="F753" s="1">
        <f>_xlfn.NUMBERVALUE(MID(aoc_02_input[[#This Row],[InputNumbers]],aoc_02_input[[#This Row],[PosDash]]+1,5))</f>
        <v>2</v>
      </c>
      <c r="G753" s="1" t="str">
        <f>LEFT(aoc_02_input[[#This Row],[InputChar]],1)</f>
        <v>j</v>
      </c>
      <c r="H753" s="1" cm="1">
        <f t="array" ref="H753">CountChar(aoc_02_input[[#This Row],[Password]],aoc_02_input[[#This Row],[Char]])</f>
        <v>1</v>
      </c>
      <c r="I753" s="1">
        <f>IF(AND(aoc_02_input[[#This Row],[Int1]]&lt;=aoc_02_input[[#This Row],[CountOfChar]],aoc_02_input[[#This Row],[CountOfChar]]&lt;=aoc_02_input[[#This Row],[Int2]]),1,0)</f>
        <v>1</v>
      </c>
      <c r="J753" s="1" t="str">
        <f>MID(aoc_02_input[[#This Row],[Password]],aoc_02_input[[#This Row],[Int1]],1)</f>
        <v>f</v>
      </c>
      <c r="K753" s="1">
        <f>IF(aoc_02_input[[#This Row],[Pos1]]=aoc_02_input[[#This Row],[Char]],1,0)</f>
        <v>0</v>
      </c>
      <c r="L753" s="1" t="str">
        <f>MID(aoc_02_input[[#This Row],[Password]],aoc_02_input[[#This Row],[Int2]],1)</f>
        <v>f</v>
      </c>
      <c r="M753" s="1">
        <f>IF(aoc_02_input[[#This Row],[Pos2]]=aoc_02_input[[#This Row],[Char]],1,0)</f>
        <v>0</v>
      </c>
      <c r="N753" s="1">
        <f>IF(aoc_02_input[[#This Row],[Pos1Valid]]&lt;&gt;aoc_02_input[[#This Row],[Pos2Valid]],1,0)</f>
        <v>0</v>
      </c>
    </row>
    <row r="754" spans="1:14" x14ac:dyDescent="0.45">
      <c r="A754" s="1" t="s">
        <v>283</v>
      </c>
      <c r="B754" s="1" t="s">
        <v>249</v>
      </c>
      <c r="C754" s="1" t="s">
        <v>1116</v>
      </c>
      <c r="D754" s="1">
        <f>FIND("-",aoc_02_input[[#This Row],[InputNumbers]])</f>
        <v>2</v>
      </c>
      <c r="E754" s="1">
        <f>_xlfn.NUMBERVALUE(LEFT(aoc_02_input[[#This Row],[InputNumbers]],aoc_02_input[[#This Row],[PosDash]]-1))</f>
        <v>3</v>
      </c>
      <c r="F754" s="1">
        <f>_xlfn.NUMBERVALUE(MID(aoc_02_input[[#This Row],[InputNumbers]],aoc_02_input[[#This Row],[PosDash]]+1,5))</f>
        <v>4</v>
      </c>
      <c r="G754" s="1" t="str">
        <f>LEFT(aoc_02_input[[#This Row],[InputChar]],1)</f>
        <v>q</v>
      </c>
      <c r="H754" s="1" cm="1">
        <f t="array" ref="H754">CountChar(aoc_02_input[[#This Row],[Password]],aoc_02_input[[#This Row],[Char]])</f>
        <v>0</v>
      </c>
      <c r="I754" s="1">
        <f>IF(AND(aoc_02_input[[#This Row],[Int1]]&lt;=aoc_02_input[[#This Row],[CountOfChar]],aoc_02_input[[#This Row],[CountOfChar]]&lt;=aoc_02_input[[#This Row],[Int2]]),1,0)</f>
        <v>0</v>
      </c>
      <c r="J754" s="1" t="str">
        <f>MID(aoc_02_input[[#This Row],[Password]],aoc_02_input[[#This Row],[Int1]],1)</f>
        <v>m</v>
      </c>
      <c r="K754" s="1">
        <f>IF(aoc_02_input[[#This Row],[Pos1]]=aoc_02_input[[#This Row],[Char]],1,0)</f>
        <v>0</v>
      </c>
      <c r="L754" s="1" t="str">
        <f>MID(aoc_02_input[[#This Row],[Password]],aoc_02_input[[#This Row],[Int2]],1)</f>
        <v>d</v>
      </c>
      <c r="M754" s="1">
        <f>IF(aoc_02_input[[#This Row],[Pos2]]=aoc_02_input[[#This Row],[Char]],1,0)</f>
        <v>0</v>
      </c>
      <c r="N754" s="1">
        <f>IF(aoc_02_input[[#This Row],[Pos1Valid]]&lt;&gt;aoc_02_input[[#This Row],[Pos2Valid]],1,0)</f>
        <v>0</v>
      </c>
    </row>
    <row r="755" spans="1:14" x14ac:dyDescent="0.45">
      <c r="A755" s="1" t="s">
        <v>311</v>
      </c>
      <c r="B755" s="1" t="s">
        <v>252</v>
      </c>
      <c r="C755" s="1" t="s">
        <v>1117</v>
      </c>
      <c r="D755" s="1">
        <f>FIND("-",aoc_02_input[[#This Row],[InputNumbers]])</f>
        <v>2</v>
      </c>
      <c r="E755" s="1">
        <f>_xlfn.NUMBERVALUE(LEFT(aoc_02_input[[#This Row],[InputNumbers]],aoc_02_input[[#This Row],[PosDash]]-1))</f>
        <v>3</v>
      </c>
      <c r="F755" s="1">
        <f>_xlfn.NUMBERVALUE(MID(aoc_02_input[[#This Row],[InputNumbers]],aoc_02_input[[#This Row],[PosDash]]+1,5))</f>
        <v>6</v>
      </c>
      <c r="G755" s="1" t="str">
        <f>LEFT(aoc_02_input[[#This Row],[InputChar]],1)</f>
        <v>p</v>
      </c>
      <c r="H755" s="1" cm="1">
        <f t="array" ref="H755">CountChar(aoc_02_input[[#This Row],[Password]],aoc_02_input[[#This Row],[Char]])</f>
        <v>4</v>
      </c>
      <c r="I755" s="1">
        <f>IF(AND(aoc_02_input[[#This Row],[Int1]]&lt;=aoc_02_input[[#This Row],[CountOfChar]],aoc_02_input[[#This Row],[CountOfChar]]&lt;=aoc_02_input[[#This Row],[Int2]]),1,0)</f>
        <v>1</v>
      </c>
      <c r="J755" s="1" t="str">
        <f>MID(aoc_02_input[[#This Row],[Password]],aoc_02_input[[#This Row],[Int1]],1)</f>
        <v>g</v>
      </c>
      <c r="K755" s="1">
        <f>IF(aoc_02_input[[#This Row],[Pos1]]=aoc_02_input[[#This Row],[Char]],1,0)</f>
        <v>0</v>
      </c>
      <c r="L755" s="1" t="str">
        <f>MID(aoc_02_input[[#This Row],[Password]],aoc_02_input[[#This Row],[Int2]],1)</f>
        <v>s</v>
      </c>
      <c r="M755" s="1">
        <f>IF(aoc_02_input[[#This Row],[Pos2]]=aoc_02_input[[#This Row],[Char]],1,0)</f>
        <v>0</v>
      </c>
      <c r="N755" s="1">
        <f>IF(aoc_02_input[[#This Row],[Pos1Valid]]&lt;&gt;aoc_02_input[[#This Row],[Pos2Valid]],1,0)</f>
        <v>0</v>
      </c>
    </row>
    <row r="756" spans="1:14" x14ac:dyDescent="0.45">
      <c r="A756" s="1" t="s">
        <v>441</v>
      </c>
      <c r="B756" s="1" t="s">
        <v>295</v>
      </c>
      <c r="C756" s="1" t="s">
        <v>1118</v>
      </c>
      <c r="D756" s="1">
        <f>FIND("-",aoc_02_input[[#This Row],[InputNumbers]])</f>
        <v>3</v>
      </c>
      <c r="E756" s="1">
        <f>_xlfn.NUMBERVALUE(LEFT(aoc_02_input[[#This Row],[InputNumbers]],aoc_02_input[[#This Row],[PosDash]]-1))</f>
        <v>11</v>
      </c>
      <c r="F756" s="1">
        <f>_xlfn.NUMBERVALUE(MID(aoc_02_input[[#This Row],[InputNumbers]],aoc_02_input[[#This Row],[PosDash]]+1,5))</f>
        <v>13</v>
      </c>
      <c r="G756" s="1" t="str">
        <f>LEFT(aoc_02_input[[#This Row],[InputChar]],1)</f>
        <v>c</v>
      </c>
      <c r="H756" s="1" cm="1">
        <f t="array" ref="H756">CountChar(aoc_02_input[[#This Row],[Password]],aoc_02_input[[#This Row],[Char]])</f>
        <v>4</v>
      </c>
      <c r="I756" s="1">
        <f>IF(AND(aoc_02_input[[#This Row],[Int1]]&lt;=aoc_02_input[[#This Row],[CountOfChar]],aoc_02_input[[#This Row],[CountOfChar]]&lt;=aoc_02_input[[#This Row],[Int2]]),1,0)</f>
        <v>0</v>
      </c>
      <c r="J756" s="1" t="str">
        <f>MID(aoc_02_input[[#This Row],[Password]],aoc_02_input[[#This Row],[Int1]],1)</f>
        <v>c</v>
      </c>
      <c r="K756" s="1">
        <f>IF(aoc_02_input[[#This Row],[Pos1]]=aoc_02_input[[#This Row],[Char]],1,0)</f>
        <v>1</v>
      </c>
      <c r="L756" s="1" t="str">
        <f>MID(aoc_02_input[[#This Row],[Password]],aoc_02_input[[#This Row],[Int2]],1)</f>
        <v>t</v>
      </c>
      <c r="M756" s="1">
        <f>IF(aoc_02_input[[#This Row],[Pos2]]=aoc_02_input[[#This Row],[Char]],1,0)</f>
        <v>0</v>
      </c>
      <c r="N756" s="1">
        <f>IF(aoc_02_input[[#This Row],[Pos1Valid]]&lt;&gt;aoc_02_input[[#This Row],[Pos2Valid]],1,0)</f>
        <v>1</v>
      </c>
    </row>
    <row r="757" spans="1:14" x14ac:dyDescent="0.45">
      <c r="A757" s="1" t="s">
        <v>473</v>
      </c>
      <c r="B757" s="1" t="s">
        <v>265</v>
      </c>
      <c r="C757" s="1" t="s">
        <v>1119</v>
      </c>
      <c r="D757" s="1">
        <f>FIND("-",aoc_02_input[[#This Row],[InputNumbers]])</f>
        <v>2</v>
      </c>
      <c r="E757" s="1">
        <f>_xlfn.NUMBERVALUE(LEFT(aoc_02_input[[#This Row],[InputNumbers]],aoc_02_input[[#This Row],[PosDash]]-1))</f>
        <v>2</v>
      </c>
      <c r="F757" s="1">
        <f>_xlfn.NUMBERVALUE(MID(aoc_02_input[[#This Row],[InputNumbers]],aoc_02_input[[#This Row],[PosDash]]+1,5))</f>
        <v>6</v>
      </c>
      <c r="G757" s="1" t="str">
        <f>LEFT(aoc_02_input[[#This Row],[InputChar]],1)</f>
        <v>r</v>
      </c>
      <c r="H757" s="1" cm="1">
        <f t="array" ref="H757">CountChar(aoc_02_input[[#This Row],[Password]],aoc_02_input[[#This Row],[Char]])</f>
        <v>7</v>
      </c>
      <c r="I757" s="1">
        <f>IF(AND(aoc_02_input[[#This Row],[Int1]]&lt;=aoc_02_input[[#This Row],[CountOfChar]],aoc_02_input[[#This Row],[CountOfChar]]&lt;=aoc_02_input[[#This Row],[Int2]]),1,0)</f>
        <v>0</v>
      </c>
      <c r="J757" s="1" t="str">
        <f>MID(aoc_02_input[[#This Row],[Password]],aoc_02_input[[#This Row],[Int1]],1)</f>
        <v>r</v>
      </c>
      <c r="K757" s="1">
        <f>IF(aoc_02_input[[#This Row],[Pos1]]=aoc_02_input[[#This Row],[Char]],1,0)</f>
        <v>1</v>
      </c>
      <c r="L757" s="1" t="str">
        <f>MID(aoc_02_input[[#This Row],[Password]],aoc_02_input[[#This Row],[Int2]],1)</f>
        <v>p</v>
      </c>
      <c r="M757" s="1">
        <f>IF(aoc_02_input[[#This Row],[Pos2]]=aoc_02_input[[#This Row],[Char]],1,0)</f>
        <v>0</v>
      </c>
      <c r="N757" s="1">
        <f>IF(aoc_02_input[[#This Row],[Pos1Valid]]&lt;&gt;aoc_02_input[[#This Row],[Pos2Valid]],1,0)</f>
        <v>1</v>
      </c>
    </row>
    <row r="758" spans="1:14" x14ac:dyDescent="0.45">
      <c r="A758" s="1" t="s">
        <v>570</v>
      </c>
      <c r="B758" s="1" t="s">
        <v>228</v>
      </c>
      <c r="C758" s="1" t="s">
        <v>1120</v>
      </c>
      <c r="D758" s="1">
        <f>FIND("-",aoc_02_input[[#This Row],[InputNumbers]])</f>
        <v>2</v>
      </c>
      <c r="E758" s="1">
        <f>_xlfn.NUMBERVALUE(LEFT(aoc_02_input[[#This Row],[InputNumbers]],aoc_02_input[[#This Row],[PosDash]]-1))</f>
        <v>1</v>
      </c>
      <c r="F758" s="1">
        <f>_xlfn.NUMBERVALUE(MID(aoc_02_input[[#This Row],[InputNumbers]],aoc_02_input[[#This Row],[PosDash]]+1,5))</f>
        <v>15</v>
      </c>
      <c r="G758" s="1" t="str">
        <f>LEFT(aoc_02_input[[#This Row],[InputChar]],1)</f>
        <v>t</v>
      </c>
      <c r="H758" s="1" cm="1">
        <f t="array" ref="H758">CountChar(aoc_02_input[[#This Row],[Password]],aoc_02_input[[#This Row],[Char]])</f>
        <v>16</v>
      </c>
      <c r="I758" s="1">
        <f>IF(AND(aoc_02_input[[#This Row],[Int1]]&lt;=aoc_02_input[[#This Row],[CountOfChar]],aoc_02_input[[#This Row],[CountOfChar]]&lt;=aoc_02_input[[#This Row],[Int2]]),1,0)</f>
        <v>0</v>
      </c>
      <c r="J758" s="1" t="str">
        <f>MID(aoc_02_input[[#This Row],[Password]],aoc_02_input[[#This Row],[Int1]],1)</f>
        <v>t</v>
      </c>
      <c r="K758" s="1">
        <f>IF(aoc_02_input[[#This Row],[Pos1]]=aoc_02_input[[#This Row],[Char]],1,0)</f>
        <v>1</v>
      </c>
      <c r="L758" s="1" t="str">
        <f>MID(aoc_02_input[[#This Row],[Password]],aoc_02_input[[#This Row],[Int2]],1)</f>
        <v>t</v>
      </c>
      <c r="M758" s="1">
        <f>IF(aoc_02_input[[#This Row],[Pos2]]=aoc_02_input[[#This Row],[Char]],1,0)</f>
        <v>1</v>
      </c>
      <c r="N758" s="1">
        <f>IF(aoc_02_input[[#This Row],[Pos1Valid]]&lt;&gt;aoc_02_input[[#This Row],[Pos2Valid]],1,0)</f>
        <v>0</v>
      </c>
    </row>
    <row r="759" spans="1:14" x14ac:dyDescent="0.45">
      <c r="A759" s="1" t="s">
        <v>294</v>
      </c>
      <c r="B759" s="1" t="s">
        <v>219</v>
      </c>
      <c r="C759" s="1" t="s">
        <v>1121</v>
      </c>
      <c r="D759" s="1">
        <f>FIND("-",aoc_02_input[[#This Row],[InputNumbers]])</f>
        <v>2</v>
      </c>
      <c r="E759" s="1">
        <f>_xlfn.NUMBERVALUE(LEFT(aoc_02_input[[#This Row],[InputNumbers]],aoc_02_input[[#This Row],[PosDash]]-1))</f>
        <v>7</v>
      </c>
      <c r="F759" s="1">
        <f>_xlfn.NUMBERVALUE(MID(aoc_02_input[[#This Row],[InputNumbers]],aoc_02_input[[#This Row],[PosDash]]+1,5))</f>
        <v>11</v>
      </c>
      <c r="G759" s="1" t="str">
        <f>LEFT(aoc_02_input[[#This Row],[InputChar]],1)</f>
        <v>g</v>
      </c>
      <c r="H759" s="1" cm="1">
        <f t="array" ref="H759">CountChar(aoc_02_input[[#This Row],[Password]],aoc_02_input[[#This Row],[Char]])</f>
        <v>1</v>
      </c>
      <c r="I759" s="1">
        <f>IF(AND(aoc_02_input[[#This Row],[Int1]]&lt;=aoc_02_input[[#This Row],[CountOfChar]],aoc_02_input[[#This Row],[CountOfChar]]&lt;=aoc_02_input[[#This Row],[Int2]]),1,0)</f>
        <v>0</v>
      </c>
      <c r="J759" s="1" t="str">
        <f>MID(aoc_02_input[[#This Row],[Password]],aoc_02_input[[#This Row],[Int1]],1)</f>
        <v>w</v>
      </c>
      <c r="K759" s="1">
        <f>IF(aoc_02_input[[#This Row],[Pos1]]=aoc_02_input[[#This Row],[Char]],1,0)</f>
        <v>0</v>
      </c>
      <c r="L759" s="1" t="str">
        <f>MID(aoc_02_input[[#This Row],[Password]],aoc_02_input[[#This Row],[Int2]],1)</f>
        <v>g</v>
      </c>
      <c r="M759" s="1">
        <f>IF(aoc_02_input[[#This Row],[Pos2]]=aoc_02_input[[#This Row],[Char]],1,0)</f>
        <v>1</v>
      </c>
      <c r="N759" s="1">
        <f>IF(aoc_02_input[[#This Row],[Pos1Valid]]&lt;&gt;aoc_02_input[[#This Row],[Pos2Valid]],1,0)</f>
        <v>1</v>
      </c>
    </row>
    <row r="760" spans="1:14" x14ac:dyDescent="0.45">
      <c r="A760" s="1" t="s">
        <v>227</v>
      </c>
      <c r="B760" s="1" t="s">
        <v>225</v>
      </c>
      <c r="C760" s="1" t="s">
        <v>1122</v>
      </c>
      <c r="D760" s="1">
        <f>FIND("-",aoc_02_input[[#This Row],[InputNumbers]])</f>
        <v>2</v>
      </c>
      <c r="E760" s="1">
        <f>_xlfn.NUMBERVALUE(LEFT(aoc_02_input[[#This Row],[InputNumbers]],aoc_02_input[[#This Row],[PosDash]]-1))</f>
        <v>4</v>
      </c>
      <c r="F760" s="1">
        <f>_xlfn.NUMBERVALUE(MID(aoc_02_input[[#This Row],[InputNumbers]],aoc_02_input[[#This Row],[PosDash]]+1,5))</f>
        <v>5</v>
      </c>
      <c r="G760" s="1" t="str">
        <f>LEFT(aoc_02_input[[#This Row],[InputChar]],1)</f>
        <v>j</v>
      </c>
      <c r="H760" s="1" cm="1">
        <f t="array" ref="H760">CountChar(aoc_02_input[[#This Row],[Password]],aoc_02_input[[#This Row],[Char]])</f>
        <v>4</v>
      </c>
      <c r="I760" s="1">
        <f>IF(AND(aoc_02_input[[#This Row],[Int1]]&lt;=aoc_02_input[[#This Row],[CountOfChar]],aoc_02_input[[#This Row],[CountOfChar]]&lt;=aoc_02_input[[#This Row],[Int2]]),1,0)</f>
        <v>1</v>
      </c>
      <c r="J760" s="1" t="str">
        <f>MID(aoc_02_input[[#This Row],[Password]],aoc_02_input[[#This Row],[Int1]],1)</f>
        <v>j</v>
      </c>
      <c r="K760" s="1">
        <f>IF(aoc_02_input[[#This Row],[Pos1]]=aoc_02_input[[#This Row],[Char]],1,0)</f>
        <v>1</v>
      </c>
      <c r="L760" s="1" t="str">
        <f>MID(aoc_02_input[[#This Row],[Password]],aoc_02_input[[#This Row],[Int2]],1)</f>
        <v>l</v>
      </c>
      <c r="M760" s="1">
        <f>IF(aoc_02_input[[#This Row],[Pos2]]=aoc_02_input[[#This Row],[Char]],1,0)</f>
        <v>0</v>
      </c>
      <c r="N760" s="1">
        <f>IF(aoc_02_input[[#This Row],[Pos1Valid]]&lt;&gt;aoc_02_input[[#This Row],[Pos2Valid]],1,0)</f>
        <v>1</v>
      </c>
    </row>
    <row r="761" spans="1:14" x14ac:dyDescent="0.45">
      <c r="A761" s="1" t="s">
        <v>443</v>
      </c>
      <c r="B761" s="1" t="s">
        <v>207</v>
      </c>
      <c r="C761" s="1" t="s">
        <v>1123</v>
      </c>
      <c r="D761" s="1">
        <f>FIND("-",aoc_02_input[[#This Row],[InputNumbers]])</f>
        <v>3</v>
      </c>
      <c r="E761" s="1">
        <f>_xlfn.NUMBERVALUE(LEFT(aoc_02_input[[#This Row],[InputNumbers]],aoc_02_input[[#This Row],[PosDash]]-1))</f>
        <v>10</v>
      </c>
      <c r="F761" s="1">
        <f>_xlfn.NUMBERVALUE(MID(aoc_02_input[[#This Row],[InputNumbers]],aoc_02_input[[#This Row],[PosDash]]+1,5))</f>
        <v>16</v>
      </c>
      <c r="G761" s="1" t="str">
        <f>LEFT(aoc_02_input[[#This Row],[InputChar]],1)</f>
        <v>b</v>
      </c>
      <c r="H761" s="1" cm="1">
        <f t="array" ref="H761">CountChar(aoc_02_input[[#This Row],[Password]],aoc_02_input[[#This Row],[Char]])</f>
        <v>6</v>
      </c>
      <c r="I761" s="1">
        <f>IF(AND(aoc_02_input[[#This Row],[Int1]]&lt;=aoc_02_input[[#This Row],[CountOfChar]],aoc_02_input[[#This Row],[CountOfChar]]&lt;=aoc_02_input[[#This Row],[Int2]]),1,0)</f>
        <v>0</v>
      </c>
      <c r="J761" s="1" t="str">
        <f>MID(aoc_02_input[[#This Row],[Password]],aoc_02_input[[#This Row],[Int1]],1)</f>
        <v>r</v>
      </c>
      <c r="K761" s="1">
        <f>IF(aoc_02_input[[#This Row],[Pos1]]=aoc_02_input[[#This Row],[Char]],1,0)</f>
        <v>0</v>
      </c>
      <c r="L761" s="1" t="str">
        <f>MID(aoc_02_input[[#This Row],[Password]],aoc_02_input[[#This Row],[Int2]],1)</f>
        <v>h</v>
      </c>
      <c r="M761" s="1">
        <f>IF(aoc_02_input[[#This Row],[Pos2]]=aoc_02_input[[#This Row],[Char]],1,0)</f>
        <v>0</v>
      </c>
      <c r="N761" s="1">
        <f>IF(aoc_02_input[[#This Row],[Pos1Valid]]&lt;&gt;aoc_02_input[[#This Row],[Pos2Valid]],1,0)</f>
        <v>0</v>
      </c>
    </row>
    <row r="762" spans="1:14" x14ac:dyDescent="0.45">
      <c r="A762" s="1" t="s">
        <v>275</v>
      </c>
      <c r="B762" s="1" t="s">
        <v>219</v>
      </c>
      <c r="C762" s="1" t="s">
        <v>1124</v>
      </c>
      <c r="D762" s="1">
        <f>FIND("-",aoc_02_input[[#This Row],[InputNumbers]])</f>
        <v>3</v>
      </c>
      <c r="E762" s="1">
        <f>_xlfn.NUMBERVALUE(LEFT(aoc_02_input[[#This Row],[InputNumbers]],aoc_02_input[[#This Row],[PosDash]]-1))</f>
        <v>10</v>
      </c>
      <c r="F762" s="1">
        <f>_xlfn.NUMBERVALUE(MID(aoc_02_input[[#This Row],[InputNumbers]],aoc_02_input[[#This Row],[PosDash]]+1,5))</f>
        <v>19</v>
      </c>
      <c r="G762" s="1" t="str">
        <f>LEFT(aoc_02_input[[#This Row],[InputChar]],1)</f>
        <v>g</v>
      </c>
      <c r="H762" s="1" cm="1">
        <f t="array" ref="H762">CountChar(aoc_02_input[[#This Row],[Password]],aoc_02_input[[#This Row],[Char]])</f>
        <v>16</v>
      </c>
      <c r="I762" s="1">
        <f>IF(AND(aoc_02_input[[#This Row],[Int1]]&lt;=aoc_02_input[[#This Row],[CountOfChar]],aoc_02_input[[#This Row],[CountOfChar]]&lt;=aoc_02_input[[#This Row],[Int2]]),1,0)</f>
        <v>1</v>
      </c>
      <c r="J762" s="1" t="str">
        <f>MID(aoc_02_input[[#This Row],[Password]],aoc_02_input[[#This Row],[Int1]],1)</f>
        <v>g</v>
      </c>
      <c r="K762" s="1">
        <f>IF(aoc_02_input[[#This Row],[Pos1]]=aoc_02_input[[#This Row],[Char]],1,0)</f>
        <v>1</v>
      </c>
      <c r="L762" s="1" t="str">
        <f>MID(aoc_02_input[[#This Row],[Password]],aoc_02_input[[#This Row],[Int2]],1)</f>
        <v>k</v>
      </c>
      <c r="M762" s="1">
        <f>IF(aoc_02_input[[#This Row],[Pos2]]=aoc_02_input[[#This Row],[Char]],1,0)</f>
        <v>0</v>
      </c>
      <c r="N762" s="1">
        <f>IF(aoc_02_input[[#This Row],[Pos1Valid]]&lt;&gt;aoc_02_input[[#This Row],[Pos2Valid]],1,0)</f>
        <v>1</v>
      </c>
    </row>
    <row r="763" spans="1:14" x14ac:dyDescent="0.45">
      <c r="A763" s="1" t="s">
        <v>232</v>
      </c>
      <c r="B763" s="1" t="s">
        <v>238</v>
      </c>
      <c r="C763" s="1" t="s">
        <v>1125</v>
      </c>
      <c r="D763" s="1">
        <f>FIND("-",aoc_02_input[[#This Row],[InputNumbers]])</f>
        <v>2</v>
      </c>
      <c r="E763" s="1">
        <f>_xlfn.NUMBERVALUE(LEFT(aoc_02_input[[#This Row],[InputNumbers]],aoc_02_input[[#This Row],[PosDash]]-1))</f>
        <v>4</v>
      </c>
      <c r="F763" s="1">
        <f>_xlfn.NUMBERVALUE(MID(aoc_02_input[[#This Row],[InputNumbers]],aoc_02_input[[#This Row],[PosDash]]+1,5))</f>
        <v>6</v>
      </c>
      <c r="G763" s="1" t="str">
        <f>LEFT(aoc_02_input[[#This Row],[InputChar]],1)</f>
        <v>w</v>
      </c>
      <c r="H763" s="1" cm="1">
        <f t="array" ref="H763">CountChar(aoc_02_input[[#This Row],[Password]],aoc_02_input[[#This Row],[Char]])</f>
        <v>9</v>
      </c>
      <c r="I763" s="1">
        <f>IF(AND(aoc_02_input[[#This Row],[Int1]]&lt;=aoc_02_input[[#This Row],[CountOfChar]],aoc_02_input[[#This Row],[CountOfChar]]&lt;=aoc_02_input[[#This Row],[Int2]]),1,0)</f>
        <v>0</v>
      </c>
      <c r="J763" s="1" t="str">
        <f>MID(aoc_02_input[[#This Row],[Password]],aoc_02_input[[#This Row],[Int1]],1)</f>
        <v>w</v>
      </c>
      <c r="K763" s="1">
        <f>IF(aoc_02_input[[#This Row],[Pos1]]=aoc_02_input[[#This Row],[Char]],1,0)</f>
        <v>1</v>
      </c>
      <c r="L763" s="1" t="str">
        <f>MID(aoc_02_input[[#This Row],[Password]],aoc_02_input[[#This Row],[Int2]],1)</f>
        <v>w</v>
      </c>
      <c r="M763" s="1">
        <f>IF(aoc_02_input[[#This Row],[Pos2]]=aoc_02_input[[#This Row],[Char]],1,0)</f>
        <v>1</v>
      </c>
      <c r="N763" s="1">
        <f>IF(aoc_02_input[[#This Row],[Pos1Valid]]&lt;&gt;aoc_02_input[[#This Row],[Pos2Valid]],1,0)</f>
        <v>0</v>
      </c>
    </row>
    <row r="764" spans="1:14" x14ac:dyDescent="0.45">
      <c r="A764" s="1" t="s">
        <v>468</v>
      </c>
      <c r="B764" s="1" t="s">
        <v>254</v>
      </c>
      <c r="C764" s="1" t="s">
        <v>1126</v>
      </c>
      <c r="D764" s="1">
        <f>FIND("-",aoc_02_input[[#This Row],[InputNumbers]])</f>
        <v>3</v>
      </c>
      <c r="E764" s="1">
        <f>_xlfn.NUMBERVALUE(LEFT(aoc_02_input[[#This Row],[InputNumbers]],aoc_02_input[[#This Row],[PosDash]]-1))</f>
        <v>14</v>
      </c>
      <c r="F764" s="1">
        <f>_xlfn.NUMBERVALUE(MID(aoc_02_input[[#This Row],[InputNumbers]],aoc_02_input[[#This Row],[PosDash]]+1,5))</f>
        <v>16</v>
      </c>
      <c r="G764" s="1" t="str">
        <f>LEFT(aoc_02_input[[#This Row],[InputChar]],1)</f>
        <v>k</v>
      </c>
      <c r="H764" s="1" cm="1">
        <f t="array" ref="H764">CountChar(aoc_02_input[[#This Row],[Password]],aoc_02_input[[#This Row],[Char]])</f>
        <v>9</v>
      </c>
      <c r="I764" s="1">
        <f>IF(AND(aoc_02_input[[#This Row],[Int1]]&lt;=aoc_02_input[[#This Row],[CountOfChar]],aoc_02_input[[#This Row],[CountOfChar]]&lt;=aoc_02_input[[#This Row],[Int2]]),1,0)</f>
        <v>0</v>
      </c>
      <c r="J764" s="1" t="str">
        <f>MID(aoc_02_input[[#This Row],[Password]],aoc_02_input[[#This Row],[Int1]],1)</f>
        <v>k</v>
      </c>
      <c r="K764" s="1">
        <f>IF(aoc_02_input[[#This Row],[Pos1]]=aoc_02_input[[#This Row],[Char]],1,0)</f>
        <v>1</v>
      </c>
      <c r="L764" s="1" t="str">
        <f>MID(aoc_02_input[[#This Row],[Password]],aoc_02_input[[#This Row],[Int2]],1)</f>
        <v>d</v>
      </c>
      <c r="M764" s="1">
        <f>IF(aoc_02_input[[#This Row],[Pos2]]=aoc_02_input[[#This Row],[Char]],1,0)</f>
        <v>0</v>
      </c>
      <c r="N764" s="1">
        <f>IF(aoc_02_input[[#This Row],[Pos1Valid]]&lt;&gt;aoc_02_input[[#This Row],[Pos2Valid]],1,0)</f>
        <v>1</v>
      </c>
    </row>
    <row r="765" spans="1:14" x14ac:dyDescent="0.45">
      <c r="A765" s="1" t="s">
        <v>234</v>
      </c>
      <c r="B765" s="1" t="s">
        <v>238</v>
      </c>
      <c r="C765" s="1" t="s">
        <v>1127</v>
      </c>
      <c r="D765" s="1">
        <f>FIND("-",aoc_02_input[[#This Row],[InputNumbers]])</f>
        <v>2</v>
      </c>
      <c r="E765" s="1">
        <f>_xlfn.NUMBERVALUE(LEFT(aoc_02_input[[#This Row],[InputNumbers]],aoc_02_input[[#This Row],[PosDash]]-1))</f>
        <v>7</v>
      </c>
      <c r="F765" s="1">
        <f>_xlfn.NUMBERVALUE(MID(aoc_02_input[[#This Row],[InputNumbers]],aoc_02_input[[#This Row],[PosDash]]+1,5))</f>
        <v>8</v>
      </c>
      <c r="G765" s="1" t="str">
        <f>LEFT(aoc_02_input[[#This Row],[InputChar]],1)</f>
        <v>w</v>
      </c>
      <c r="H765" s="1" cm="1">
        <f t="array" ref="H765">CountChar(aoc_02_input[[#This Row],[Password]],aoc_02_input[[#This Row],[Char]])</f>
        <v>4</v>
      </c>
      <c r="I765" s="1">
        <f>IF(AND(aoc_02_input[[#This Row],[Int1]]&lt;=aoc_02_input[[#This Row],[CountOfChar]],aoc_02_input[[#This Row],[CountOfChar]]&lt;=aoc_02_input[[#This Row],[Int2]]),1,0)</f>
        <v>0</v>
      </c>
      <c r="J765" s="1" t="str">
        <f>MID(aoc_02_input[[#This Row],[Password]],aoc_02_input[[#This Row],[Int1]],1)</f>
        <v>s</v>
      </c>
      <c r="K765" s="1">
        <f>IF(aoc_02_input[[#This Row],[Pos1]]=aoc_02_input[[#This Row],[Char]],1,0)</f>
        <v>0</v>
      </c>
      <c r="L765" s="1" t="str">
        <f>MID(aoc_02_input[[#This Row],[Password]],aoc_02_input[[#This Row],[Int2]],1)</f>
        <v>g</v>
      </c>
      <c r="M765" s="1">
        <f>IF(aoc_02_input[[#This Row],[Pos2]]=aoc_02_input[[#This Row],[Char]],1,0)</f>
        <v>0</v>
      </c>
      <c r="N765" s="1">
        <f>IF(aoc_02_input[[#This Row],[Pos1Valid]]&lt;&gt;aoc_02_input[[#This Row],[Pos2Valid]],1,0)</f>
        <v>0</v>
      </c>
    </row>
    <row r="766" spans="1:14" x14ac:dyDescent="0.45">
      <c r="A766" s="1" t="s">
        <v>392</v>
      </c>
      <c r="B766" s="1" t="s">
        <v>265</v>
      </c>
      <c r="C766" s="1" t="s">
        <v>1128</v>
      </c>
      <c r="D766" s="1">
        <f>FIND("-",aoc_02_input[[#This Row],[InputNumbers]])</f>
        <v>2</v>
      </c>
      <c r="E766" s="1">
        <f>_xlfn.NUMBERVALUE(LEFT(aoc_02_input[[#This Row],[InputNumbers]],aoc_02_input[[#This Row],[PosDash]]-1))</f>
        <v>8</v>
      </c>
      <c r="F766" s="1">
        <f>_xlfn.NUMBERVALUE(MID(aoc_02_input[[#This Row],[InputNumbers]],aoc_02_input[[#This Row],[PosDash]]+1,5))</f>
        <v>9</v>
      </c>
      <c r="G766" s="1" t="str">
        <f>LEFT(aoc_02_input[[#This Row],[InputChar]],1)</f>
        <v>r</v>
      </c>
      <c r="H766" s="1" cm="1">
        <f t="array" ref="H766">CountChar(aoc_02_input[[#This Row],[Password]],aoc_02_input[[#This Row],[Char]])</f>
        <v>3</v>
      </c>
      <c r="I766" s="1">
        <f>IF(AND(aoc_02_input[[#This Row],[Int1]]&lt;=aoc_02_input[[#This Row],[CountOfChar]],aoc_02_input[[#This Row],[CountOfChar]]&lt;=aoc_02_input[[#This Row],[Int2]]),1,0)</f>
        <v>0</v>
      </c>
      <c r="J766" s="1" t="str">
        <f>MID(aoc_02_input[[#This Row],[Password]],aoc_02_input[[#This Row],[Int1]],1)</f>
        <v>w</v>
      </c>
      <c r="K766" s="1">
        <f>IF(aoc_02_input[[#This Row],[Pos1]]=aoc_02_input[[#This Row],[Char]],1,0)</f>
        <v>0</v>
      </c>
      <c r="L766" s="1" t="str">
        <f>MID(aoc_02_input[[#This Row],[Password]],aoc_02_input[[#This Row],[Int2]],1)</f>
        <v>m</v>
      </c>
      <c r="M766" s="1">
        <f>IF(aoc_02_input[[#This Row],[Pos2]]=aoc_02_input[[#This Row],[Char]],1,0)</f>
        <v>0</v>
      </c>
      <c r="N766" s="1">
        <f>IF(aoc_02_input[[#This Row],[Pos1Valid]]&lt;&gt;aoc_02_input[[#This Row],[Pos2Valid]],1,0)</f>
        <v>0</v>
      </c>
    </row>
    <row r="767" spans="1:14" x14ac:dyDescent="0.45">
      <c r="A767" s="1" t="s">
        <v>427</v>
      </c>
      <c r="B767" s="1" t="s">
        <v>243</v>
      </c>
      <c r="C767" s="1" t="s">
        <v>1129</v>
      </c>
      <c r="D767" s="1">
        <f>FIND("-",aoc_02_input[[#This Row],[InputNumbers]])</f>
        <v>2</v>
      </c>
      <c r="E767" s="1">
        <f>_xlfn.NUMBERVALUE(LEFT(aoc_02_input[[#This Row],[InputNumbers]],aoc_02_input[[#This Row],[PosDash]]-1))</f>
        <v>3</v>
      </c>
      <c r="F767" s="1">
        <f>_xlfn.NUMBERVALUE(MID(aoc_02_input[[#This Row],[InputNumbers]],aoc_02_input[[#This Row],[PosDash]]+1,5))</f>
        <v>8</v>
      </c>
      <c r="G767" s="1" t="str">
        <f>LEFT(aoc_02_input[[#This Row],[InputChar]],1)</f>
        <v>f</v>
      </c>
      <c r="H767" s="1" cm="1">
        <f t="array" ref="H767">CountChar(aoc_02_input[[#This Row],[Password]],aoc_02_input[[#This Row],[Char]])</f>
        <v>7</v>
      </c>
      <c r="I767" s="1">
        <f>IF(AND(aoc_02_input[[#This Row],[Int1]]&lt;=aoc_02_input[[#This Row],[CountOfChar]],aoc_02_input[[#This Row],[CountOfChar]]&lt;=aoc_02_input[[#This Row],[Int2]]),1,0)</f>
        <v>1</v>
      </c>
      <c r="J767" s="1" t="str">
        <f>MID(aoc_02_input[[#This Row],[Password]],aoc_02_input[[#This Row],[Int1]],1)</f>
        <v>f</v>
      </c>
      <c r="K767" s="1">
        <f>IF(aoc_02_input[[#This Row],[Pos1]]=aoc_02_input[[#This Row],[Char]],1,0)</f>
        <v>1</v>
      </c>
      <c r="L767" s="1" t="str">
        <f>MID(aoc_02_input[[#This Row],[Password]],aoc_02_input[[#This Row],[Int2]],1)</f>
        <v>f</v>
      </c>
      <c r="M767" s="1">
        <f>IF(aoc_02_input[[#This Row],[Pos2]]=aoc_02_input[[#This Row],[Char]],1,0)</f>
        <v>1</v>
      </c>
      <c r="N767" s="1">
        <f>IF(aoc_02_input[[#This Row],[Pos1Valid]]&lt;&gt;aoc_02_input[[#This Row],[Pos2Valid]],1,0)</f>
        <v>0</v>
      </c>
    </row>
    <row r="768" spans="1:14" x14ac:dyDescent="0.45">
      <c r="A768" s="1" t="s">
        <v>375</v>
      </c>
      <c r="B768" s="1" t="s">
        <v>246</v>
      </c>
      <c r="C768" s="1" t="s">
        <v>1130</v>
      </c>
      <c r="D768" s="1">
        <f>FIND("-",aoc_02_input[[#This Row],[InputNumbers]])</f>
        <v>2</v>
      </c>
      <c r="E768" s="1">
        <f>_xlfn.NUMBERVALUE(LEFT(aoc_02_input[[#This Row],[InputNumbers]],aoc_02_input[[#This Row],[PosDash]]-1))</f>
        <v>3</v>
      </c>
      <c r="F768" s="1">
        <f>_xlfn.NUMBERVALUE(MID(aoc_02_input[[#This Row],[InputNumbers]],aoc_02_input[[#This Row],[PosDash]]+1,5))</f>
        <v>13</v>
      </c>
      <c r="G768" s="1" t="str">
        <f>LEFT(aoc_02_input[[#This Row],[InputChar]],1)</f>
        <v>n</v>
      </c>
      <c r="H768" s="1" cm="1">
        <f t="array" ref="H768">CountChar(aoc_02_input[[#This Row],[Password]],aoc_02_input[[#This Row],[Char]])</f>
        <v>2</v>
      </c>
      <c r="I768" s="1">
        <f>IF(AND(aoc_02_input[[#This Row],[Int1]]&lt;=aoc_02_input[[#This Row],[CountOfChar]],aoc_02_input[[#This Row],[CountOfChar]]&lt;=aoc_02_input[[#This Row],[Int2]]),1,0)</f>
        <v>0</v>
      </c>
      <c r="J768" s="1" t="str">
        <f>MID(aoc_02_input[[#This Row],[Password]],aoc_02_input[[#This Row],[Int1]],1)</f>
        <v>n</v>
      </c>
      <c r="K768" s="1">
        <f>IF(aoc_02_input[[#This Row],[Pos1]]=aoc_02_input[[#This Row],[Char]],1,0)</f>
        <v>1</v>
      </c>
      <c r="L768" s="1" t="str">
        <f>MID(aoc_02_input[[#This Row],[Password]],aoc_02_input[[#This Row],[Int2]],1)</f>
        <v>f</v>
      </c>
      <c r="M768" s="1">
        <f>IF(aoc_02_input[[#This Row],[Pos2]]=aoc_02_input[[#This Row],[Char]],1,0)</f>
        <v>0</v>
      </c>
      <c r="N768" s="1">
        <f>IF(aoc_02_input[[#This Row],[Pos1Valid]]&lt;&gt;aoc_02_input[[#This Row],[Pos2Valid]],1,0)</f>
        <v>1</v>
      </c>
    </row>
    <row r="769" spans="1:14" x14ac:dyDescent="0.45">
      <c r="A769" s="1" t="s">
        <v>365</v>
      </c>
      <c r="B769" s="1" t="s">
        <v>235</v>
      </c>
      <c r="C769" s="1" t="s">
        <v>1131</v>
      </c>
      <c r="D769" s="1">
        <f>FIND("-",aoc_02_input[[#This Row],[InputNumbers]])</f>
        <v>2</v>
      </c>
      <c r="E769" s="1">
        <f>_xlfn.NUMBERVALUE(LEFT(aoc_02_input[[#This Row],[InputNumbers]],aoc_02_input[[#This Row],[PosDash]]-1))</f>
        <v>6</v>
      </c>
      <c r="F769" s="1">
        <f>_xlfn.NUMBERVALUE(MID(aoc_02_input[[#This Row],[InputNumbers]],aoc_02_input[[#This Row],[PosDash]]+1,5))</f>
        <v>9</v>
      </c>
      <c r="G769" s="1" t="str">
        <f>LEFT(aoc_02_input[[#This Row],[InputChar]],1)</f>
        <v>d</v>
      </c>
      <c r="H769" s="1" cm="1">
        <f t="array" ref="H769">CountChar(aoc_02_input[[#This Row],[Password]],aoc_02_input[[#This Row],[Char]])</f>
        <v>9</v>
      </c>
      <c r="I769" s="1">
        <f>IF(AND(aoc_02_input[[#This Row],[Int1]]&lt;=aoc_02_input[[#This Row],[CountOfChar]],aoc_02_input[[#This Row],[CountOfChar]]&lt;=aoc_02_input[[#This Row],[Int2]]),1,0)</f>
        <v>1</v>
      </c>
      <c r="J769" s="1" t="str">
        <f>MID(aoc_02_input[[#This Row],[Password]],aoc_02_input[[#This Row],[Int1]],1)</f>
        <v>v</v>
      </c>
      <c r="K769" s="1">
        <f>IF(aoc_02_input[[#This Row],[Pos1]]=aoc_02_input[[#This Row],[Char]],1,0)</f>
        <v>0</v>
      </c>
      <c r="L769" s="1" t="str">
        <f>MID(aoc_02_input[[#This Row],[Password]],aoc_02_input[[#This Row],[Int2]],1)</f>
        <v>d</v>
      </c>
      <c r="M769" s="1">
        <f>IF(aoc_02_input[[#This Row],[Pos2]]=aoc_02_input[[#This Row],[Char]],1,0)</f>
        <v>1</v>
      </c>
      <c r="N769" s="1">
        <f>IF(aoc_02_input[[#This Row],[Pos1Valid]]&lt;&gt;aoc_02_input[[#This Row],[Pos2Valid]],1,0)</f>
        <v>1</v>
      </c>
    </row>
    <row r="770" spans="1:14" x14ac:dyDescent="0.45">
      <c r="A770" s="1" t="s">
        <v>349</v>
      </c>
      <c r="B770" s="1" t="s">
        <v>225</v>
      </c>
      <c r="C770" s="1" t="s">
        <v>1132</v>
      </c>
      <c r="D770" s="1">
        <f>FIND("-",aoc_02_input[[#This Row],[InputNumbers]])</f>
        <v>2</v>
      </c>
      <c r="E770" s="1">
        <f>_xlfn.NUMBERVALUE(LEFT(aoc_02_input[[#This Row],[InputNumbers]],aoc_02_input[[#This Row],[PosDash]]-1))</f>
        <v>7</v>
      </c>
      <c r="F770" s="1">
        <f>_xlfn.NUMBERVALUE(MID(aoc_02_input[[#This Row],[InputNumbers]],aoc_02_input[[#This Row],[PosDash]]+1,5))</f>
        <v>16</v>
      </c>
      <c r="G770" s="1" t="str">
        <f>LEFT(aoc_02_input[[#This Row],[InputChar]],1)</f>
        <v>j</v>
      </c>
      <c r="H770" s="1" cm="1">
        <f t="array" ref="H770">CountChar(aoc_02_input[[#This Row],[Password]],aoc_02_input[[#This Row],[Char]])</f>
        <v>19</v>
      </c>
      <c r="I770" s="1">
        <f>IF(AND(aoc_02_input[[#This Row],[Int1]]&lt;=aoc_02_input[[#This Row],[CountOfChar]],aoc_02_input[[#This Row],[CountOfChar]]&lt;=aoc_02_input[[#This Row],[Int2]]),1,0)</f>
        <v>0</v>
      </c>
      <c r="J770" s="1" t="str">
        <f>MID(aoc_02_input[[#This Row],[Password]],aoc_02_input[[#This Row],[Int1]],1)</f>
        <v>z</v>
      </c>
      <c r="K770" s="1">
        <f>IF(aoc_02_input[[#This Row],[Pos1]]=aoc_02_input[[#This Row],[Char]],1,0)</f>
        <v>0</v>
      </c>
      <c r="L770" s="1" t="str">
        <f>MID(aoc_02_input[[#This Row],[Password]],aoc_02_input[[#This Row],[Int2]],1)</f>
        <v>j</v>
      </c>
      <c r="M770" s="1">
        <f>IF(aoc_02_input[[#This Row],[Pos2]]=aoc_02_input[[#This Row],[Char]],1,0)</f>
        <v>1</v>
      </c>
      <c r="N770" s="1">
        <f>IF(aoc_02_input[[#This Row],[Pos1Valid]]&lt;&gt;aoc_02_input[[#This Row],[Pos2Valid]],1,0)</f>
        <v>1</v>
      </c>
    </row>
    <row r="771" spans="1:14" x14ac:dyDescent="0.45">
      <c r="A771" s="1" t="s">
        <v>221</v>
      </c>
      <c r="B771" s="1" t="s">
        <v>254</v>
      </c>
      <c r="C771" s="1" t="s">
        <v>1133</v>
      </c>
      <c r="D771" s="1">
        <f>FIND("-",aoc_02_input[[#This Row],[InputNumbers]])</f>
        <v>2</v>
      </c>
      <c r="E771" s="1">
        <f>_xlfn.NUMBERVALUE(LEFT(aoc_02_input[[#This Row],[InputNumbers]],aoc_02_input[[#This Row],[PosDash]]-1))</f>
        <v>2</v>
      </c>
      <c r="F771" s="1">
        <f>_xlfn.NUMBERVALUE(MID(aoc_02_input[[#This Row],[InputNumbers]],aoc_02_input[[#This Row],[PosDash]]+1,5))</f>
        <v>3</v>
      </c>
      <c r="G771" s="1" t="str">
        <f>LEFT(aoc_02_input[[#This Row],[InputChar]],1)</f>
        <v>k</v>
      </c>
      <c r="H771" s="1" cm="1">
        <f t="array" ref="H771">CountChar(aoc_02_input[[#This Row],[Password]],aoc_02_input[[#This Row],[Char]])</f>
        <v>2</v>
      </c>
      <c r="I771" s="1">
        <f>IF(AND(aoc_02_input[[#This Row],[Int1]]&lt;=aoc_02_input[[#This Row],[CountOfChar]],aoc_02_input[[#This Row],[CountOfChar]]&lt;=aoc_02_input[[#This Row],[Int2]]),1,0)</f>
        <v>1</v>
      </c>
      <c r="J771" s="1" t="str">
        <f>MID(aoc_02_input[[#This Row],[Password]],aoc_02_input[[#This Row],[Int1]],1)</f>
        <v>q</v>
      </c>
      <c r="K771" s="1">
        <f>IF(aoc_02_input[[#This Row],[Pos1]]=aoc_02_input[[#This Row],[Char]],1,0)</f>
        <v>0</v>
      </c>
      <c r="L771" s="1" t="str">
        <f>MID(aoc_02_input[[#This Row],[Password]],aoc_02_input[[#This Row],[Int2]],1)</f>
        <v>k</v>
      </c>
      <c r="M771" s="1">
        <f>IF(aoc_02_input[[#This Row],[Pos2]]=aoc_02_input[[#This Row],[Char]],1,0)</f>
        <v>1</v>
      </c>
      <c r="N771" s="1">
        <f>IF(aoc_02_input[[#This Row],[Pos1Valid]]&lt;&gt;aoc_02_input[[#This Row],[Pos2Valid]],1,0)</f>
        <v>1</v>
      </c>
    </row>
    <row r="772" spans="1:14" x14ac:dyDescent="0.45">
      <c r="A772" s="1" t="s">
        <v>352</v>
      </c>
      <c r="B772" s="1" t="s">
        <v>222</v>
      </c>
      <c r="C772" s="1" t="s">
        <v>1134</v>
      </c>
      <c r="D772" s="1">
        <f>FIND("-",aoc_02_input[[#This Row],[InputNumbers]])</f>
        <v>3</v>
      </c>
      <c r="E772" s="1">
        <f>_xlfn.NUMBERVALUE(LEFT(aoc_02_input[[#This Row],[InputNumbers]],aoc_02_input[[#This Row],[PosDash]]-1))</f>
        <v>15</v>
      </c>
      <c r="F772" s="1">
        <f>_xlfn.NUMBERVALUE(MID(aoc_02_input[[#This Row],[InputNumbers]],aoc_02_input[[#This Row],[PosDash]]+1,5))</f>
        <v>16</v>
      </c>
      <c r="G772" s="1" t="str">
        <f>LEFT(aoc_02_input[[#This Row],[InputChar]],1)</f>
        <v>l</v>
      </c>
      <c r="H772" s="1" cm="1">
        <f t="array" ref="H772">CountChar(aoc_02_input[[#This Row],[Password]],aoc_02_input[[#This Row],[Char]])</f>
        <v>15</v>
      </c>
      <c r="I772" s="1">
        <f>IF(AND(aoc_02_input[[#This Row],[Int1]]&lt;=aoc_02_input[[#This Row],[CountOfChar]],aoc_02_input[[#This Row],[CountOfChar]]&lt;=aoc_02_input[[#This Row],[Int2]]),1,0)</f>
        <v>1</v>
      </c>
      <c r="J772" s="1" t="str">
        <f>MID(aoc_02_input[[#This Row],[Password]],aoc_02_input[[#This Row],[Int1]],1)</f>
        <v>d</v>
      </c>
      <c r="K772" s="1">
        <f>IF(aoc_02_input[[#This Row],[Pos1]]=aoc_02_input[[#This Row],[Char]],1,0)</f>
        <v>0</v>
      </c>
      <c r="L772" s="1" t="str">
        <f>MID(aoc_02_input[[#This Row],[Password]],aoc_02_input[[#This Row],[Int2]],1)</f>
        <v>l</v>
      </c>
      <c r="M772" s="1">
        <f>IF(aoc_02_input[[#This Row],[Pos2]]=aoc_02_input[[#This Row],[Char]],1,0)</f>
        <v>1</v>
      </c>
      <c r="N772" s="1">
        <f>IF(aoc_02_input[[#This Row],[Pos1Valid]]&lt;&gt;aoc_02_input[[#This Row],[Pos2Valid]],1,0)</f>
        <v>1</v>
      </c>
    </row>
    <row r="773" spans="1:14" x14ac:dyDescent="0.45">
      <c r="A773" s="1" t="s">
        <v>324</v>
      </c>
      <c r="B773" s="1" t="s">
        <v>225</v>
      </c>
      <c r="C773" s="1" t="s">
        <v>1135</v>
      </c>
      <c r="D773" s="1">
        <f>FIND("-",aoc_02_input[[#This Row],[InputNumbers]])</f>
        <v>2</v>
      </c>
      <c r="E773" s="1">
        <f>_xlfn.NUMBERVALUE(LEFT(aoc_02_input[[#This Row],[InputNumbers]],aoc_02_input[[#This Row],[PosDash]]-1))</f>
        <v>1</v>
      </c>
      <c r="F773" s="1">
        <f>_xlfn.NUMBERVALUE(MID(aoc_02_input[[#This Row],[InputNumbers]],aoc_02_input[[#This Row],[PosDash]]+1,5))</f>
        <v>3</v>
      </c>
      <c r="G773" s="1" t="str">
        <f>LEFT(aoc_02_input[[#This Row],[InputChar]],1)</f>
        <v>j</v>
      </c>
      <c r="H773" s="1" cm="1">
        <f t="array" ref="H773">CountChar(aoc_02_input[[#This Row],[Password]],aoc_02_input[[#This Row],[Char]])</f>
        <v>8</v>
      </c>
      <c r="I773" s="1">
        <f>IF(AND(aoc_02_input[[#This Row],[Int1]]&lt;=aoc_02_input[[#This Row],[CountOfChar]],aoc_02_input[[#This Row],[CountOfChar]]&lt;=aoc_02_input[[#This Row],[Int2]]),1,0)</f>
        <v>0</v>
      </c>
      <c r="J773" s="1" t="str">
        <f>MID(aoc_02_input[[#This Row],[Password]],aoc_02_input[[#This Row],[Int1]],1)</f>
        <v>j</v>
      </c>
      <c r="K773" s="1">
        <f>IF(aoc_02_input[[#This Row],[Pos1]]=aoc_02_input[[#This Row],[Char]],1,0)</f>
        <v>1</v>
      </c>
      <c r="L773" s="1" t="str">
        <f>MID(aoc_02_input[[#This Row],[Password]],aoc_02_input[[#This Row],[Int2]],1)</f>
        <v>t</v>
      </c>
      <c r="M773" s="1">
        <f>IF(aoc_02_input[[#This Row],[Pos2]]=aoc_02_input[[#This Row],[Char]],1,0)</f>
        <v>0</v>
      </c>
      <c r="N773" s="1">
        <f>IF(aoc_02_input[[#This Row],[Pos1Valid]]&lt;&gt;aoc_02_input[[#This Row],[Pos2Valid]],1,0)</f>
        <v>1</v>
      </c>
    </row>
    <row r="774" spans="1:14" x14ac:dyDescent="0.45">
      <c r="A774" s="1" t="s">
        <v>581</v>
      </c>
      <c r="B774" s="1" t="s">
        <v>254</v>
      </c>
      <c r="C774" s="1" t="s">
        <v>1136</v>
      </c>
      <c r="D774" s="1">
        <f>FIND("-",aoc_02_input[[#This Row],[InputNumbers]])</f>
        <v>2</v>
      </c>
      <c r="E774" s="1">
        <f>_xlfn.NUMBERVALUE(LEFT(aoc_02_input[[#This Row],[InputNumbers]],aoc_02_input[[#This Row],[PosDash]]-1))</f>
        <v>7</v>
      </c>
      <c r="F774" s="1">
        <f>_xlfn.NUMBERVALUE(MID(aoc_02_input[[#This Row],[InputNumbers]],aoc_02_input[[#This Row],[PosDash]]+1,5))</f>
        <v>17</v>
      </c>
      <c r="G774" s="1" t="str">
        <f>LEFT(aoc_02_input[[#This Row],[InputChar]],1)</f>
        <v>k</v>
      </c>
      <c r="H774" s="1" cm="1">
        <f t="array" ref="H774">CountChar(aoc_02_input[[#This Row],[Password]],aoc_02_input[[#This Row],[Char]])</f>
        <v>11</v>
      </c>
      <c r="I774" s="1">
        <f>IF(AND(aoc_02_input[[#This Row],[Int1]]&lt;=aoc_02_input[[#This Row],[CountOfChar]],aoc_02_input[[#This Row],[CountOfChar]]&lt;=aoc_02_input[[#This Row],[Int2]]),1,0)</f>
        <v>1</v>
      </c>
      <c r="J774" s="1" t="str">
        <f>MID(aoc_02_input[[#This Row],[Password]],aoc_02_input[[#This Row],[Int1]],1)</f>
        <v>k</v>
      </c>
      <c r="K774" s="1">
        <f>IF(aoc_02_input[[#This Row],[Pos1]]=aoc_02_input[[#This Row],[Char]],1,0)</f>
        <v>1</v>
      </c>
      <c r="L774" s="1" t="str">
        <f>MID(aoc_02_input[[#This Row],[Password]],aoc_02_input[[#This Row],[Int2]],1)</f>
        <v>v</v>
      </c>
      <c r="M774" s="1">
        <f>IF(aoc_02_input[[#This Row],[Pos2]]=aoc_02_input[[#This Row],[Char]],1,0)</f>
        <v>0</v>
      </c>
      <c r="N774" s="1">
        <f>IF(aoc_02_input[[#This Row],[Pos1Valid]]&lt;&gt;aoc_02_input[[#This Row],[Pos2Valid]],1,0)</f>
        <v>1</v>
      </c>
    </row>
    <row r="775" spans="1:14" x14ac:dyDescent="0.45">
      <c r="A775" s="1" t="s">
        <v>311</v>
      </c>
      <c r="B775" s="1" t="s">
        <v>238</v>
      </c>
      <c r="C775" s="1" t="s">
        <v>1137</v>
      </c>
      <c r="D775" s="1">
        <f>FIND("-",aoc_02_input[[#This Row],[InputNumbers]])</f>
        <v>2</v>
      </c>
      <c r="E775" s="1">
        <f>_xlfn.NUMBERVALUE(LEFT(aoc_02_input[[#This Row],[InputNumbers]],aoc_02_input[[#This Row],[PosDash]]-1))</f>
        <v>3</v>
      </c>
      <c r="F775" s="1">
        <f>_xlfn.NUMBERVALUE(MID(aoc_02_input[[#This Row],[InputNumbers]],aoc_02_input[[#This Row],[PosDash]]+1,5))</f>
        <v>6</v>
      </c>
      <c r="G775" s="1" t="str">
        <f>LEFT(aoc_02_input[[#This Row],[InputChar]],1)</f>
        <v>w</v>
      </c>
      <c r="H775" s="1" cm="1">
        <f t="array" ref="H775">CountChar(aoc_02_input[[#This Row],[Password]],aoc_02_input[[#This Row],[Char]])</f>
        <v>1</v>
      </c>
      <c r="I775" s="1">
        <f>IF(AND(aoc_02_input[[#This Row],[Int1]]&lt;=aoc_02_input[[#This Row],[CountOfChar]],aoc_02_input[[#This Row],[CountOfChar]]&lt;=aoc_02_input[[#This Row],[Int2]]),1,0)</f>
        <v>0</v>
      </c>
      <c r="J775" s="1" t="str">
        <f>MID(aoc_02_input[[#This Row],[Password]],aoc_02_input[[#This Row],[Int1]],1)</f>
        <v>v</v>
      </c>
      <c r="K775" s="1">
        <f>IF(aoc_02_input[[#This Row],[Pos1]]=aoc_02_input[[#This Row],[Char]],1,0)</f>
        <v>0</v>
      </c>
      <c r="L775" s="1" t="str">
        <f>MID(aoc_02_input[[#This Row],[Password]],aoc_02_input[[#This Row],[Int2]],1)</f>
        <v>x</v>
      </c>
      <c r="M775" s="1">
        <f>IF(aoc_02_input[[#This Row],[Pos2]]=aoc_02_input[[#This Row],[Char]],1,0)</f>
        <v>0</v>
      </c>
      <c r="N775" s="1">
        <f>IF(aoc_02_input[[#This Row],[Pos1Valid]]&lt;&gt;aoc_02_input[[#This Row],[Pos2Valid]],1,0)</f>
        <v>0</v>
      </c>
    </row>
    <row r="776" spans="1:14" x14ac:dyDescent="0.45">
      <c r="A776" s="1" t="s">
        <v>349</v>
      </c>
      <c r="B776" s="1" t="s">
        <v>278</v>
      </c>
      <c r="C776" s="1" t="s">
        <v>1138</v>
      </c>
      <c r="D776" s="1">
        <f>FIND("-",aoc_02_input[[#This Row],[InputNumbers]])</f>
        <v>2</v>
      </c>
      <c r="E776" s="1">
        <f>_xlfn.NUMBERVALUE(LEFT(aoc_02_input[[#This Row],[InputNumbers]],aoc_02_input[[#This Row],[PosDash]]-1))</f>
        <v>7</v>
      </c>
      <c r="F776" s="1">
        <f>_xlfn.NUMBERVALUE(MID(aoc_02_input[[#This Row],[InputNumbers]],aoc_02_input[[#This Row],[PosDash]]+1,5))</f>
        <v>16</v>
      </c>
      <c r="G776" s="1" t="str">
        <f>LEFT(aoc_02_input[[#This Row],[InputChar]],1)</f>
        <v>x</v>
      </c>
      <c r="H776" s="1" cm="1">
        <f t="array" ref="H776">CountChar(aoc_02_input[[#This Row],[Password]],aoc_02_input[[#This Row],[Char]])</f>
        <v>14</v>
      </c>
      <c r="I776" s="1">
        <f>IF(AND(aoc_02_input[[#This Row],[Int1]]&lt;=aoc_02_input[[#This Row],[CountOfChar]],aoc_02_input[[#This Row],[CountOfChar]]&lt;=aoc_02_input[[#This Row],[Int2]]),1,0)</f>
        <v>1</v>
      </c>
      <c r="J776" s="1" t="str">
        <f>MID(aoc_02_input[[#This Row],[Password]],aoc_02_input[[#This Row],[Int1]],1)</f>
        <v>s</v>
      </c>
      <c r="K776" s="1">
        <f>IF(aoc_02_input[[#This Row],[Pos1]]=aoc_02_input[[#This Row],[Char]],1,0)</f>
        <v>0</v>
      </c>
      <c r="L776" s="1" t="str">
        <f>MID(aoc_02_input[[#This Row],[Password]],aoc_02_input[[#This Row],[Int2]],1)</f>
        <v>m</v>
      </c>
      <c r="M776" s="1">
        <f>IF(aoc_02_input[[#This Row],[Pos2]]=aoc_02_input[[#This Row],[Char]],1,0)</f>
        <v>0</v>
      </c>
      <c r="N776" s="1">
        <f>IF(aoc_02_input[[#This Row],[Pos1Valid]]&lt;&gt;aoc_02_input[[#This Row],[Pos2Valid]],1,0)</f>
        <v>0</v>
      </c>
    </row>
    <row r="777" spans="1:14" x14ac:dyDescent="0.45">
      <c r="A777" s="1" t="s">
        <v>631</v>
      </c>
      <c r="B777" s="1" t="s">
        <v>246</v>
      </c>
      <c r="C777" s="1" t="s">
        <v>1139</v>
      </c>
      <c r="D777" s="1">
        <f>FIND("-",aoc_02_input[[#This Row],[InputNumbers]])</f>
        <v>2</v>
      </c>
      <c r="E777" s="1">
        <f>_xlfn.NUMBERVALUE(LEFT(aoc_02_input[[#This Row],[InputNumbers]],aoc_02_input[[#This Row],[PosDash]]-1))</f>
        <v>6</v>
      </c>
      <c r="F777" s="1">
        <f>_xlfn.NUMBERVALUE(MID(aoc_02_input[[#This Row],[InputNumbers]],aoc_02_input[[#This Row],[PosDash]]+1,5))</f>
        <v>15</v>
      </c>
      <c r="G777" s="1" t="str">
        <f>LEFT(aoc_02_input[[#This Row],[InputChar]],1)</f>
        <v>n</v>
      </c>
      <c r="H777" s="1" cm="1">
        <f t="array" ref="H777">CountChar(aoc_02_input[[#This Row],[Password]],aoc_02_input[[#This Row],[Char]])</f>
        <v>3</v>
      </c>
      <c r="I777" s="1">
        <f>IF(AND(aoc_02_input[[#This Row],[Int1]]&lt;=aoc_02_input[[#This Row],[CountOfChar]],aoc_02_input[[#This Row],[CountOfChar]]&lt;=aoc_02_input[[#This Row],[Int2]]),1,0)</f>
        <v>0</v>
      </c>
      <c r="J777" s="1" t="str">
        <f>MID(aoc_02_input[[#This Row],[Password]],aoc_02_input[[#This Row],[Int1]],1)</f>
        <v>n</v>
      </c>
      <c r="K777" s="1">
        <f>IF(aoc_02_input[[#This Row],[Pos1]]=aoc_02_input[[#This Row],[Char]],1,0)</f>
        <v>1</v>
      </c>
      <c r="L777" s="1" t="str">
        <f>MID(aoc_02_input[[#This Row],[Password]],aoc_02_input[[#This Row],[Int2]],1)</f>
        <v>n</v>
      </c>
      <c r="M777" s="1">
        <f>IF(aoc_02_input[[#This Row],[Pos2]]=aoc_02_input[[#This Row],[Char]],1,0)</f>
        <v>1</v>
      </c>
      <c r="N777" s="1">
        <f>IF(aoc_02_input[[#This Row],[Pos1Valid]]&lt;&gt;aoc_02_input[[#This Row],[Pos2Valid]],1,0)</f>
        <v>0</v>
      </c>
    </row>
    <row r="778" spans="1:14" x14ac:dyDescent="0.45">
      <c r="A778" s="1" t="s">
        <v>1140</v>
      </c>
      <c r="B778" s="1" t="s">
        <v>278</v>
      </c>
      <c r="C778" s="1" t="s">
        <v>1141</v>
      </c>
      <c r="D778" s="1">
        <f>FIND("-",aoc_02_input[[#This Row],[InputNumbers]])</f>
        <v>2</v>
      </c>
      <c r="E778" s="1">
        <f>_xlfn.NUMBERVALUE(LEFT(aoc_02_input[[#This Row],[InputNumbers]],aoc_02_input[[#This Row],[PosDash]]-1))</f>
        <v>1</v>
      </c>
      <c r="F778" s="1">
        <f>_xlfn.NUMBERVALUE(MID(aoc_02_input[[#This Row],[InputNumbers]],aoc_02_input[[#This Row],[PosDash]]+1,5))</f>
        <v>17</v>
      </c>
      <c r="G778" s="1" t="str">
        <f>LEFT(aoc_02_input[[#This Row],[InputChar]],1)</f>
        <v>x</v>
      </c>
      <c r="H778" s="1" cm="1">
        <f t="array" ref="H778">CountChar(aoc_02_input[[#This Row],[Password]],aoc_02_input[[#This Row],[Char]])</f>
        <v>11</v>
      </c>
      <c r="I778" s="1">
        <f>IF(AND(aoc_02_input[[#This Row],[Int1]]&lt;=aoc_02_input[[#This Row],[CountOfChar]],aoc_02_input[[#This Row],[CountOfChar]]&lt;=aoc_02_input[[#This Row],[Int2]]),1,0)</f>
        <v>1</v>
      </c>
      <c r="J778" s="1" t="str">
        <f>MID(aoc_02_input[[#This Row],[Password]],aoc_02_input[[#This Row],[Int1]],1)</f>
        <v>x</v>
      </c>
      <c r="K778" s="1">
        <f>IF(aoc_02_input[[#This Row],[Pos1]]=aoc_02_input[[#This Row],[Char]],1,0)</f>
        <v>1</v>
      </c>
      <c r="L778" s="1" t="str">
        <f>MID(aoc_02_input[[#This Row],[Password]],aoc_02_input[[#This Row],[Int2]],1)</f>
        <v>c</v>
      </c>
      <c r="M778" s="1">
        <f>IF(aoc_02_input[[#This Row],[Pos2]]=aoc_02_input[[#This Row],[Char]],1,0)</f>
        <v>0</v>
      </c>
      <c r="N778" s="1">
        <f>IF(aoc_02_input[[#This Row],[Pos1Valid]]&lt;&gt;aoc_02_input[[#This Row],[Pos2Valid]],1,0)</f>
        <v>1</v>
      </c>
    </row>
    <row r="779" spans="1:14" x14ac:dyDescent="0.45">
      <c r="A779" s="1" t="s">
        <v>292</v>
      </c>
      <c r="B779" s="1" t="s">
        <v>207</v>
      </c>
      <c r="C779" s="1" t="s">
        <v>1142</v>
      </c>
      <c r="D779" s="1">
        <f>FIND("-",aoc_02_input[[#This Row],[InputNumbers]])</f>
        <v>2</v>
      </c>
      <c r="E779" s="1">
        <f>_xlfn.NUMBERVALUE(LEFT(aoc_02_input[[#This Row],[InputNumbers]],aoc_02_input[[#This Row],[PosDash]]-1))</f>
        <v>7</v>
      </c>
      <c r="F779" s="1">
        <f>_xlfn.NUMBERVALUE(MID(aoc_02_input[[#This Row],[InputNumbers]],aoc_02_input[[#This Row],[PosDash]]+1,5))</f>
        <v>9</v>
      </c>
      <c r="G779" s="1" t="str">
        <f>LEFT(aoc_02_input[[#This Row],[InputChar]],1)</f>
        <v>b</v>
      </c>
      <c r="H779" s="1" cm="1">
        <f t="array" ref="H779">CountChar(aoc_02_input[[#This Row],[Password]],aoc_02_input[[#This Row],[Char]])</f>
        <v>7</v>
      </c>
      <c r="I779" s="1">
        <f>IF(AND(aoc_02_input[[#This Row],[Int1]]&lt;=aoc_02_input[[#This Row],[CountOfChar]],aoc_02_input[[#This Row],[CountOfChar]]&lt;=aoc_02_input[[#This Row],[Int2]]),1,0)</f>
        <v>1</v>
      </c>
      <c r="J779" s="1" t="str">
        <f>MID(aoc_02_input[[#This Row],[Password]],aoc_02_input[[#This Row],[Int1]],1)</f>
        <v>s</v>
      </c>
      <c r="K779" s="1">
        <f>IF(aoc_02_input[[#This Row],[Pos1]]=aoc_02_input[[#This Row],[Char]],1,0)</f>
        <v>0</v>
      </c>
      <c r="L779" s="1" t="str">
        <f>MID(aoc_02_input[[#This Row],[Password]],aoc_02_input[[#This Row],[Int2]],1)</f>
        <v>b</v>
      </c>
      <c r="M779" s="1">
        <f>IF(aoc_02_input[[#This Row],[Pos2]]=aoc_02_input[[#This Row],[Char]],1,0)</f>
        <v>1</v>
      </c>
      <c r="N779" s="1">
        <f>IF(aoc_02_input[[#This Row],[Pos1Valid]]&lt;&gt;aoc_02_input[[#This Row],[Pos2Valid]],1,0)</f>
        <v>1</v>
      </c>
    </row>
    <row r="780" spans="1:14" x14ac:dyDescent="0.45">
      <c r="A780" s="1" t="s">
        <v>392</v>
      </c>
      <c r="B780" s="1" t="s">
        <v>219</v>
      </c>
      <c r="C780" s="1" t="s">
        <v>1143</v>
      </c>
      <c r="D780" s="1">
        <f>FIND("-",aoc_02_input[[#This Row],[InputNumbers]])</f>
        <v>2</v>
      </c>
      <c r="E780" s="1">
        <f>_xlfn.NUMBERVALUE(LEFT(aoc_02_input[[#This Row],[InputNumbers]],aoc_02_input[[#This Row],[PosDash]]-1))</f>
        <v>8</v>
      </c>
      <c r="F780" s="1">
        <f>_xlfn.NUMBERVALUE(MID(aoc_02_input[[#This Row],[InputNumbers]],aoc_02_input[[#This Row],[PosDash]]+1,5))</f>
        <v>9</v>
      </c>
      <c r="G780" s="1" t="str">
        <f>LEFT(aoc_02_input[[#This Row],[InputChar]],1)</f>
        <v>g</v>
      </c>
      <c r="H780" s="1" cm="1">
        <f t="array" ref="H780">CountChar(aoc_02_input[[#This Row],[Password]],aoc_02_input[[#This Row],[Char]])</f>
        <v>7</v>
      </c>
      <c r="I780" s="1">
        <f>IF(AND(aoc_02_input[[#This Row],[Int1]]&lt;=aoc_02_input[[#This Row],[CountOfChar]],aoc_02_input[[#This Row],[CountOfChar]]&lt;=aoc_02_input[[#This Row],[Int2]]),1,0)</f>
        <v>0</v>
      </c>
      <c r="J780" s="1" t="str">
        <f>MID(aoc_02_input[[#This Row],[Password]],aoc_02_input[[#This Row],[Int1]],1)</f>
        <v>d</v>
      </c>
      <c r="K780" s="1">
        <f>IF(aoc_02_input[[#This Row],[Pos1]]=aoc_02_input[[#This Row],[Char]],1,0)</f>
        <v>0</v>
      </c>
      <c r="L780" s="1" t="str">
        <f>MID(aoc_02_input[[#This Row],[Password]],aoc_02_input[[#This Row],[Int2]],1)</f>
        <v>g</v>
      </c>
      <c r="M780" s="1">
        <f>IF(aoc_02_input[[#This Row],[Pos2]]=aoc_02_input[[#This Row],[Char]],1,0)</f>
        <v>1</v>
      </c>
      <c r="N780" s="1">
        <f>IF(aoc_02_input[[#This Row],[Pos1Valid]]&lt;&gt;aoc_02_input[[#This Row],[Pos2Valid]],1,0)</f>
        <v>1</v>
      </c>
    </row>
    <row r="781" spans="1:14" x14ac:dyDescent="0.45">
      <c r="A781" s="1" t="s">
        <v>339</v>
      </c>
      <c r="B781" s="1" t="s">
        <v>213</v>
      </c>
      <c r="C781" s="1" t="s">
        <v>1144</v>
      </c>
      <c r="D781" s="1">
        <f>FIND("-",aoc_02_input[[#This Row],[InputNumbers]])</f>
        <v>2</v>
      </c>
      <c r="E781" s="1">
        <f>_xlfn.NUMBERVALUE(LEFT(aoc_02_input[[#This Row],[InputNumbers]],aoc_02_input[[#This Row],[PosDash]]-1))</f>
        <v>6</v>
      </c>
      <c r="F781" s="1">
        <f>_xlfn.NUMBERVALUE(MID(aoc_02_input[[#This Row],[InputNumbers]],aoc_02_input[[#This Row],[PosDash]]+1,5))</f>
        <v>10</v>
      </c>
      <c r="G781" s="1" t="str">
        <f>LEFT(aoc_02_input[[#This Row],[InputChar]],1)</f>
        <v>m</v>
      </c>
      <c r="H781" s="1" cm="1">
        <f t="array" ref="H781">CountChar(aoc_02_input[[#This Row],[Password]],aoc_02_input[[#This Row],[Char]])</f>
        <v>8</v>
      </c>
      <c r="I781" s="1">
        <f>IF(AND(aoc_02_input[[#This Row],[Int1]]&lt;=aoc_02_input[[#This Row],[CountOfChar]],aoc_02_input[[#This Row],[CountOfChar]]&lt;=aoc_02_input[[#This Row],[Int2]]),1,0)</f>
        <v>1</v>
      </c>
      <c r="J781" s="1" t="str">
        <f>MID(aoc_02_input[[#This Row],[Password]],aoc_02_input[[#This Row],[Int1]],1)</f>
        <v>m</v>
      </c>
      <c r="K781" s="1">
        <f>IF(aoc_02_input[[#This Row],[Pos1]]=aoc_02_input[[#This Row],[Char]],1,0)</f>
        <v>1</v>
      </c>
      <c r="L781" s="1" t="str">
        <f>MID(aoc_02_input[[#This Row],[Password]],aoc_02_input[[#This Row],[Int2]],1)</f>
        <v>m</v>
      </c>
      <c r="M781" s="1">
        <f>IF(aoc_02_input[[#This Row],[Pos2]]=aoc_02_input[[#This Row],[Char]],1,0)</f>
        <v>1</v>
      </c>
      <c r="N781" s="1">
        <f>IF(aoc_02_input[[#This Row],[Pos1Valid]]&lt;&gt;aoc_02_input[[#This Row],[Pos2Valid]],1,0)</f>
        <v>0</v>
      </c>
    </row>
    <row r="782" spans="1:14" x14ac:dyDescent="0.45">
      <c r="A782" s="1" t="s">
        <v>326</v>
      </c>
      <c r="B782" s="1" t="s">
        <v>225</v>
      </c>
      <c r="C782" s="1" t="s">
        <v>1145</v>
      </c>
      <c r="D782" s="1">
        <f>FIND("-",aoc_02_input[[#This Row],[InputNumbers]])</f>
        <v>3</v>
      </c>
      <c r="E782" s="1">
        <f>_xlfn.NUMBERVALUE(LEFT(aoc_02_input[[#This Row],[InputNumbers]],aoc_02_input[[#This Row],[PosDash]]-1))</f>
        <v>10</v>
      </c>
      <c r="F782" s="1">
        <f>_xlfn.NUMBERVALUE(MID(aoc_02_input[[#This Row],[InputNumbers]],aoc_02_input[[#This Row],[PosDash]]+1,5))</f>
        <v>12</v>
      </c>
      <c r="G782" s="1" t="str">
        <f>LEFT(aoc_02_input[[#This Row],[InputChar]],1)</f>
        <v>j</v>
      </c>
      <c r="H782" s="1" cm="1">
        <f t="array" ref="H782">CountChar(aoc_02_input[[#This Row],[Password]],aoc_02_input[[#This Row],[Char]])</f>
        <v>6</v>
      </c>
      <c r="I782" s="1">
        <f>IF(AND(aoc_02_input[[#This Row],[Int1]]&lt;=aoc_02_input[[#This Row],[CountOfChar]],aoc_02_input[[#This Row],[CountOfChar]]&lt;=aoc_02_input[[#This Row],[Int2]]),1,0)</f>
        <v>0</v>
      </c>
      <c r="J782" s="1" t="str">
        <f>MID(aoc_02_input[[#This Row],[Password]],aoc_02_input[[#This Row],[Int1]],1)</f>
        <v>j</v>
      </c>
      <c r="K782" s="1">
        <f>IF(aoc_02_input[[#This Row],[Pos1]]=aoc_02_input[[#This Row],[Char]],1,0)</f>
        <v>1</v>
      </c>
      <c r="L782" s="1" t="str">
        <f>MID(aoc_02_input[[#This Row],[Password]],aoc_02_input[[#This Row],[Int2]],1)</f>
        <v>p</v>
      </c>
      <c r="M782" s="1">
        <f>IF(aoc_02_input[[#This Row],[Pos2]]=aoc_02_input[[#This Row],[Char]],1,0)</f>
        <v>0</v>
      </c>
      <c r="N782" s="1">
        <f>IF(aoc_02_input[[#This Row],[Pos1Valid]]&lt;&gt;aoc_02_input[[#This Row],[Pos2Valid]],1,0)</f>
        <v>1</v>
      </c>
    </row>
    <row r="783" spans="1:14" x14ac:dyDescent="0.45">
      <c r="A783" s="1" t="s">
        <v>292</v>
      </c>
      <c r="B783" s="1" t="s">
        <v>216</v>
      </c>
      <c r="C783" s="1" t="s">
        <v>1146</v>
      </c>
      <c r="D783" s="1">
        <f>FIND("-",aoc_02_input[[#This Row],[InputNumbers]])</f>
        <v>2</v>
      </c>
      <c r="E783" s="1">
        <f>_xlfn.NUMBERVALUE(LEFT(aoc_02_input[[#This Row],[InputNumbers]],aoc_02_input[[#This Row],[PosDash]]-1))</f>
        <v>7</v>
      </c>
      <c r="F783" s="1">
        <f>_xlfn.NUMBERVALUE(MID(aoc_02_input[[#This Row],[InputNumbers]],aoc_02_input[[#This Row],[PosDash]]+1,5))</f>
        <v>9</v>
      </c>
      <c r="G783" s="1" t="str">
        <f>LEFT(aoc_02_input[[#This Row],[InputChar]],1)</f>
        <v>z</v>
      </c>
      <c r="H783" s="1" cm="1">
        <f t="array" ref="H783">CountChar(aoc_02_input[[#This Row],[Password]],aoc_02_input[[#This Row],[Char]])</f>
        <v>9</v>
      </c>
      <c r="I783" s="1">
        <f>IF(AND(aoc_02_input[[#This Row],[Int1]]&lt;=aoc_02_input[[#This Row],[CountOfChar]],aoc_02_input[[#This Row],[CountOfChar]]&lt;=aoc_02_input[[#This Row],[Int2]]),1,0)</f>
        <v>1</v>
      </c>
      <c r="J783" s="1" t="str">
        <f>MID(aoc_02_input[[#This Row],[Password]],aoc_02_input[[#This Row],[Int1]],1)</f>
        <v>w</v>
      </c>
      <c r="K783" s="1">
        <f>IF(aoc_02_input[[#This Row],[Pos1]]=aoc_02_input[[#This Row],[Char]],1,0)</f>
        <v>0</v>
      </c>
      <c r="L783" s="1" t="str">
        <f>MID(aoc_02_input[[#This Row],[Password]],aoc_02_input[[#This Row],[Int2]],1)</f>
        <v>h</v>
      </c>
      <c r="M783" s="1">
        <f>IF(aoc_02_input[[#This Row],[Pos2]]=aoc_02_input[[#This Row],[Char]],1,0)</f>
        <v>0</v>
      </c>
      <c r="N783" s="1">
        <f>IF(aoc_02_input[[#This Row],[Pos1Valid]]&lt;&gt;aoc_02_input[[#This Row],[Pos2Valid]],1,0)</f>
        <v>0</v>
      </c>
    </row>
    <row r="784" spans="1:14" x14ac:dyDescent="0.45">
      <c r="A784" s="1" t="s">
        <v>227</v>
      </c>
      <c r="B784" s="1" t="s">
        <v>254</v>
      </c>
      <c r="C784" s="1" t="s">
        <v>1147</v>
      </c>
      <c r="D784" s="1">
        <f>FIND("-",aoc_02_input[[#This Row],[InputNumbers]])</f>
        <v>2</v>
      </c>
      <c r="E784" s="1">
        <f>_xlfn.NUMBERVALUE(LEFT(aoc_02_input[[#This Row],[InputNumbers]],aoc_02_input[[#This Row],[PosDash]]-1))</f>
        <v>4</v>
      </c>
      <c r="F784" s="1">
        <f>_xlfn.NUMBERVALUE(MID(aoc_02_input[[#This Row],[InputNumbers]],aoc_02_input[[#This Row],[PosDash]]+1,5))</f>
        <v>5</v>
      </c>
      <c r="G784" s="1" t="str">
        <f>LEFT(aoc_02_input[[#This Row],[InputChar]],1)</f>
        <v>k</v>
      </c>
      <c r="H784" s="1" cm="1">
        <f t="array" ref="H784">CountChar(aoc_02_input[[#This Row],[Password]],aoc_02_input[[#This Row],[Char]])</f>
        <v>5</v>
      </c>
      <c r="I784" s="1">
        <f>IF(AND(aoc_02_input[[#This Row],[Int1]]&lt;=aoc_02_input[[#This Row],[CountOfChar]],aoc_02_input[[#This Row],[CountOfChar]]&lt;=aoc_02_input[[#This Row],[Int2]]),1,0)</f>
        <v>1</v>
      </c>
      <c r="J784" s="1" t="str">
        <f>MID(aoc_02_input[[#This Row],[Password]],aoc_02_input[[#This Row],[Int1]],1)</f>
        <v>k</v>
      </c>
      <c r="K784" s="1">
        <f>IF(aoc_02_input[[#This Row],[Pos1]]=aoc_02_input[[#This Row],[Char]],1,0)</f>
        <v>1</v>
      </c>
      <c r="L784" s="1" t="str">
        <f>MID(aoc_02_input[[#This Row],[Password]],aoc_02_input[[#This Row],[Int2]],1)</f>
        <v>k</v>
      </c>
      <c r="M784" s="1">
        <f>IF(aoc_02_input[[#This Row],[Pos2]]=aoc_02_input[[#This Row],[Char]],1,0)</f>
        <v>1</v>
      </c>
      <c r="N784" s="1">
        <f>IF(aoc_02_input[[#This Row],[Pos1Valid]]&lt;&gt;aoc_02_input[[#This Row],[Pos2Valid]],1,0)</f>
        <v>0</v>
      </c>
    </row>
    <row r="785" spans="1:14" x14ac:dyDescent="0.45">
      <c r="A785" s="1" t="s">
        <v>230</v>
      </c>
      <c r="B785" s="1" t="s">
        <v>216</v>
      </c>
      <c r="C785" s="1" t="s">
        <v>1148</v>
      </c>
      <c r="D785" s="1">
        <f>FIND("-",aoc_02_input[[#This Row],[InputNumbers]])</f>
        <v>2</v>
      </c>
      <c r="E785" s="1">
        <f>_xlfn.NUMBERVALUE(LEFT(aoc_02_input[[#This Row],[InputNumbers]],aoc_02_input[[#This Row],[PosDash]]-1))</f>
        <v>2</v>
      </c>
      <c r="F785" s="1">
        <f>_xlfn.NUMBERVALUE(MID(aoc_02_input[[#This Row],[InputNumbers]],aoc_02_input[[#This Row],[PosDash]]+1,5))</f>
        <v>4</v>
      </c>
      <c r="G785" s="1" t="str">
        <f>LEFT(aoc_02_input[[#This Row],[InputChar]],1)</f>
        <v>z</v>
      </c>
      <c r="H785" s="1" cm="1">
        <f t="array" ref="H785">CountChar(aoc_02_input[[#This Row],[Password]],aoc_02_input[[#This Row],[Char]])</f>
        <v>7</v>
      </c>
      <c r="I785" s="1">
        <f>IF(AND(aoc_02_input[[#This Row],[Int1]]&lt;=aoc_02_input[[#This Row],[CountOfChar]],aoc_02_input[[#This Row],[CountOfChar]]&lt;=aoc_02_input[[#This Row],[Int2]]),1,0)</f>
        <v>0</v>
      </c>
      <c r="J785" s="1" t="str">
        <f>MID(aoc_02_input[[#This Row],[Password]],aoc_02_input[[#This Row],[Int1]],1)</f>
        <v>z</v>
      </c>
      <c r="K785" s="1">
        <f>IF(aoc_02_input[[#This Row],[Pos1]]=aoc_02_input[[#This Row],[Char]],1,0)</f>
        <v>1</v>
      </c>
      <c r="L785" s="1" t="str">
        <f>MID(aoc_02_input[[#This Row],[Password]],aoc_02_input[[#This Row],[Int2]],1)</f>
        <v>z</v>
      </c>
      <c r="M785" s="1">
        <f>IF(aoc_02_input[[#This Row],[Pos2]]=aoc_02_input[[#This Row],[Char]],1,0)</f>
        <v>1</v>
      </c>
      <c r="N785" s="1">
        <f>IF(aoc_02_input[[#This Row],[Pos1Valid]]&lt;&gt;aoc_02_input[[#This Row],[Pos2Valid]],1,0)</f>
        <v>0</v>
      </c>
    </row>
    <row r="786" spans="1:14" x14ac:dyDescent="0.45">
      <c r="A786" s="1" t="s">
        <v>251</v>
      </c>
      <c r="B786" s="1" t="s">
        <v>249</v>
      </c>
      <c r="C786" s="1" t="s">
        <v>1149</v>
      </c>
      <c r="D786" s="1">
        <f>FIND("-",aoc_02_input[[#This Row],[InputNumbers]])</f>
        <v>2</v>
      </c>
      <c r="E786" s="1">
        <f>_xlfn.NUMBERVALUE(LEFT(aoc_02_input[[#This Row],[InputNumbers]],aoc_02_input[[#This Row],[PosDash]]-1))</f>
        <v>5</v>
      </c>
      <c r="F786" s="1">
        <f>_xlfn.NUMBERVALUE(MID(aoc_02_input[[#This Row],[InputNumbers]],aoc_02_input[[#This Row],[PosDash]]+1,5))</f>
        <v>6</v>
      </c>
      <c r="G786" s="1" t="str">
        <f>LEFT(aoc_02_input[[#This Row],[InputChar]],1)</f>
        <v>q</v>
      </c>
      <c r="H786" s="1" cm="1">
        <f t="array" ref="H786">CountChar(aoc_02_input[[#This Row],[Password]],aoc_02_input[[#This Row],[Char]])</f>
        <v>6</v>
      </c>
      <c r="I786" s="1">
        <f>IF(AND(aoc_02_input[[#This Row],[Int1]]&lt;=aoc_02_input[[#This Row],[CountOfChar]],aoc_02_input[[#This Row],[CountOfChar]]&lt;=aoc_02_input[[#This Row],[Int2]]),1,0)</f>
        <v>1</v>
      </c>
      <c r="J786" s="1" t="str">
        <f>MID(aoc_02_input[[#This Row],[Password]],aoc_02_input[[#This Row],[Int1]],1)</f>
        <v>q</v>
      </c>
      <c r="K786" s="1">
        <f>IF(aoc_02_input[[#This Row],[Pos1]]=aoc_02_input[[#This Row],[Char]],1,0)</f>
        <v>1</v>
      </c>
      <c r="L786" s="1" t="str">
        <f>MID(aoc_02_input[[#This Row],[Password]],aoc_02_input[[#This Row],[Int2]],1)</f>
        <v>q</v>
      </c>
      <c r="M786" s="1">
        <f>IF(aoc_02_input[[#This Row],[Pos2]]=aoc_02_input[[#This Row],[Char]],1,0)</f>
        <v>1</v>
      </c>
      <c r="N786" s="1">
        <f>IF(aoc_02_input[[#This Row],[Pos1Valid]]&lt;&gt;aoc_02_input[[#This Row],[Pos2Valid]],1,0)</f>
        <v>0</v>
      </c>
    </row>
    <row r="787" spans="1:14" x14ac:dyDescent="0.45">
      <c r="A787" s="1" t="s">
        <v>251</v>
      </c>
      <c r="B787" s="1" t="s">
        <v>238</v>
      </c>
      <c r="C787" s="1" t="s">
        <v>1150</v>
      </c>
      <c r="D787" s="1">
        <f>FIND("-",aoc_02_input[[#This Row],[InputNumbers]])</f>
        <v>2</v>
      </c>
      <c r="E787" s="1">
        <f>_xlfn.NUMBERVALUE(LEFT(aoc_02_input[[#This Row],[InputNumbers]],aoc_02_input[[#This Row],[PosDash]]-1))</f>
        <v>5</v>
      </c>
      <c r="F787" s="1">
        <f>_xlfn.NUMBERVALUE(MID(aoc_02_input[[#This Row],[InputNumbers]],aoc_02_input[[#This Row],[PosDash]]+1,5))</f>
        <v>6</v>
      </c>
      <c r="G787" s="1" t="str">
        <f>LEFT(aoc_02_input[[#This Row],[InputChar]],1)</f>
        <v>w</v>
      </c>
      <c r="H787" s="1" cm="1">
        <f t="array" ref="H787">CountChar(aoc_02_input[[#This Row],[Password]],aoc_02_input[[#This Row],[Char]])</f>
        <v>7</v>
      </c>
      <c r="I787" s="1">
        <f>IF(AND(aoc_02_input[[#This Row],[Int1]]&lt;=aoc_02_input[[#This Row],[CountOfChar]],aoc_02_input[[#This Row],[CountOfChar]]&lt;=aoc_02_input[[#This Row],[Int2]]),1,0)</f>
        <v>0</v>
      </c>
      <c r="J787" s="1" t="str">
        <f>MID(aoc_02_input[[#This Row],[Password]],aoc_02_input[[#This Row],[Int1]],1)</f>
        <v>w</v>
      </c>
      <c r="K787" s="1">
        <f>IF(aoc_02_input[[#This Row],[Pos1]]=aoc_02_input[[#This Row],[Char]],1,0)</f>
        <v>1</v>
      </c>
      <c r="L787" s="1" t="str">
        <f>MID(aoc_02_input[[#This Row],[Password]],aoc_02_input[[#This Row],[Int2]],1)</f>
        <v>w</v>
      </c>
      <c r="M787" s="1">
        <f>IF(aoc_02_input[[#This Row],[Pos2]]=aoc_02_input[[#This Row],[Char]],1,0)</f>
        <v>1</v>
      </c>
      <c r="N787" s="1">
        <f>IF(aoc_02_input[[#This Row],[Pos1Valid]]&lt;&gt;aoc_02_input[[#This Row],[Pos2Valid]],1,0)</f>
        <v>0</v>
      </c>
    </row>
    <row r="788" spans="1:14" x14ac:dyDescent="0.45">
      <c r="A788" s="1" t="s">
        <v>731</v>
      </c>
      <c r="B788" s="1" t="s">
        <v>238</v>
      </c>
      <c r="C788" s="1" t="s">
        <v>1151</v>
      </c>
      <c r="D788" s="1">
        <f>FIND("-",aoc_02_input[[#This Row],[InputNumbers]])</f>
        <v>2</v>
      </c>
      <c r="E788" s="1">
        <f>_xlfn.NUMBERVALUE(LEFT(aoc_02_input[[#This Row],[InputNumbers]],aoc_02_input[[#This Row],[PosDash]]-1))</f>
        <v>4</v>
      </c>
      <c r="F788" s="1">
        <f>_xlfn.NUMBERVALUE(MID(aoc_02_input[[#This Row],[InputNumbers]],aoc_02_input[[#This Row],[PosDash]]+1,5))</f>
        <v>10</v>
      </c>
      <c r="G788" s="1" t="str">
        <f>LEFT(aoc_02_input[[#This Row],[InputChar]],1)</f>
        <v>w</v>
      </c>
      <c r="H788" s="1" cm="1">
        <f t="array" ref="H788">CountChar(aoc_02_input[[#This Row],[Password]],aoc_02_input[[#This Row],[Char]])</f>
        <v>7</v>
      </c>
      <c r="I788" s="1">
        <f>IF(AND(aoc_02_input[[#This Row],[Int1]]&lt;=aoc_02_input[[#This Row],[CountOfChar]],aoc_02_input[[#This Row],[CountOfChar]]&lt;=aoc_02_input[[#This Row],[Int2]]),1,0)</f>
        <v>1</v>
      </c>
      <c r="J788" s="1" t="str">
        <f>MID(aoc_02_input[[#This Row],[Password]],aoc_02_input[[#This Row],[Int1]],1)</f>
        <v>b</v>
      </c>
      <c r="K788" s="1">
        <f>IF(aoc_02_input[[#This Row],[Pos1]]=aoc_02_input[[#This Row],[Char]],1,0)</f>
        <v>0</v>
      </c>
      <c r="L788" s="1" t="str">
        <f>MID(aoc_02_input[[#This Row],[Password]],aoc_02_input[[#This Row],[Int2]],1)</f>
        <v>n</v>
      </c>
      <c r="M788" s="1">
        <f>IF(aoc_02_input[[#This Row],[Pos2]]=aoc_02_input[[#This Row],[Char]],1,0)</f>
        <v>0</v>
      </c>
      <c r="N788" s="1">
        <f>IF(aoc_02_input[[#This Row],[Pos1Valid]]&lt;&gt;aoc_02_input[[#This Row],[Pos2Valid]],1,0)</f>
        <v>0</v>
      </c>
    </row>
    <row r="789" spans="1:14" x14ac:dyDescent="0.45">
      <c r="A789" s="1" t="s">
        <v>698</v>
      </c>
      <c r="B789" s="1" t="s">
        <v>246</v>
      </c>
      <c r="C789" s="1" t="s">
        <v>1152</v>
      </c>
      <c r="D789" s="1">
        <f>FIND("-",aoc_02_input[[#This Row],[InputNumbers]])</f>
        <v>2</v>
      </c>
      <c r="E789" s="1">
        <f>_xlfn.NUMBERVALUE(LEFT(aoc_02_input[[#This Row],[InputNumbers]],aoc_02_input[[#This Row],[PosDash]]-1))</f>
        <v>5</v>
      </c>
      <c r="F789" s="1">
        <f>_xlfn.NUMBERVALUE(MID(aoc_02_input[[#This Row],[InputNumbers]],aoc_02_input[[#This Row],[PosDash]]+1,5))</f>
        <v>10</v>
      </c>
      <c r="G789" s="1" t="str">
        <f>LEFT(aoc_02_input[[#This Row],[InputChar]],1)</f>
        <v>n</v>
      </c>
      <c r="H789" s="1" cm="1">
        <f t="array" ref="H789">CountChar(aoc_02_input[[#This Row],[Password]],aoc_02_input[[#This Row],[Char]])</f>
        <v>10</v>
      </c>
      <c r="I789" s="1">
        <f>IF(AND(aoc_02_input[[#This Row],[Int1]]&lt;=aoc_02_input[[#This Row],[CountOfChar]],aoc_02_input[[#This Row],[CountOfChar]]&lt;=aoc_02_input[[#This Row],[Int2]]),1,0)</f>
        <v>1</v>
      </c>
      <c r="J789" s="1" t="str">
        <f>MID(aoc_02_input[[#This Row],[Password]],aoc_02_input[[#This Row],[Int1]],1)</f>
        <v>n</v>
      </c>
      <c r="K789" s="1">
        <f>IF(aoc_02_input[[#This Row],[Pos1]]=aoc_02_input[[#This Row],[Char]],1,0)</f>
        <v>1</v>
      </c>
      <c r="L789" s="1" t="str">
        <f>MID(aoc_02_input[[#This Row],[Password]],aoc_02_input[[#This Row],[Int2]],1)</f>
        <v>j</v>
      </c>
      <c r="M789" s="1">
        <f>IF(aoc_02_input[[#This Row],[Pos2]]=aoc_02_input[[#This Row],[Char]],1,0)</f>
        <v>0</v>
      </c>
      <c r="N789" s="1">
        <f>IF(aoc_02_input[[#This Row],[Pos1Valid]]&lt;&gt;aoc_02_input[[#This Row],[Pos2Valid]],1,0)</f>
        <v>1</v>
      </c>
    </row>
    <row r="790" spans="1:14" x14ac:dyDescent="0.45">
      <c r="A790" s="1" t="s">
        <v>561</v>
      </c>
      <c r="B790" s="1" t="s">
        <v>305</v>
      </c>
      <c r="C790" s="1" t="s">
        <v>1153</v>
      </c>
      <c r="D790" s="1">
        <f>FIND("-",aoc_02_input[[#This Row],[InputNumbers]])</f>
        <v>2</v>
      </c>
      <c r="E790" s="1">
        <f>_xlfn.NUMBERVALUE(LEFT(aoc_02_input[[#This Row],[InputNumbers]],aoc_02_input[[#This Row],[PosDash]]-1))</f>
        <v>4</v>
      </c>
      <c r="F790" s="1">
        <f>_xlfn.NUMBERVALUE(MID(aoc_02_input[[#This Row],[InputNumbers]],aoc_02_input[[#This Row],[PosDash]]+1,5))</f>
        <v>14</v>
      </c>
      <c r="G790" s="1" t="str">
        <f>LEFT(aoc_02_input[[#This Row],[InputChar]],1)</f>
        <v>s</v>
      </c>
      <c r="H790" s="1" cm="1">
        <f t="array" ref="H790">CountChar(aoc_02_input[[#This Row],[Password]],aoc_02_input[[#This Row],[Char]])</f>
        <v>2</v>
      </c>
      <c r="I790" s="1">
        <f>IF(AND(aoc_02_input[[#This Row],[Int1]]&lt;=aoc_02_input[[#This Row],[CountOfChar]],aoc_02_input[[#This Row],[CountOfChar]]&lt;=aoc_02_input[[#This Row],[Int2]]),1,0)</f>
        <v>0</v>
      </c>
      <c r="J790" s="1" t="str">
        <f>MID(aoc_02_input[[#This Row],[Password]],aoc_02_input[[#This Row],[Int1]],1)</f>
        <v>s</v>
      </c>
      <c r="K790" s="1">
        <f>IF(aoc_02_input[[#This Row],[Pos1]]=aoc_02_input[[#This Row],[Char]],1,0)</f>
        <v>1</v>
      </c>
      <c r="L790" s="1" t="str">
        <f>MID(aoc_02_input[[#This Row],[Password]],aoc_02_input[[#This Row],[Int2]],1)</f>
        <v>g</v>
      </c>
      <c r="M790" s="1">
        <f>IF(aoc_02_input[[#This Row],[Pos2]]=aoc_02_input[[#This Row],[Char]],1,0)</f>
        <v>0</v>
      </c>
      <c r="N790" s="1">
        <f>IF(aoc_02_input[[#This Row],[Pos1Valid]]&lt;&gt;aoc_02_input[[#This Row],[Pos2Valid]],1,0)</f>
        <v>1</v>
      </c>
    </row>
    <row r="791" spans="1:14" x14ac:dyDescent="0.45">
      <c r="A791" s="1" t="s">
        <v>394</v>
      </c>
      <c r="B791" s="1" t="s">
        <v>252</v>
      </c>
      <c r="C791" s="1" t="s">
        <v>1154</v>
      </c>
      <c r="D791" s="1">
        <f>FIND("-",aoc_02_input[[#This Row],[InputNumbers]])</f>
        <v>2</v>
      </c>
      <c r="E791" s="1">
        <f>_xlfn.NUMBERVALUE(LEFT(aoc_02_input[[#This Row],[InputNumbers]],aoc_02_input[[#This Row],[PosDash]]-1))</f>
        <v>4</v>
      </c>
      <c r="F791" s="1">
        <f>_xlfn.NUMBERVALUE(MID(aoc_02_input[[#This Row],[InputNumbers]],aoc_02_input[[#This Row],[PosDash]]+1,5))</f>
        <v>7</v>
      </c>
      <c r="G791" s="1" t="str">
        <f>LEFT(aoc_02_input[[#This Row],[InputChar]],1)</f>
        <v>p</v>
      </c>
      <c r="H791" s="1" cm="1">
        <f t="array" ref="H791">CountChar(aoc_02_input[[#This Row],[Password]],aoc_02_input[[#This Row],[Char]])</f>
        <v>4</v>
      </c>
      <c r="I791" s="1">
        <f>IF(AND(aoc_02_input[[#This Row],[Int1]]&lt;=aoc_02_input[[#This Row],[CountOfChar]],aoc_02_input[[#This Row],[CountOfChar]]&lt;=aoc_02_input[[#This Row],[Int2]]),1,0)</f>
        <v>1</v>
      </c>
      <c r="J791" s="1" t="str">
        <f>MID(aoc_02_input[[#This Row],[Password]],aoc_02_input[[#This Row],[Int1]],1)</f>
        <v>c</v>
      </c>
      <c r="K791" s="1">
        <f>IF(aoc_02_input[[#This Row],[Pos1]]=aoc_02_input[[#This Row],[Char]],1,0)</f>
        <v>0</v>
      </c>
      <c r="L791" s="1" t="str">
        <f>MID(aoc_02_input[[#This Row],[Password]],aoc_02_input[[#This Row],[Int2]],1)</f>
        <v>p</v>
      </c>
      <c r="M791" s="1">
        <f>IF(aoc_02_input[[#This Row],[Pos2]]=aoc_02_input[[#This Row],[Char]],1,0)</f>
        <v>1</v>
      </c>
      <c r="N791" s="1">
        <f>IF(aoc_02_input[[#This Row],[Pos1Valid]]&lt;&gt;aoc_02_input[[#This Row],[Pos2Valid]],1,0)</f>
        <v>1</v>
      </c>
    </row>
    <row r="792" spans="1:14" x14ac:dyDescent="0.45">
      <c r="A792" s="1" t="s">
        <v>212</v>
      </c>
      <c r="B792" s="1" t="s">
        <v>278</v>
      </c>
      <c r="C792" s="1" t="s">
        <v>1155</v>
      </c>
      <c r="D792" s="1">
        <f>FIND("-",aoc_02_input[[#This Row],[InputNumbers]])</f>
        <v>2</v>
      </c>
      <c r="E792" s="1">
        <f>_xlfn.NUMBERVALUE(LEFT(aoc_02_input[[#This Row],[InputNumbers]],aoc_02_input[[#This Row],[PosDash]]-1))</f>
        <v>2</v>
      </c>
      <c r="F792" s="1">
        <f>_xlfn.NUMBERVALUE(MID(aoc_02_input[[#This Row],[InputNumbers]],aoc_02_input[[#This Row],[PosDash]]+1,5))</f>
        <v>5</v>
      </c>
      <c r="G792" s="1" t="str">
        <f>LEFT(aoc_02_input[[#This Row],[InputChar]],1)</f>
        <v>x</v>
      </c>
      <c r="H792" s="1" cm="1">
        <f t="array" ref="H792">CountChar(aoc_02_input[[#This Row],[Password]],aoc_02_input[[#This Row],[Char]])</f>
        <v>5</v>
      </c>
      <c r="I792" s="1">
        <f>IF(AND(aoc_02_input[[#This Row],[Int1]]&lt;=aoc_02_input[[#This Row],[CountOfChar]],aoc_02_input[[#This Row],[CountOfChar]]&lt;=aoc_02_input[[#This Row],[Int2]]),1,0)</f>
        <v>1</v>
      </c>
      <c r="J792" s="1" t="str">
        <f>MID(aoc_02_input[[#This Row],[Password]],aoc_02_input[[#This Row],[Int1]],1)</f>
        <v>x</v>
      </c>
      <c r="K792" s="1">
        <f>IF(aoc_02_input[[#This Row],[Pos1]]=aoc_02_input[[#This Row],[Char]],1,0)</f>
        <v>1</v>
      </c>
      <c r="L792" s="1" t="str">
        <f>MID(aoc_02_input[[#This Row],[Password]],aoc_02_input[[#This Row],[Int2]],1)</f>
        <v>v</v>
      </c>
      <c r="M792" s="1">
        <f>IF(aoc_02_input[[#This Row],[Pos2]]=aoc_02_input[[#This Row],[Char]],1,0)</f>
        <v>0</v>
      </c>
      <c r="N792" s="1">
        <f>IF(aoc_02_input[[#This Row],[Pos1Valid]]&lt;&gt;aoc_02_input[[#This Row],[Pos2Valid]],1,0)</f>
        <v>1</v>
      </c>
    </row>
    <row r="793" spans="1:14" x14ac:dyDescent="0.45">
      <c r="A793" s="1" t="s">
        <v>309</v>
      </c>
      <c r="B793" s="1" t="s">
        <v>219</v>
      </c>
      <c r="C793" s="1" t="s">
        <v>1156</v>
      </c>
      <c r="D793" s="1">
        <f>FIND("-",aoc_02_input[[#This Row],[InputNumbers]])</f>
        <v>2</v>
      </c>
      <c r="E793" s="1">
        <f>_xlfn.NUMBERVALUE(LEFT(aoc_02_input[[#This Row],[InputNumbers]],aoc_02_input[[#This Row],[PosDash]]-1))</f>
        <v>8</v>
      </c>
      <c r="F793" s="1">
        <f>_xlfn.NUMBERVALUE(MID(aoc_02_input[[#This Row],[InputNumbers]],aoc_02_input[[#This Row],[PosDash]]+1,5))</f>
        <v>11</v>
      </c>
      <c r="G793" s="1" t="str">
        <f>LEFT(aoc_02_input[[#This Row],[InputChar]],1)</f>
        <v>g</v>
      </c>
      <c r="H793" s="1" cm="1">
        <f t="array" ref="H793">CountChar(aoc_02_input[[#This Row],[Password]],aoc_02_input[[#This Row],[Char]])</f>
        <v>9</v>
      </c>
      <c r="I793" s="1">
        <f>IF(AND(aoc_02_input[[#This Row],[Int1]]&lt;=aoc_02_input[[#This Row],[CountOfChar]],aoc_02_input[[#This Row],[CountOfChar]]&lt;=aoc_02_input[[#This Row],[Int2]]),1,0)</f>
        <v>1</v>
      </c>
      <c r="J793" s="1" t="str">
        <f>MID(aoc_02_input[[#This Row],[Password]],aoc_02_input[[#This Row],[Int1]],1)</f>
        <v>r</v>
      </c>
      <c r="K793" s="1">
        <f>IF(aoc_02_input[[#This Row],[Pos1]]=aoc_02_input[[#This Row],[Char]],1,0)</f>
        <v>0</v>
      </c>
      <c r="L793" s="1" t="str">
        <f>MID(aoc_02_input[[#This Row],[Password]],aoc_02_input[[#This Row],[Int2]],1)</f>
        <v>k</v>
      </c>
      <c r="M793" s="1">
        <f>IF(aoc_02_input[[#This Row],[Pos2]]=aoc_02_input[[#This Row],[Char]],1,0)</f>
        <v>0</v>
      </c>
      <c r="N793" s="1">
        <f>IF(aoc_02_input[[#This Row],[Pos1Valid]]&lt;&gt;aoc_02_input[[#This Row],[Pos2Valid]],1,0)</f>
        <v>0</v>
      </c>
    </row>
    <row r="794" spans="1:14" x14ac:dyDescent="0.45">
      <c r="A794" s="1" t="s">
        <v>309</v>
      </c>
      <c r="B794" s="1" t="s">
        <v>225</v>
      </c>
      <c r="C794" s="1" t="s">
        <v>1157</v>
      </c>
      <c r="D794" s="1">
        <f>FIND("-",aoc_02_input[[#This Row],[InputNumbers]])</f>
        <v>2</v>
      </c>
      <c r="E794" s="1">
        <f>_xlfn.NUMBERVALUE(LEFT(aoc_02_input[[#This Row],[InputNumbers]],aoc_02_input[[#This Row],[PosDash]]-1))</f>
        <v>8</v>
      </c>
      <c r="F794" s="1">
        <f>_xlfn.NUMBERVALUE(MID(aoc_02_input[[#This Row],[InputNumbers]],aoc_02_input[[#This Row],[PosDash]]+1,5))</f>
        <v>11</v>
      </c>
      <c r="G794" s="1" t="str">
        <f>LEFT(aoc_02_input[[#This Row],[InputChar]],1)</f>
        <v>j</v>
      </c>
      <c r="H794" s="1" cm="1">
        <f t="array" ref="H794">CountChar(aoc_02_input[[#This Row],[Password]],aoc_02_input[[#This Row],[Char]])</f>
        <v>6</v>
      </c>
      <c r="I794" s="1">
        <f>IF(AND(aoc_02_input[[#This Row],[Int1]]&lt;=aoc_02_input[[#This Row],[CountOfChar]],aoc_02_input[[#This Row],[CountOfChar]]&lt;=aoc_02_input[[#This Row],[Int2]]),1,0)</f>
        <v>0</v>
      </c>
      <c r="J794" s="1" t="str">
        <f>MID(aoc_02_input[[#This Row],[Password]],aoc_02_input[[#This Row],[Int1]],1)</f>
        <v>j</v>
      </c>
      <c r="K794" s="1">
        <f>IF(aoc_02_input[[#This Row],[Pos1]]=aoc_02_input[[#This Row],[Char]],1,0)</f>
        <v>1</v>
      </c>
      <c r="L794" s="1" t="str">
        <f>MID(aoc_02_input[[#This Row],[Password]],aoc_02_input[[#This Row],[Int2]],1)</f>
        <v>w</v>
      </c>
      <c r="M794" s="1">
        <f>IF(aoc_02_input[[#This Row],[Pos2]]=aoc_02_input[[#This Row],[Char]],1,0)</f>
        <v>0</v>
      </c>
      <c r="N794" s="1">
        <f>IF(aoc_02_input[[#This Row],[Pos1Valid]]&lt;&gt;aoc_02_input[[#This Row],[Pos2Valid]],1,0)</f>
        <v>1</v>
      </c>
    </row>
    <row r="795" spans="1:14" x14ac:dyDescent="0.45">
      <c r="A795" s="1" t="s">
        <v>452</v>
      </c>
      <c r="B795" s="1" t="s">
        <v>213</v>
      </c>
      <c r="C795" s="1" t="s">
        <v>1158</v>
      </c>
      <c r="D795" s="1">
        <f>FIND("-",aoc_02_input[[#This Row],[InputNumbers]])</f>
        <v>3</v>
      </c>
      <c r="E795" s="1">
        <f>_xlfn.NUMBERVALUE(LEFT(aoc_02_input[[#This Row],[InputNumbers]],aoc_02_input[[#This Row],[PosDash]]-1))</f>
        <v>14</v>
      </c>
      <c r="F795" s="1">
        <f>_xlfn.NUMBERVALUE(MID(aoc_02_input[[#This Row],[InputNumbers]],aoc_02_input[[#This Row],[PosDash]]+1,5))</f>
        <v>15</v>
      </c>
      <c r="G795" s="1" t="str">
        <f>LEFT(aoc_02_input[[#This Row],[InputChar]],1)</f>
        <v>m</v>
      </c>
      <c r="H795" s="1" cm="1">
        <f t="array" ref="H795">CountChar(aoc_02_input[[#This Row],[Password]],aoc_02_input[[#This Row],[Char]])</f>
        <v>12</v>
      </c>
      <c r="I795" s="1">
        <f>IF(AND(aoc_02_input[[#This Row],[Int1]]&lt;=aoc_02_input[[#This Row],[CountOfChar]],aoc_02_input[[#This Row],[CountOfChar]]&lt;=aoc_02_input[[#This Row],[Int2]]),1,0)</f>
        <v>0</v>
      </c>
      <c r="J795" s="1" t="str">
        <f>MID(aoc_02_input[[#This Row],[Password]],aoc_02_input[[#This Row],[Int1]],1)</f>
        <v>r</v>
      </c>
      <c r="K795" s="1">
        <f>IF(aoc_02_input[[#This Row],[Pos1]]=aoc_02_input[[#This Row],[Char]],1,0)</f>
        <v>0</v>
      </c>
      <c r="L795" s="1" t="str">
        <f>MID(aoc_02_input[[#This Row],[Password]],aoc_02_input[[#This Row],[Int2]],1)</f>
        <v>v</v>
      </c>
      <c r="M795" s="1">
        <f>IF(aoc_02_input[[#This Row],[Pos2]]=aoc_02_input[[#This Row],[Char]],1,0)</f>
        <v>0</v>
      </c>
      <c r="N795" s="1">
        <f>IF(aoc_02_input[[#This Row],[Pos1Valid]]&lt;&gt;aoc_02_input[[#This Row],[Pos2Valid]],1,0)</f>
        <v>0</v>
      </c>
    </row>
    <row r="796" spans="1:14" x14ac:dyDescent="0.45">
      <c r="A796" s="1" t="s">
        <v>299</v>
      </c>
      <c r="B796" s="1" t="s">
        <v>228</v>
      </c>
      <c r="C796" s="1" t="s">
        <v>1159</v>
      </c>
      <c r="D796" s="1">
        <f>FIND("-",aoc_02_input[[#This Row],[InputNumbers]])</f>
        <v>2</v>
      </c>
      <c r="E796" s="1">
        <f>_xlfn.NUMBERVALUE(LEFT(aoc_02_input[[#This Row],[InputNumbers]],aoc_02_input[[#This Row],[PosDash]]-1))</f>
        <v>1</v>
      </c>
      <c r="F796" s="1">
        <f>_xlfn.NUMBERVALUE(MID(aoc_02_input[[#This Row],[InputNumbers]],aoc_02_input[[#This Row],[PosDash]]+1,5))</f>
        <v>2</v>
      </c>
      <c r="G796" s="1" t="str">
        <f>LEFT(aoc_02_input[[#This Row],[InputChar]],1)</f>
        <v>t</v>
      </c>
      <c r="H796" s="1" cm="1">
        <f t="array" ref="H796">CountChar(aoc_02_input[[#This Row],[Password]],aoc_02_input[[#This Row],[Char]])</f>
        <v>2</v>
      </c>
      <c r="I796" s="1">
        <f>IF(AND(aoc_02_input[[#This Row],[Int1]]&lt;=aoc_02_input[[#This Row],[CountOfChar]],aoc_02_input[[#This Row],[CountOfChar]]&lt;=aoc_02_input[[#This Row],[Int2]]),1,0)</f>
        <v>1</v>
      </c>
      <c r="J796" s="1" t="str">
        <f>MID(aoc_02_input[[#This Row],[Password]],aoc_02_input[[#This Row],[Int1]],1)</f>
        <v>t</v>
      </c>
      <c r="K796" s="1">
        <f>IF(aoc_02_input[[#This Row],[Pos1]]=aoc_02_input[[#This Row],[Char]],1,0)</f>
        <v>1</v>
      </c>
      <c r="L796" s="1" t="str">
        <f>MID(aoc_02_input[[#This Row],[Password]],aoc_02_input[[#This Row],[Int2]],1)</f>
        <v>r</v>
      </c>
      <c r="M796" s="1">
        <f>IF(aoc_02_input[[#This Row],[Pos2]]=aoc_02_input[[#This Row],[Char]],1,0)</f>
        <v>0</v>
      </c>
      <c r="N796" s="1">
        <f>IF(aoc_02_input[[#This Row],[Pos1Valid]]&lt;&gt;aoc_02_input[[#This Row],[Pos2Valid]],1,0)</f>
        <v>1</v>
      </c>
    </row>
    <row r="797" spans="1:14" x14ac:dyDescent="0.45">
      <c r="A797" s="1" t="s">
        <v>361</v>
      </c>
      <c r="B797" s="1" t="s">
        <v>305</v>
      </c>
      <c r="C797" s="1" t="s">
        <v>1160</v>
      </c>
      <c r="D797" s="1">
        <f>FIND("-",aoc_02_input[[#This Row],[InputNumbers]])</f>
        <v>2</v>
      </c>
      <c r="E797" s="1">
        <f>_xlfn.NUMBERVALUE(LEFT(aoc_02_input[[#This Row],[InputNumbers]],aoc_02_input[[#This Row],[PosDash]]-1))</f>
        <v>2</v>
      </c>
      <c r="F797" s="1">
        <f>_xlfn.NUMBERVALUE(MID(aoc_02_input[[#This Row],[InputNumbers]],aoc_02_input[[#This Row],[PosDash]]+1,5))</f>
        <v>7</v>
      </c>
      <c r="G797" s="1" t="str">
        <f>LEFT(aoc_02_input[[#This Row],[InputChar]],1)</f>
        <v>s</v>
      </c>
      <c r="H797" s="1" cm="1">
        <f t="array" ref="H797">CountChar(aoc_02_input[[#This Row],[Password]],aoc_02_input[[#This Row],[Char]])</f>
        <v>5</v>
      </c>
      <c r="I797" s="1">
        <f>IF(AND(aoc_02_input[[#This Row],[Int1]]&lt;=aoc_02_input[[#This Row],[CountOfChar]],aoc_02_input[[#This Row],[CountOfChar]]&lt;=aoc_02_input[[#This Row],[Int2]]),1,0)</f>
        <v>1</v>
      </c>
      <c r="J797" s="1" t="str">
        <f>MID(aoc_02_input[[#This Row],[Password]],aoc_02_input[[#This Row],[Int1]],1)</f>
        <v>q</v>
      </c>
      <c r="K797" s="1">
        <f>IF(aoc_02_input[[#This Row],[Pos1]]=aoc_02_input[[#This Row],[Char]],1,0)</f>
        <v>0</v>
      </c>
      <c r="L797" s="1" t="str">
        <f>MID(aoc_02_input[[#This Row],[Password]],aoc_02_input[[#This Row],[Int2]],1)</f>
        <v>s</v>
      </c>
      <c r="M797" s="1">
        <f>IF(aoc_02_input[[#This Row],[Pos2]]=aoc_02_input[[#This Row],[Char]],1,0)</f>
        <v>1</v>
      </c>
      <c r="N797" s="1">
        <f>IF(aoc_02_input[[#This Row],[Pos1Valid]]&lt;&gt;aoc_02_input[[#This Row],[Pos2Valid]],1,0)</f>
        <v>1</v>
      </c>
    </row>
    <row r="798" spans="1:14" x14ac:dyDescent="0.45">
      <c r="A798" s="1" t="s">
        <v>232</v>
      </c>
      <c r="B798" s="1" t="s">
        <v>210</v>
      </c>
      <c r="C798" s="1" t="s">
        <v>1161</v>
      </c>
      <c r="D798" s="1">
        <f>FIND("-",aoc_02_input[[#This Row],[InputNumbers]])</f>
        <v>2</v>
      </c>
      <c r="E798" s="1">
        <f>_xlfn.NUMBERVALUE(LEFT(aoc_02_input[[#This Row],[InputNumbers]],aoc_02_input[[#This Row],[PosDash]]-1))</f>
        <v>4</v>
      </c>
      <c r="F798" s="1">
        <f>_xlfn.NUMBERVALUE(MID(aoc_02_input[[#This Row],[InputNumbers]],aoc_02_input[[#This Row],[PosDash]]+1,5))</f>
        <v>6</v>
      </c>
      <c r="G798" s="1" t="str">
        <f>LEFT(aoc_02_input[[#This Row],[InputChar]],1)</f>
        <v>v</v>
      </c>
      <c r="H798" s="1" cm="1">
        <f t="array" ref="H798">CountChar(aoc_02_input[[#This Row],[Password]],aoc_02_input[[#This Row],[Char]])</f>
        <v>5</v>
      </c>
      <c r="I798" s="1">
        <f>IF(AND(aoc_02_input[[#This Row],[Int1]]&lt;=aoc_02_input[[#This Row],[CountOfChar]],aoc_02_input[[#This Row],[CountOfChar]]&lt;=aoc_02_input[[#This Row],[Int2]]),1,0)</f>
        <v>1</v>
      </c>
      <c r="J798" s="1" t="str">
        <f>MID(aoc_02_input[[#This Row],[Password]],aoc_02_input[[#This Row],[Int1]],1)</f>
        <v>v</v>
      </c>
      <c r="K798" s="1">
        <f>IF(aoc_02_input[[#This Row],[Pos1]]=aoc_02_input[[#This Row],[Char]],1,0)</f>
        <v>1</v>
      </c>
      <c r="L798" s="1" t="str">
        <f>MID(aoc_02_input[[#This Row],[Password]],aoc_02_input[[#This Row],[Int2]],1)</f>
        <v>w</v>
      </c>
      <c r="M798" s="1">
        <f>IF(aoc_02_input[[#This Row],[Pos2]]=aoc_02_input[[#This Row],[Char]],1,0)</f>
        <v>0</v>
      </c>
      <c r="N798" s="1">
        <f>IF(aoc_02_input[[#This Row],[Pos1Valid]]&lt;&gt;aoc_02_input[[#This Row],[Pos2Valid]],1,0)</f>
        <v>1</v>
      </c>
    </row>
    <row r="799" spans="1:14" x14ac:dyDescent="0.45">
      <c r="A799" s="1" t="s">
        <v>660</v>
      </c>
      <c r="B799" s="1" t="s">
        <v>238</v>
      </c>
      <c r="C799" s="1" t="s">
        <v>1162</v>
      </c>
      <c r="D799" s="1">
        <f>FIND("-",aoc_02_input[[#This Row],[InputNumbers]])</f>
        <v>2</v>
      </c>
      <c r="E799" s="1">
        <f>_xlfn.NUMBERVALUE(LEFT(aoc_02_input[[#This Row],[InputNumbers]],aoc_02_input[[#This Row],[PosDash]]-1))</f>
        <v>4</v>
      </c>
      <c r="F799" s="1">
        <f>_xlfn.NUMBERVALUE(MID(aoc_02_input[[#This Row],[InputNumbers]],aoc_02_input[[#This Row],[PosDash]]+1,5))</f>
        <v>12</v>
      </c>
      <c r="G799" s="1" t="str">
        <f>LEFT(aoc_02_input[[#This Row],[InputChar]],1)</f>
        <v>w</v>
      </c>
      <c r="H799" s="1" cm="1">
        <f t="array" ref="H799">CountChar(aoc_02_input[[#This Row],[Password]],aoc_02_input[[#This Row],[Char]])</f>
        <v>8</v>
      </c>
      <c r="I799" s="1">
        <f>IF(AND(aoc_02_input[[#This Row],[Int1]]&lt;=aoc_02_input[[#This Row],[CountOfChar]],aoc_02_input[[#This Row],[CountOfChar]]&lt;=aoc_02_input[[#This Row],[Int2]]),1,0)</f>
        <v>1</v>
      </c>
      <c r="J799" s="1" t="str">
        <f>MID(aoc_02_input[[#This Row],[Password]],aoc_02_input[[#This Row],[Int1]],1)</f>
        <v>x</v>
      </c>
      <c r="K799" s="1">
        <f>IF(aoc_02_input[[#This Row],[Pos1]]=aoc_02_input[[#This Row],[Char]],1,0)</f>
        <v>0</v>
      </c>
      <c r="L799" s="1" t="str">
        <f>MID(aoc_02_input[[#This Row],[Password]],aoc_02_input[[#This Row],[Int2]],1)</f>
        <v>w</v>
      </c>
      <c r="M799" s="1">
        <f>IF(aoc_02_input[[#This Row],[Pos2]]=aoc_02_input[[#This Row],[Char]],1,0)</f>
        <v>1</v>
      </c>
      <c r="N799" s="1">
        <f>IF(aoc_02_input[[#This Row],[Pos1Valid]]&lt;&gt;aoc_02_input[[#This Row],[Pos2Valid]],1,0)</f>
        <v>1</v>
      </c>
    </row>
    <row r="800" spans="1:14" x14ac:dyDescent="0.45">
      <c r="A800" s="1" t="s">
        <v>256</v>
      </c>
      <c r="B800" s="1" t="s">
        <v>213</v>
      </c>
      <c r="C800" s="1" t="s">
        <v>1163</v>
      </c>
      <c r="D800" s="1">
        <f>FIND("-",aoc_02_input[[#This Row],[InputNumbers]])</f>
        <v>2</v>
      </c>
      <c r="E800" s="1">
        <f>_xlfn.NUMBERVALUE(LEFT(aoc_02_input[[#This Row],[InputNumbers]],aoc_02_input[[#This Row],[PosDash]]-1))</f>
        <v>5</v>
      </c>
      <c r="F800" s="1">
        <f>_xlfn.NUMBERVALUE(MID(aoc_02_input[[#This Row],[InputNumbers]],aoc_02_input[[#This Row],[PosDash]]+1,5))</f>
        <v>7</v>
      </c>
      <c r="G800" s="1" t="str">
        <f>LEFT(aoc_02_input[[#This Row],[InputChar]],1)</f>
        <v>m</v>
      </c>
      <c r="H800" s="1" cm="1">
        <f t="array" ref="H800">CountChar(aoc_02_input[[#This Row],[Password]],aoc_02_input[[#This Row],[Char]])</f>
        <v>12</v>
      </c>
      <c r="I800" s="1">
        <f>IF(AND(aoc_02_input[[#This Row],[Int1]]&lt;=aoc_02_input[[#This Row],[CountOfChar]],aoc_02_input[[#This Row],[CountOfChar]]&lt;=aoc_02_input[[#This Row],[Int2]]),1,0)</f>
        <v>0</v>
      </c>
      <c r="J800" s="1" t="str">
        <f>MID(aoc_02_input[[#This Row],[Password]],aoc_02_input[[#This Row],[Int1]],1)</f>
        <v>p</v>
      </c>
      <c r="K800" s="1">
        <f>IF(aoc_02_input[[#This Row],[Pos1]]=aoc_02_input[[#This Row],[Char]],1,0)</f>
        <v>0</v>
      </c>
      <c r="L800" s="1" t="str">
        <f>MID(aoc_02_input[[#This Row],[Password]],aoc_02_input[[#This Row],[Int2]],1)</f>
        <v>m</v>
      </c>
      <c r="M800" s="1">
        <f>IF(aoc_02_input[[#This Row],[Pos2]]=aoc_02_input[[#This Row],[Char]],1,0)</f>
        <v>1</v>
      </c>
      <c r="N800" s="1">
        <f>IF(aoc_02_input[[#This Row],[Pos1Valid]]&lt;&gt;aoc_02_input[[#This Row],[Pos2Valid]],1,0)</f>
        <v>1</v>
      </c>
    </row>
    <row r="801" spans="1:14" x14ac:dyDescent="0.45">
      <c r="A801" s="1" t="s">
        <v>441</v>
      </c>
      <c r="B801" s="1" t="s">
        <v>314</v>
      </c>
      <c r="C801" s="1" t="s">
        <v>1164</v>
      </c>
      <c r="D801" s="1">
        <f>FIND("-",aoc_02_input[[#This Row],[InputNumbers]])</f>
        <v>3</v>
      </c>
      <c r="E801" s="1">
        <f>_xlfn.NUMBERVALUE(LEFT(aoc_02_input[[#This Row],[InputNumbers]],aoc_02_input[[#This Row],[PosDash]]-1))</f>
        <v>11</v>
      </c>
      <c r="F801" s="1">
        <f>_xlfn.NUMBERVALUE(MID(aoc_02_input[[#This Row],[InputNumbers]],aoc_02_input[[#This Row],[PosDash]]+1,5))</f>
        <v>13</v>
      </c>
      <c r="G801" s="1" t="str">
        <f>LEFT(aoc_02_input[[#This Row],[InputChar]],1)</f>
        <v>h</v>
      </c>
      <c r="H801" s="1" cm="1">
        <f t="array" ref="H801">CountChar(aoc_02_input[[#This Row],[Password]],aoc_02_input[[#This Row],[Char]])</f>
        <v>12</v>
      </c>
      <c r="I801" s="1">
        <f>IF(AND(aoc_02_input[[#This Row],[Int1]]&lt;=aoc_02_input[[#This Row],[CountOfChar]],aoc_02_input[[#This Row],[CountOfChar]]&lt;=aoc_02_input[[#This Row],[Int2]]),1,0)</f>
        <v>1</v>
      </c>
      <c r="J801" s="1" t="str">
        <f>MID(aoc_02_input[[#This Row],[Password]],aoc_02_input[[#This Row],[Int1]],1)</f>
        <v>k</v>
      </c>
      <c r="K801" s="1">
        <f>IF(aoc_02_input[[#This Row],[Pos1]]=aoc_02_input[[#This Row],[Char]],1,0)</f>
        <v>0</v>
      </c>
      <c r="L801" s="1" t="str">
        <f>MID(aoc_02_input[[#This Row],[Password]],aoc_02_input[[#This Row],[Int2]],1)</f>
        <v>q</v>
      </c>
      <c r="M801" s="1">
        <f>IF(aoc_02_input[[#This Row],[Pos2]]=aoc_02_input[[#This Row],[Char]],1,0)</f>
        <v>0</v>
      </c>
      <c r="N801" s="1">
        <f>IF(aoc_02_input[[#This Row],[Pos1Valid]]&lt;&gt;aoc_02_input[[#This Row],[Pos2Valid]],1,0)</f>
        <v>0</v>
      </c>
    </row>
    <row r="802" spans="1:14" x14ac:dyDescent="0.45">
      <c r="A802" s="1" t="s">
        <v>392</v>
      </c>
      <c r="B802" s="1" t="s">
        <v>243</v>
      </c>
      <c r="C802" s="1" t="s">
        <v>1165</v>
      </c>
      <c r="D802" s="1">
        <f>FIND("-",aoc_02_input[[#This Row],[InputNumbers]])</f>
        <v>2</v>
      </c>
      <c r="E802" s="1">
        <f>_xlfn.NUMBERVALUE(LEFT(aoc_02_input[[#This Row],[InputNumbers]],aoc_02_input[[#This Row],[PosDash]]-1))</f>
        <v>8</v>
      </c>
      <c r="F802" s="1">
        <f>_xlfn.NUMBERVALUE(MID(aoc_02_input[[#This Row],[InputNumbers]],aoc_02_input[[#This Row],[PosDash]]+1,5))</f>
        <v>9</v>
      </c>
      <c r="G802" s="1" t="str">
        <f>LEFT(aoc_02_input[[#This Row],[InputChar]],1)</f>
        <v>f</v>
      </c>
      <c r="H802" s="1" cm="1">
        <f t="array" ref="H802">CountChar(aoc_02_input[[#This Row],[Password]],aoc_02_input[[#This Row],[Char]])</f>
        <v>7</v>
      </c>
      <c r="I802" s="1">
        <f>IF(AND(aoc_02_input[[#This Row],[Int1]]&lt;=aoc_02_input[[#This Row],[CountOfChar]],aoc_02_input[[#This Row],[CountOfChar]]&lt;=aoc_02_input[[#This Row],[Int2]]),1,0)</f>
        <v>0</v>
      </c>
      <c r="J802" s="1" t="str">
        <f>MID(aoc_02_input[[#This Row],[Password]],aoc_02_input[[#This Row],[Int1]],1)</f>
        <v>f</v>
      </c>
      <c r="K802" s="1">
        <f>IF(aoc_02_input[[#This Row],[Pos1]]=aoc_02_input[[#This Row],[Char]],1,0)</f>
        <v>1</v>
      </c>
      <c r="L802" s="1" t="str">
        <f>MID(aoc_02_input[[#This Row],[Password]],aoc_02_input[[#This Row],[Int2]],1)</f>
        <v>w</v>
      </c>
      <c r="M802" s="1">
        <f>IF(aoc_02_input[[#This Row],[Pos2]]=aoc_02_input[[#This Row],[Char]],1,0)</f>
        <v>0</v>
      </c>
      <c r="N802" s="1">
        <f>IF(aoc_02_input[[#This Row],[Pos1Valid]]&lt;&gt;aoc_02_input[[#This Row],[Pos2Valid]],1,0)</f>
        <v>1</v>
      </c>
    </row>
    <row r="803" spans="1:14" x14ac:dyDescent="0.45">
      <c r="A803" s="1" t="s">
        <v>288</v>
      </c>
      <c r="B803" s="1" t="s">
        <v>305</v>
      </c>
      <c r="C803" s="1" t="s">
        <v>1166</v>
      </c>
      <c r="D803" s="1">
        <f>FIND("-",aoc_02_input[[#This Row],[InputNumbers]])</f>
        <v>2</v>
      </c>
      <c r="E803" s="1">
        <f>_xlfn.NUMBERVALUE(LEFT(aoc_02_input[[#This Row],[InputNumbers]],aoc_02_input[[#This Row],[PosDash]]-1))</f>
        <v>1</v>
      </c>
      <c r="F803" s="1">
        <f>_xlfn.NUMBERVALUE(MID(aoc_02_input[[#This Row],[InputNumbers]],aoc_02_input[[#This Row],[PosDash]]+1,5))</f>
        <v>4</v>
      </c>
      <c r="G803" s="1" t="str">
        <f>LEFT(aoc_02_input[[#This Row],[InputChar]],1)</f>
        <v>s</v>
      </c>
      <c r="H803" s="1" cm="1">
        <f t="array" ref="H803">CountChar(aoc_02_input[[#This Row],[Password]],aoc_02_input[[#This Row],[Char]])</f>
        <v>7</v>
      </c>
      <c r="I803" s="1">
        <f>IF(AND(aoc_02_input[[#This Row],[Int1]]&lt;=aoc_02_input[[#This Row],[CountOfChar]],aoc_02_input[[#This Row],[CountOfChar]]&lt;=aoc_02_input[[#This Row],[Int2]]),1,0)</f>
        <v>0</v>
      </c>
      <c r="J803" s="1" t="str">
        <f>MID(aoc_02_input[[#This Row],[Password]],aoc_02_input[[#This Row],[Int1]],1)</f>
        <v>s</v>
      </c>
      <c r="K803" s="1">
        <f>IF(aoc_02_input[[#This Row],[Pos1]]=aoc_02_input[[#This Row],[Char]],1,0)</f>
        <v>1</v>
      </c>
      <c r="L803" s="1" t="str">
        <f>MID(aoc_02_input[[#This Row],[Password]],aoc_02_input[[#This Row],[Int2]],1)</f>
        <v>t</v>
      </c>
      <c r="M803" s="1">
        <f>IF(aoc_02_input[[#This Row],[Pos2]]=aoc_02_input[[#This Row],[Char]],1,0)</f>
        <v>0</v>
      </c>
      <c r="N803" s="1">
        <f>IF(aoc_02_input[[#This Row],[Pos1Valid]]&lt;&gt;aoc_02_input[[#This Row],[Pos2Valid]],1,0)</f>
        <v>1</v>
      </c>
    </row>
    <row r="804" spans="1:14" x14ac:dyDescent="0.45">
      <c r="A804" s="1" t="s">
        <v>251</v>
      </c>
      <c r="B804" s="1" t="s">
        <v>252</v>
      </c>
      <c r="C804" s="1" t="s">
        <v>1167</v>
      </c>
      <c r="D804" s="1">
        <f>FIND("-",aoc_02_input[[#This Row],[InputNumbers]])</f>
        <v>2</v>
      </c>
      <c r="E804" s="1">
        <f>_xlfn.NUMBERVALUE(LEFT(aoc_02_input[[#This Row],[InputNumbers]],aoc_02_input[[#This Row],[PosDash]]-1))</f>
        <v>5</v>
      </c>
      <c r="F804" s="1">
        <f>_xlfn.NUMBERVALUE(MID(aoc_02_input[[#This Row],[InputNumbers]],aoc_02_input[[#This Row],[PosDash]]+1,5))</f>
        <v>6</v>
      </c>
      <c r="G804" s="1" t="str">
        <f>LEFT(aoc_02_input[[#This Row],[InputChar]],1)</f>
        <v>p</v>
      </c>
      <c r="H804" s="1" cm="1">
        <f t="array" ref="H804">CountChar(aoc_02_input[[#This Row],[Password]],aoc_02_input[[#This Row],[Char]])</f>
        <v>3</v>
      </c>
      <c r="I804" s="1">
        <f>IF(AND(aoc_02_input[[#This Row],[Int1]]&lt;=aoc_02_input[[#This Row],[CountOfChar]],aoc_02_input[[#This Row],[CountOfChar]]&lt;=aoc_02_input[[#This Row],[Int2]]),1,0)</f>
        <v>0</v>
      </c>
      <c r="J804" s="1" t="str">
        <f>MID(aoc_02_input[[#This Row],[Password]],aoc_02_input[[#This Row],[Int1]],1)</f>
        <v>p</v>
      </c>
      <c r="K804" s="1">
        <f>IF(aoc_02_input[[#This Row],[Pos1]]=aoc_02_input[[#This Row],[Char]],1,0)</f>
        <v>1</v>
      </c>
      <c r="L804" s="1" t="str">
        <f>MID(aoc_02_input[[#This Row],[Password]],aoc_02_input[[#This Row],[Int2]],1)</f>
        <v>p</v>
      </c>
      <c r="M804" s="1">
        <f>IF(aoc_02_input[[#This Row],[Pos2]]=aoc_02_input[[#This Row],[Char]],1,0)</f>
        <v>1</v>
      </c>
      <c r="N804" s="1">
        <f>IF(aoc_02_input[[#This Row],[Pos1Valid]]&lt;&gt;aoc_02_input[[#This Row],[Pos2Valid]],1,0)</f>
        <v>0</v>
      </c>
    </row>
    <row r="805" spans="1:14" x14ac:dyDescent="0.45">
      <c r="A805" s="1" t="s">
        <v>324</v>
      </c>
      <c r="B805" s="1" t="s">
        <v>207</v>
      </c>
      <c r="C805" s="1" t="s">
        <v>1168</v>
      </c>
      <c r="D805" s="1">
        <f>FIND("-",aoc_02_input[[#This Row],[InputNumbers]])</f>
        <v>2</v>
      </c>
      <c r="E805" s="1">
        <f>_xlfn.NUMBERVALUE(LEFT(aoc_02_input[[#This Row],[InputNumbers]],aoc_02_input[[#This Row],[PosDash]]-1))</f>
        <v>1</v>
      </c>
      <c r="F805" s="1">
        <f>_xlfn.NUMBERVALUE(MID(aoc_02_input[[#This Row],[InputNumbers]],aoc_02_input[[#This Row],[PosDash]]+1,5))</f>
        <v>3</v>
      </c>
      <c r="G805" s="1" t="str">
        <f>LEFT(aoc_02_input[[#This Row],[InputChar]],1)</f>
        <v>b</v>
      </c>
      <c r="H805" s="1" cm="1">
        <f t="array" ref="H805">CountChar(aoc_02_input[[#This Row],[Password]],aoc_02_input[[#This Row],[Char]])</f>
        <v>4</v>
      </c>
      <c r="I805" s="1">
        <f>IF(AND(aoc_02_input[[#This Row],[Int1]]&lt;=aoc_02_input[[#This Row],[CountOfChar]],aoc_02_input[[#This Row],[CountOfChar]]&lt;=aoc_02_input[[#This Row],[Int2]]),1,0)</f>
        <v>0</v>
      </c>
      <c r="J805" s="1" t="str">
        <f>MID(aoc_02_input[[#This Row],[Password]],aoc_02_input[[#This Row],[Int1]],1)</f>
        <v>b</v>
      </c>
      <c r="K805" s="1">
        <f>IF(aoc_02_input[[#This Row],[Pos1]]=aoc_02_input[[#This Row],[Char]],1,0)</f>
        <v>1</v>
      </c>
      <c r="L805" s="1" t="str">
        <f>MID(aoc_02_input[[#This Row],[Password]],aoc_02_input[[#This Row],[Int2]],1)</f>
        <v>l</v>
      </c>
      <c r="M805" s="1">
        <f>IF(aoc_02_input[[#This Row],[Pos2]]=aoc_02_input[[#This Row],[Char]],1,0)</f>
        <v>0</v>
      </c>
      <c r="N805" s="1">
        <f>IF(aoc_02_input[[#This Row],[Pos1Valid]]&lt;&gt;aoc_02_input[[#This Row],[Pos2Valid]],1,0)</f>
        <v>1</v>
      </c>
    </row>
    <row r="806" spans="1:14" x14ac:dyDescent="0.45">
      <c r="A806" s="1" t="s">
        <v>352</v>
      </c>
      <c r="B806" s="1" t="s">
        <v>222</v>
      </c>
      <c r="C806" s="1" t="s">
        <v>1169</v>
      </c>
      <c r="D806" s="1">
        <f>FIND("-",aoc_02_input[[#This Row],[InputNumbers]])</f>
        <v>3</v>
      </c>
      <c r="E806" s="1">
        <f>_xlfn.NUMBERVALUE(LEFT(aoc_02_input[[#This Row],[InputNumbers]],aoc_02_input[[#This Row],[PosDash]]-1))</f>
        <v>15</v>
      </c>
      <c r="F806" s="1">
        <f>_xlfn.NUMBERVALUE(MID(aoc_02_input[[#This Row],[InputNumbers]],aoc_02_input[[#This Row],[PosDash]]+1,5))</f>
        <v>16</v>
      </c>
      <c r="G806" s="1" t="str">
        <f>LEFT(aoc_02_input[[#This Row],[InputChar]],1)</f>
        <v>l</v>
      </c>
      <c r="H806" s="1" cm="1">
        <f t="array" ref="H806">CountChar(aoc_02_input[[#This Row],[Password]],aoc_02_input[[#This Row],[Char]])</f>
        <v>4</v>
      </c>
      <c r="I806" s="1">
        <f>IF(AND(aoc_02_input[[#This Row],[Int1]]&lt;=aoc_02_input[[#This Row],[CountOfChar]],aoc_02_input[[#This Row],[CountOfChar]]&lt;=aoc_02_input[[#This Row],[Int2]]),1,0)</f>
        <v>0</v>
      </c>
      <c r="J806" s="1" t="str">
        <f>MID(aoc_02_input[[#This Row],[Password]],aoc_02_input[[#This Row],[Int1]],1)</f>
        <v>l</v>
      </c>
      <c r="K806" s="1">
        <f>IF(aoc_02_input[[#This Row],[Pos1]]=aoc_02_input[[#This Row],[Char]],1,0)</f>
        <v>1</v>
      </c>
      <c r="L806" s="1" t="str">
        <f>MID(aoc_02_input[[#This Row],[Password]],aoc_02_input[[#This Row],[Int2]],1)</f>
        <v>g</v>
      </c>
      <c r="M806" s="1">
        <f>IF(aoc_02_input[[#This Row],[Pos2]]=aoc_02_input[[#This Row],[Char]],1,0)</f>
        <v>0</v>
      </c>
      <c r="N806" s="1">
        <f>IF(aoc_02_input[[#This Row],[Pos1Valid]]&lt;&gt;aoc_02_input[[#This Row],[Pos2Valid]],1,0)</f>
        <v>1</v>
      </c>
    </row>
    <row r="807" spans="1:14" x14ac:dyDescent="0.45">
      <c r="A807" s="1" t="s">
        <v>380</v>
      </c>
      <c r="B807" s="1" t="s">
        <v>314</v>
      </c>
      <c r="C807" s="1" t="s">
        <v>1170</v>
      </c>
      <c r="D807" s="1">
        <f>FIND("-",aoc_02_input[[#This Row],[InputNumbers]])</f>
        <v>2</v>
      </c>
      <c r="E807" s="1">
        <f>_xlfn.NUMBERVALUE(LEFT(aoc_02_input[[#This Row],[InputNumbers]],aoc_02_input[[#This Row],[PosDash]]-1))</f>
        <v>3</v>
      </c>
      <c r="F807" s="1">
        <f>_xlfn.NUMBERVALUE(MID(aoc_02_input[[#This Row],[InputNumbers]],aoc_02_input[[#This Row],[PosDash]]+1,5))</f>
        <v>7</v>
      </c>
      <c r="G807" s="1" t="str">
        <f>LEFT(aoc_02_input[[#This Row],[InputChar]],1)</f>
        <v>h</v>
      </c>
      <c r="H807" s="1" cm="1">
        <f t="array" ref="H807">CountChar(aoc_02_input[[#This Row],[Password]],aoc_02_input[[#This Row],[Char]])</f>
        <v>6</v>
      </c>
      <c r="I807" s="1">
        <f>IF(AND(aoc_02_input[[#This Row],[Int1]]&lt;=aoc_02_input[[#This Row],[CountOfChar]],aoc_02_input[[#This Row],[CountOfChar]]&lt;=aoc_02_input[[#This Row],[Int2]]),1,0)</f>
        <v>1</v>
      </c>
      <c r="J807" s="1" t="str">
        <f>MID(aoc_02_input[[#This Row],[Password]],aoc_02_input[[#This Row],[Int1]],1)</f>
        <v>s</v>
      </c>
      <c r="K807" s="1">
        <f>IF(aoc_02_input[[#This Row],[Pos1]]=aoc_02_input[[#This Row],[Char]],1,0)</f>
        <v>0</v>
      </c>
      <c r="L807" s="1" t="str">
        <f>MID(aoc_02_input[[#This Row],[Password]],aoc_02_input[[#This Row],[Int2]],1)</f>
        <v>r</v>
      </c>
      <c r="M807" s="1">
        <f>IF(aoc_02_input[[#This Row],[Pos2]]=aoc_02_input[[#This Row],[Char]],1,0)</f>
        <v>0</v>
      </c>
      <c r="N807" s="1">
        <f>IF(aoc_02_input[[#This Row],[Pos1Valid]]&lt;&gt;aoc_02_input[[#This Row],[Pos2Valid]],1,0)</f>
        <v>0</v>
      </c>
    </row>
    <row r="808" spans="1:14" x14ac:dyDescent="0.45">
      <c r="A808" s="1" t="s">
        <v>466</v>
      </c>
      <c r="B808" s="1" t="s">
        <v>207</v>
      </c>
      <c r="C808" s="1" t="s">
        <v>1171</v>
      </c>
      <c r="D808" s="1">
        <f>FIND("-",aoc_02_input[[#This Row],[InputNumbers]])</f>
        <v>2</v>
      </c>
      <c r="E808" s="1">
        <f>_xlfn.NUMBERVALUE(LEFT(aoc_02_input[[#This Row],[InputNumbers]],aoc_02_input[[#This Row],[PosDash]]-1))</f>
        <v>1</v>
      </c>
      <c r="F808" s="1">
        <f>_xlfn.NUMBERVALUE(MID(aoc_02_input[[#This Row],[InputNumbers]],aoc_02_input[[#This Row],[PosDash]]+1,5))</f>
        <v>9</v>
      </c>
      <c r="G808" s="1" t="str">
        <f>LEFT(aoc_02_input[[#This Row],[InputChar]],1)</f>
        <v>b</v>
      </c>
      <c r="H808" s="1" cm="1">
        <f t="array" ref="H808">CountChar(aoc_02_input[[#This Row],[Password]],aoc_02_input[[#This Row],[Char]])</f>
        <v>5</v>
      </c>
      <c r="I808" s="1">
        <f>IF(AND(aoc_02_input[[#This Row],[Int1]]&lt;=aoc_02_input[[#This Row],[CountOfChar]],aoc_02_input[[#This Row],[CountOfChar]]&lt;=aoc_02_input[[#This Row],[Int2]]),1,0)</f>
        <v>1</v>
      </c>
      <c r="J808" s="1" t="str">
        <f>MID(aoc_02_input[[#This Row],[Password]],aoc_02_input[[#This Row],[Int1]],1)</f>
        <v>b</v>
      </c>
      <c r="K808" s="1">
        <f>IF(aoc_02_input[[#This Row],[Pos1]]=aoc_02_input[[#This Row],[Char]],1,0)</f>
        <v>1</v>
      </c>
      <c r="L808" s="1" t="str">
        <f>MID(aoc_02_input[[#This Row],[Password]],aoc_02_input[[#This Row],[Int2]],1)</f>
        <v>m</v>
      </c>
      <c r="M808" s="1">
        <f>IF(aoc_02_input[[#This Row],[Pos2]]=aoc_02_input[[#This Row],[Char]],1,0)</f>
        <v>0</v>
      </c>
      <c r="N808" s="1">
        <f>IF(aoc_02_input[[#This Row],[Pos1Valid]]&lt;&gt;aoc_02_input[[#This Row],[Pos2Valid]],1,0)</f>
        <v>1</v>
      </c>
    </row>
    <row r="809" spans="1:14" x14ac:dyDescent="0.45">
      <c r="A809" s="1" t="s">
        <v>227</v>
      </c>
      <c r="B809" s="1" t="s">
        <v>235</v>
      </c>
      <c r="C809" s="1" t="s">
        <v>1172</v>
      </c>
      <c r="D809" s="1">
        <f>FIND("-",aoc_02_input[[#This Row],[InputNumbers]])</f>
        <v>2</v>
      </c>
      <c r="E809" s="1">
        <f>_xlfn.NUMBERVALUE(LEFT(aoc_02_input[[#This Row],[InputNumbers]],aoc_02_input[[#This Row],[PosDash]]-1))</f>
        <v>4</v>
      </c>
      <c r="F809" s="1">
        <f>_xlfn.NUMBERVALUE(MID(aoc_02_input[[#This Row],[InputNumbers]],aoc_02_input[[#This Row],[PosDash]]+1,5))</f>
        <v>5</v>
      </c>
      <c r="G809" s="1" t="str">
        <f>LEFT(aoc_02_input[[#This Row],[InputChar]],1)</f>
        <v>d</v>
      </c>
      <c r="H809" s="1" cm="1">
        <f t="array" ref="H809">CountChar(aoc_02_input[[#This Row],[Password]],aoc_02_input[[#This Row],[Char]])</f>
        <v>4</v>
      </c>
      <c r="I809" s="1">
        <f>IF(AND(aoc_02_input[[#This Row],[Int1]]&lt;=aoc_02_input[[#This Row],[CountOfChar]],aoc_02_input[[#This Row],[CountOfChar]]&lt;=aoc_02_input[[#This Row],[Int2]]),1,0)</f>
        <v>1</v>
      </c>
      <c r="J809" s="1" t="str">
        <f>MID(aoc_02_input[[#This Row],[Password]],aoc_02_input[[#This Row],[Int1]],1)</f>
        <v>d</v>
      </c>
      <c r="K809" s="1">
        <f>IF(aoc_02_input[[#This Row],[Pos1]]=aoc_02_input[[#This Row],[Char]],1,0)</f>
        <v>1</v>
      </c>
      <c r="L809" s="1" t="str">
        <f>MID(aoc_02_input[[#This Row],[Password]],aoc_02_input[[#This Row],[Int2]],1)</f>
        <v>d</v>
      </c>
      <c r="M809" s="1">
        <f>IF(aoc_02_input[[#This Row],[Pos2]]=aoc_02_input[[#This Row],[Char]],1,0)</f>
        <v>1</v>
      </c>
      <c r="N809" s="1">
        <f>IF(aoc_02_input[[#This Row],[Pos1Valid]]&lt;&gt;aoc_02_input[[#This Row],[Pos2Valid]],1,0)</f>
        <v>0</v>
      </c>
    </row>
    <row r="810" spans="1:14" x14ac:dyDescent="0.45">
      <c r="A810" s="1" t="s">
        <v>458</v>
      </c>
      <c r="B810" s="1" t="s">
        <v>254</v>
      </c>
      <c r="C810" s="1" t="s">
        <v>1173</v>
      </c>
      <c r="D810" s="1">
        <f>FIND("-",aoc_02_input[[#This Row],[InputNumbers]])</f>
        <v>2</v>
      </c>
      <c r="E810" s="1">
        <f>_xlfn.NUMBERVALUE(LEFT(aoc_02_input[[#This Row],[InputNumbers]],aoc_02_input[[#This Row],[PosDash]]-1))</f>
        <v>9</v>
      </c>
      <c r="F810" s="1">
        <f>_xlfn.NUMBERVALUE(MID(aoc_02_input[[#This Row],[InputNumbers]],aoc_02_input[[#This Row],[PosDash]]+1,5))</f>
        <v>12</v>
      </c>
      <c r="G810" s="1" t="str">
        <f>LEFT(aoc_02_input[[#This Row],[InputChar]],1)</f>
        <v>k</v>
      </c>
      <c r="H810" s="1" cm="1">
        <f t="array" ref="H810">CountChar(aoc_02_input[[#This Row],[Password]],aoc_02_input[[#This Row],[Char]])</f>
        <v>10</v>
      </c>
      <c r="I810" s="1">
        <f>IF(AND(aoc_02_input[[#This Row],[Int1]]&lt;=aoc_02_input[[#This Row],[CountOfChar]],aoc_02_input[[#This Row],[CountOfChar]]&lt;=aoc_02_input[[#This Row],[Int2]]),1,0)</f>
        <v>1</v>
      </c>
      <c r="J810" s="1" t="str">
        <f>MID(aoc_02_input[[#This Row],[Password]],aoc_02_input[[#This Row],[Int1]],1)</f>
        <v>n</v>
      </c>
      <c r="K810" s="1">
        <f>IF(aoc_02_input[[#This Row],[Pos1]]=aoc_02_input[[#This Row],[Char]],1,0)</f>
        <v>0</v>
      </c>
      <c r="L810" s="1" t="str">
        <f>MID(aoc_02_input[[#This Row],[Password]],aoc_02_input[[#This Row],[Int2]],1)</f>
        <v>k</v>
      </c>
      <c r="M810" s="1">
        <f>IF(aoc_02_input[[#This Row],[Pos2]]=aoc_02_input[[#This Row],[Char]],1,0)</f>
        <v>1</v>
      </c>
      <c r="N810" s="1">
        <f>IF(aoc_02_input[[#This Row],[Pos1Valid]]&lt;&gt;aoc_02_input[[#This Row],[Pos2Valid]],1,0)</f>
        <v>1</v>
      </c>
    </row>
    <row r="811" spans="1:14" x14ac:dyDescent="0.45">
      <c r="A811" s="1" t="s">
        <v>522</v>
      </c>
      <c r="B811" s="1" t="s">
        <v>249</v>
      </c>
      <c r="C811" s="1" t="s">
        <v>1174</v>
      </c>
      <c r="D811" s="1">
        <f>FIND("-",aoc_02_input[[#This Row],[InputNumbers]])</f>
        <v>2</v>
      </c>
      <c r="E811" s="1">
        <f>_xlfn.NUMBERVALUE(LEFT(aoc_02_input[[#This Row],[InputNumbers]],aoc_02_input[[#This Row],[PosDash]]-1))</f>
        <v>9</v>
      </c>
      <c r="F811" s="1">
        <f>_xlfn.NUMBERVALUE(MID(aoc_02_input[[#This Row],[InputNumbers]],aoc_02_input[[#This Row],[PosDash]]+1,5))</f>
        <v>17</v>
      </c>
      <c r="G811" s="1" t="str">
        <f>LEFT(aoc_02_input[[#This Row],[InputChar]],1)</f>
        <v>q</v>
      </c>
      <c r="H811" s="1" cm="1">
        <f t="array" ref="H811">CountChar(aoc_02_input[[#This Row],[Password]],aoc_02_input[[#This Row],[Char]])</f>
        <v>11</v>
      </c>
      <c r="I811" s="1">
        <f>IF(AND(aoc_02_input[[#This Row],[Int1]]&lt;=aoc_02_input[[#This Row],[CountOfChar]],aoc_02_input[[#This Row],[CountOfChar]]&lt;=aoc_02_input[[#This Row],[Int2]]),1,0)</f>
        <v>1</v>
      </c>
      <c r="J811" s="1" t="str">
        <f>MID(aoc_02_input[[#This Row],[Password]],aoc_02_input[[#This Row],[Int1]],1)</f>
        <v>v</v>
      </c>
      <c r="K811" s="1">
        <f>IF(aoc_02_input[[#This Row],[Pos1]]=aoc_02_input[[#This Row],[Char]],1,0)</f>
        <v>0</v>
      </c>
      <c r="L811" s="1" t="str">
        <f>MID(aoc_02_input[[#This Row],[Password]],aoc_02_input[[#This Row],[Int2]],1)</f>
        <v>q</v>
      </c>
      <c r="M811" s="1">
        <f>IF(aoc_02_input[[#This Row],[Pos2]]=aoc_02_input[[#This Row],[Char]],1,0)</f>
        <v>1</v>
      </c>
      <c r="N811" s="1">
        <f>IF(aoc_02_input[[#This Row],[Pos1Valid]]&lt;&gt;aoc_02_input[[#This Row],[Pos2Valid]],1,0)</f>
        <v>1</v>
      </c>
    </row>
    <row r="812" spans="1:14" x14ac:dyDescent="0.45">
      <c r="A812" s="1" t="s">
        <v>640</v>
      </c>
      <c r="B812" s="1" t="s">
        <v>222</v>
      </c>
      <c r="C812" s="1" t="s">
        <v>1175</v>
      </c>
      <c r="D812" s="1">
        <f>FIND("-",aoc_02_input[[#This Row],[InputNumbers]])</f>
        <v>3</v>
      </c>
      <c r="E812" s="1">
        <f>_xlfn.NUMBERVALUE(LEFT(aoc_02_input[[#This Row],[InputNumbers]],aoc_02_input[[#This Row],[PosDash]]-1))</f>
        <v>12</v>
      </c>
      <c r="F812" s="1">
        <f>_xlfn.NUMBERVALUE(MID(aoc_02_input[[#This Row],[InputNumbers]],aoc_02_input[[#This Row],[PosDash]]+1,5))</f>
        <v>15</v>
      </c>
      <c r="G812" s="1" t="str">
        <f>LEFT(aoc_02_input[[#This Row],[InputChar]],1)</f>
        <v>l</v>
      </c>
      <c r="H812" s="1" cm="1">
        <f t="array" ref="H812">CountChar(aoc_02_input[[#This Row],[Password]],aoc_02_input[[#This Row],[Char]])</f>
        <v>9</v>
      </c>
      <c r="I812" s="1">
        <f>IF(AND(aoc_02_input[[#This Row],[Int1]]&lt;=aoc_02_input[[#This Row],[CountOfChar]],aoc_02_input[[#This Row],[CountOfChar]]&lt;=aoc_02_input[[#This Row],[Int2]]),1,0)</f>
        <v>0</v>
      </c>
      <c r="J812" s="1" t="str">
        <f>MID(aoc_02_input[[#This Row],[Password]],aoc_02_input[[#This Row],[Int1]],1)</f>
        <v>n</v>
      </c>
      <c r="K812" s="1">
        <f>IF(aoc_02_input[[#This Row],[Pos1]]=aoc_02_input[[#This Row],[Char]],1,0)</f>
        <v>0</v>
      </c>
      <c r="L812" s="1" t="str">
        <f>MID(aoc_02_input[[#This Row],[Password]],aoc_02_input[[#This Row],[Int2]],1)</f>
        <v>l</v>
      </c>
      <c r="M812" s="1">
        <f>IF(aoc_02_input[[#This Row],[Pos2]]=aoc_02_input[[#This Row],[Char]],1,0)</f>
        <v>1</v>
      </c>
      <c r="N812" s="1">
        <f>IF(aoc_02_input[[#This Row],[Pos1Valid]]&lt;&gt;aoc_02_input[[#This Row],[Pos2Valid]],1,0)</f>
        <v>1</v>
      </c>
    </row>
    <row r="813" spans="1:14" x14ac:dyDescent="0.45">
      <c r="A813" s="1" t="s">
        <v>392</v>
      </c>
      <c r="B813" s="1" t="s">
        <v>314</v>
      </c>
      <c r="C813" s="1" t="s">
        <v>1176</v>
      </c>
      <c r="D813" s="1">
        <f>FIND("-",aoc_02_input[[#This Row],[InputNumbers]])</f>
        <v>2</v>
      </c>
      <c r="E813" s="1">
        <f>_xlfn.NUMBERVALUE(LEFT(aoc_02_input[[#This Row],[InputNumbers]],aoc_02_input[[#This Row],[PosDash]]-1))</f>
        <v>8</v>
      </c>
      <c r="F813" s="1">
        <f>_xlfn.NUMBERVALUE(MID(aoc_02_input[[#This Row],[InputNumbers]],aoc_02_input[[#This Row],[PosDash]]+1,5))</f>
        <v>9</v>
      </c>
      <c r="G813" s="1" t="str">
        <f>LEFT(aoc_02_input[[#This Row],[InputChar]],1)</f>
        <v>h</v>
      </c>
      <c r="H813" s="1" cm="1">
        <f t="array" ref="H813">CountChar(aoc_02_input[[#This Row],[Password]],aoc_02_input[[#This Row],[Char]])</f>
        <v>10</v>
      </c>
      <c r="I813" s="1">
        <f>IF(AND(aoc_02_input[[#This Row],[Int1]]&lt;=aoc_02_input[[#This Row],[CountOfChar]],aoc_02_input[[#This Row],[CountOfChar]]&lt;=aoc_02_input[[#This Row],[Int2]]),1,0)</f>
        <v>0</v>
      </c>
      <c r="J813" s="1" t="str">
        <f>MID(aoc_02_input[[#This Row],[Password]],aoc_02_input[[#This Row],[Int1]],1)</f>
        <v>g</v>
      </c>
      <c r="K813" s="1">
        <f>IF(aoc_02_input[[#This Row],[Pos1]]=aoc_02_input[[#This Row],[Char]],1,0)</f>
        <v>0</v>
      </c>
      <c r="L813" s="1" t="str">
        <f>MID(aoc_02_input[[#This Row],[Password]],aoc_02_input[[#This Row],[Int2]],1)</f>
        <v>h</v>
      </c>
      <c r="M813" s="1">
        <f>IF(aoc_02_input[[#This Row],[Pos2]]=aoc_02_input[[#This Row],[Char]],1,0)</f>
        <v>1</v>
      </c>
      <c r="N813" s="1">
        <f>IF(aoc_02_input[[#This Row],[Pos1Valid]]&lt;&gt;aoc_02_input[[#This Row],[Pos2Valid]],1,0)</f>
        <v>1</v>
      </c>
    </row>
    <row r="814" spans="1:14" x14ac:dyDescent="0.45">
      <c r="A814" s="1" t="s">
        <v>232</v>
      </c>
      <c r="B814" s="1" t="s">
        <v>265</v>
      </c>
      <c r="C814" s="1" t="s">
        <v>1177</v>
      </c>
      <c r="D814" s="1">
        <f>FIND("-",aoc_02_input[[#This Row],[InputNumbers]])</f>
        <v>2</v>
      </c>
      <c r="E814" s="1">
        <f>_xlfn.NUMBERVALUE(LEFT(aoc_02_input[[#This Row],[InputNumbers]],aoc_02_input[[#This Row],[PosDash]]-1))</f>
        <v>4</v>
      </c>
      <c r="F814" s="1">
        <f>_xlfn.NUMBERVALUE(MID(aoc_02_input[[#This Row],[InputNumbers]],aoc_02_input[[#This Row],[PosDash]]+1,5))</f>
        <v>6</v>
      </c>
      <c r="G814" s="1" t="str">
        <f>LEFT(aoc_02_input[[#This Row],[InputChar]],1)</f>
        <v>r</v>
      </c>
      <c r="H814" s="1" cm="1">
        <f t="array" ref="H814">CountChar(aoc_02_input[[#This Row],[Password]],aoc_02_input[[#This Row],[Char]])</f>
        <v>6</v>
      </c>
      <c r="I814" s="1">
        <f>IF(AND(aoc_02_input[[#This Row],[Int1]]&lt;=aoc_02_input[[#This Row],[CountOfChar]],aoc_02_input[[#This Row],[CountOfChar]]&lt;=aoc_02_input[[#This Row],[Int2]]),1,0)</f>
        <v>1</v>
      </c>
      <c r="J814" s="1" t="str">
        <f>MID(aoc_02_input[[#This Row],[Password]],aoc_02_input[[#This Row],[Int1]],1)</f>
        <v>r</v>
      </c>
      <c r="K814" s="1">
        <f>IF(aoc_02_input[[#This Row],[Pos1]]=aoc_02_input[[#This Row],[Char]],1,0)</f>
        <v>1</v>
      </c>
      <c r="L814" s="1" t="str">
        <f>MID(aoc_02_input[[#This Row],[Password]],aoc_02_input[[#This Row],[Int2]],1)</f>
        <v>d</v>
      </c>
      <c r="M814" s="1">
        <f>IF(aoc_02_input[[#This Row],[Pos2]]=aoc_02_input[[#This Row],[Char]],1,0)</f>
        <v>0</v>
      </c>
      <c r="N814" s="1">
        <f>IF(aoc_02_input[[#This Row],[Pos1Valid]]&lt;&gt;aoc_02_input[[#This Row],[Pos2Valid]],1,0)</f>
        <v>1</v>
      </c>
    </row>
    <row r="815" spans="1:14" x14ac:dyDescent="0.45">
      <c r="A815" s="1" t="s">
        <v>1178</v>
      </c>
      <c r="B815" s="1" t="s">
        <v>265</v>
      </c>
      <c r="C815" s="1" t="s">
        <v>1179</v>
      </c>
      <c r="D815" s="1">
        <f>FIND("-",aoc_02_input[[#This Row],[InputNumbers]])</f>
        <v>2</v>
      </c>
      <c r="E815" s="1">
        <f>_xlfn.NUMBERVALUE(LEFT(aoc_02_input[[#This Row],[InputNumbers]],aoc_02_input[[#This Row],[PosDash]]-1))</f>
        <v>6</v>
      </c>
      <c r="F815" s="1">
        <f>_xlfn.NUMBERVALUE(MID(aoc_02_input[[#This Row],[InputNumbers]],aoc_02_input[[#This Row],[PosDash]]+1,5))</f>
        <v>16</v>
      </c>
      <c r="G815" s="1" t="str">
        <f>LEFT(aoc_02_input[[#This Row],[InputChar]],1)</f>
        <v>r</v>
      </c>
      <c r="H815" s="1" cm="1">
        <f t="array" ref="H815">CountChar(aoc_02_input[[#This Row],[Password]],aoc_02_input[[#This Row],[Char]])</f>
        <v>1</v>
      </c>
      <c r="I815" s="1">
        <f>IF(AND(aoc_02_input[[#This Row],[Int1]]&lt;=aoc_02_input[[#This Row],[CountOfChar]],aoc_02_input[[#This Row],[CountOfChar]]&lt;=aoc_02_input[[#This Row],[Int2]]),1,0)</f>
        <v>0</v>
      </c>
      <c r="J815" s="1" t="str">
        <f>MID(aoc_02_input[[#This Row],[Password]],aoc_02_input[[#This Row],[Int1]],1)</f>
        <v>q</v>
      </c>
      <c r="K815" s="1">
        <f>IF(aoc_02_input[[#This Row],[Pos1]]=aoc_02_input[[#This Row],[Char]],1,0)</f>
        <v>0</v>
      </c>
      <c r="L815" s="1" t="str">
        <f>MID(aoc_02_input[[#This Row],[Password]],aoc_02_input[[#This Row],[Int2]],1)</f>
        <v>q</v>
      </c>
      <c r="M815" s="1">
        <f>IF(aoc_02_input[[#This Row],[Pos2]]=aoc_02_input[[#This Row],[Char]],1,0)</f>
        <v>0</v>
      </c>
      <c r="N815" s="1">
        <f>IF(aoc_02_input[[#This Row],[Pos1Valid]]&lt;&gt;aoc_02_input[[#This Row],[Pos2Valid]],1,0)</f>
        <v>0</v>
      </c>
    </row>
    <row r="816" spans="1:14" x14ac:dyDescent="0.45">
      <c r="A816" s="1" t="s">
        <v>269</v>
      </c>
      <c r="B816" s="1" t="s">
        <v>235</v>
      </c>
      <c r="C816" s="1" t="s">
        <v>1180</v>
      </c>
      <c r="D816" s="1">
        <f>FIND("-",aoc_02_input[[#This Row],[InputNumbers]])</f>
        <v>2</v>
      </c>
      <c r="E816" s="1">
        <f>_xlfn.NUMBERVALUE(LEFT(aoc_02_input[[#This Row],[InputNumbers]],aoc_02_input[[#This Row],[PosDash]]-1))</f>
        <v>4</v>
      </c>
      <c r="F816" s="1">
        <f>_xlfn.NUMBERVALUE(MID(aoc_02_input[[#This Row],[InputNumbers]],aoc_02_input[[#This Row],[PosDash]]+1,5))</f>
        <v>9</v>
      </c>
      <c r="G816" s="1" t="str">
        <f>LEFT(aoc_02_input[[#This Row],[InputChar]],1)</f>
        <v>d</v>
      </c>
      <c r="H816" s="1" cm="1">
        <f t="array" ref="H816">CountChar(aoc_02_input[[#This Row],[Password]],aoc_02_input[[#This Row],[Char]])</f>
        <v>3</v>
      </c>
      <c r="I816" s="1">
        <f>IF(AND(aoc_02_input[[#This Row],[Int1]]&lt;=aoc_02_input[[#This Row],[CountOfChar]],aoc_02_input[[#This Row],[CountOfChar]]&lt;=aoc_02_input[[#This Row],[Int2]]),1,0)</f>
        <v>0</v>
      </c>
      <c r="J816" s="1" t="str">
        <f>MID(aoc_02_input[[#This Row],[Password]],aoc_02_input[[#This Row],[Int1]],1)</f>
        <v>d</v>
      </c>
      <c r="K816" s="1">
        <f>IF(aoc_02_input[[#This Row],[Pos1]]=aoc_02_input[[#This Row],[Char]],1,0)</f>
        <v>1</v>
      </c>
      <c r="L816" s="1" t="str">
        <f>MID(aoc_02_input[[#This Row],[Password]],aoc_02_input[[#This Row],[Int2]],1)</f>
        <v>z</v>
      </c>
      <c r="M816" s="1">
        <f>IF(aoc_02_input[[#This Row],[Pos2]]=aoc_02_input[[#This Row],[Char]],1,0)</f>
        <v>0</v>
      </c>
      <c r="N816" s="1">
        <f>IF(aoc_02_input[[#This Row],[Pos1Valid]]&lt;&gt;aoc_02_input[[#This Row],[Pos2Valid]],1,0)</f>
        <v>1</v>
      </c>
    </row>
    <row r="817" spans="1:14" x14ac:dyDescent="0.45">
      <c r="A817" s="1" t="s">
        <v>242</v>
      </c>
      <c r="B817" s="1" t="s">
        <v>213</v>
      </c>
      <c r="C817" s="1" t="s">
        <v>1181</v>
      </c>
      <c r="D817" s="1">
        <f>FIND("-",aoc_02_input[[#This Row],[InputNumbers]])</f>
        <v>3</v>
      </c>
      <c r="E817" s="1">
        <f>_xlfn.NUMBERVALUE(LEFT(aoc_02_input[[#This Row],[InputNumbers]],aoc_02_input[[#This Row],[PosDash]]-1))</f>
        <v>10</v>
      </c>
      <c r="F817" s="1">
        <f>_xlfn.NUMBERVALUE(MID(aoc_02_input[[#This Row],[InputNumbers]],aoc_02_input[[#This Row],[PosDash]]+1,5))</f>
        <v>11</v>
      </c>
      <c r="G817" s="1" t="str">
        <f>LEFT(aoc_02_input[[#This Row],[InputChar]],1)</f>
        <v>m</v>
      </c>
      <c r="H817" s="1" cm="1">
        <f t="array" ref="H817">CountChar(aoc_02_input[[#This Row],[Password]],aoc_02_input[[#This Row],[Char]])</f>
        <v>10</v>
      </c>
      <c r="I817" s="1">
        <f>IF(AND(aoc_02_input[[#This Row],[Int1]]&lt;=aoc_02_input[[#This Row],[CountOfChar]],aoc_02_input[[#This Row],[CountOfChar]]&lt;=aoc_02_input[[#This Row],[Int2]]),1,0)</f>
        <v>1</v>
      </c>
      <c r="J817" s="1" t="str">
        <f>MID(aoc_02_input[[#This Row],[Password]],aoc_02_input[[#This Row],[Int1]],1)</f>
        <v>m</v>
      </c>
      <c r="K817" s="1">
        <f>IF(aoc_02_input[[#This Row],[Pos1]]=aoc_02_input[[#This Row],[Char]],1,0)</f>
        <v>1</v>
      </c>
      <c r="L817" s="1" t="str">
        <f>MID(aoc_02_input[[#This Row],[Password]],aoc_02_input[[#This Row],[Int2]],1)</f>
        <v>m</v>
      </c>
      <c r="M817" s="1">
        <f>IF(aoc_02_input[[#This Row],[Pos2]]=aoc_02_input[[#This Row],[Char]],1,0)</f>
        <v>1</v>
      </c>
      <c r="N817" s="1">
        <f>IF(aoc_02_input[[#This Row],[Pos1Valid]]&lt;&gt;aoc_02_input[[#This Row],[Pos2Valid]],1,0)</f>
        <v>0</v>
      </c>
    </row>
    <row r="818" spans="1:14" x14ac:dyDescent="0.45">
      <c r="A818" s="1" t="s">
        <v>290</v>
      </c>
      <c r="B818" s="1" t="s">
        <v>222</v>
      </c>
      <c r="C818" s="1" t="s">
        <v>1182</v>
      </c>
      <c r="D818" s="1">
        <f>FIND("-",aoc_02_input[[#This Row],[InputNumbers]])</f>
        <v>2</v>
      </c>
      <c r="E818" s="1">
        <f>_xlfn.NUMBERVALUE(LEFT(aoc_02_input[[#This Row],[InputNumbers]],aoc_02_input[[#This Row],[PosDash]]-1))</f>
        <v>8</v>
      </c>
      <c r="F818" s="1">
        <f>_xlfn.NUMBERVALUE(MID(aoc_02_input[[#This Row],[InputNumbers]],aoc_02_input[[#This Row],[PosDash]]+1,5))</f>
        <v>10</v>
      </c>
      <c r="G818" s="1" t="str">
        <f>LEFT(aoc_02_input[[#This Row],[InputChar]],1)</f>
        <v>l</v>
      </c>
      <c r="H818" s="1" cm="1">
        <f t="array" ref="H818">CountChar(aoc_02_input[[#This Row],[Password]],aoc_02_input[[#This Row],[Char]])</f>
        <v>9</v>
      </c>
      <c r="I818" s="1">
        <f>IF(AND(aoc_02_input[[#This Row],[Int1]]&lt;=aoc_02_input[[#This Row],[CountOfChar]],aoc_02_input[[#This Row],[CountOfChar]]&lt;=aoc_02_input[[#This Row],[Int2]]),1,0)</f>
        <v>1</v>
      </c>
      <c r="J818" s="1" t="str">
        <f>MID(aoc_02_input[[#This Row],[Password]],aoc_02_input[[#This Row],[Int1]],1)</f>
        <v>g</v>
      </c>
      <c r="K818" s="1">
        <f>IF(aoc_02_input[[#This Row],[Pos1]]=aoc_02_input[[#This Row],[Char]],1,0)</f>
        <v>0</v>
      </c>
      <c r="L818" s="1" t="str">
        <f>MID(aoc_02_input[[#This Row],[Password]],aoc_02_input[[#This Row],[Int2]],1)</f>
        <v>l</v>
      </c>
      <c r="M818" s="1">
        <f>IF(aoc_02_input[[#This Row],[Pos2]]=aoc_02_input[[#This Row],[Char]],1,0)</f>
        <v>1</v>
      </c>
      <c r="N818" s="1">
        <f>IF(aoc_02_input[[#This Row],[Pos1Valid]]&lt;&gt;aoc_02_input[[#This Row],[Pos2Valid]],1,0)</f>
        <v>1</v>
      </c>
    </row>
    <row r="819" spans="1:14" x14ac:dyDescent="0.45">
      <c r="A819" s="1" t="s">
        <v>363</v>
      </c>
      <c r="B819" s="1" t="s">
        <v>314</v>
      </c>
      <c r="C819" s="1" t="s">
        <v>1183</v>
      </c>
      <c r="D819" s="1">
        <f>FIND("-",aoc_02_input[[#This Row],[InputNumbers]])</f>
        <v>3</v>
      </c>
      <c r="E819" s="1">
        <f>_xlfn.NUMBERVALUE(LEFT(aoc_02_input[[#This Row],[InputNumbers]],aoc_02_input[[#This Row],[PosDash]]-1))</f>
        <v>11</v>
      </c>
      <c r="F819" s="1">
        <f>_xlfn.NUMBERVALUE(MID(aoc_02_input[[#This Row],[InputNumbers]],aoc_02_input[[#This Row],[PosDash]]+1,5))</f>
        <v>16</v>
      </c>
      <c r="G819" s="1" t="str">
        <f>LEFT(aoc_02_input[[#This Row],[InputChar]],1)</f>
        <v>h</v>
      </c>
      <c r="H819" s="1" cm="1">
        <f t="array" ref="H819">CountChar(aoc_02_input[[#This Row],[Password]],aoc_02_input[[#This Row],[Char]])</f>
        <v>17</v>
      </c>
      <c r="I819" s="1">
        <f>IF(AND(aoc_02_input[[#This Row],[Int1]]&lt;=aoc_02_input[[#This Row],[CountOfChar]],aoc_02_input[[#This Row],[CountOfChar]]&lt;=aoc_02_input[[#This Row],[Int2]]),1,0)</f>
        <v>0</v>
      </c>
      <c r="J819" s="1" t="str">
        <f>MID(aoc_02_input[[#This Row],[Password]],aoc_02_input[[#This Row],[Int1]],1)</f>
        <v>s</v>
      </c>
      <c r="K819" s="1">
        <f>IF(aoc_02_input[[#This Row],[Pos1]]=aoc_02_input[[#This Row],[Char]],1,0)</f>
        <v>0</v>
      </c>
      <c r="L819" s="1" t="str">
        <f>MID(aoc_02_input[[#This Row],[Password]],aoc_02_input[[#This Row],[Int2]],1)</f>
        <v>h</v>
      </c>
      <c r="M819" s="1">
        <f>IF(aoc_02_input[[#This Row],[Pos2]]=aoc_02_input[[#This Row],[Char]],1,0)</f>
        <v>1</v>
      </c>
      <c r="N819" s="1">
        <f>IF(aoc_02_input[[#This Row],[Pos1Valid]]&lt;&gt;aoc_02_input[[#This Row],[Pos2Valid]],1,0)</f>
        <v>1</v>
      </c>
    </row>
    <row r="820" spans="1:14" x14ac:dyDescent="0.45">
      <c r="A820" s="1" t="s">
        <v>392</v>
      </c>
      <c r="B820" s="1" t="s">
        <v>305</v>
      </c>
      <c r="C820" s="1" t="s">
        <v>1184</v>
      </c>
      <c r="D820" s="1">
        <f>FIND("-",aoc_02_input[[#This Row],[InputNumbers]])</f>
        <v>2</v>
      </c>
      <c r="E820" s="1">
        <f>_xlfn.NUMBERVALUE(LEFT(aoc_02_input[[#This Row],[InputNumbers]],aoc_02_input[[#This Row],[PosDash]]-1))</f>
        <v>8</v>
      </c>
      <c r="F820" s="1">
        <f>_xlfn.NUMBERVALUE(MID(aoc_02_input[[#This Row],[InputNumbers]],aoc_02_input[[#This Row],[PosDash]]+1,5))</f>
        <v>9</v>
      </c>
      <c r="G820" s="1" t="str">
        <f>LEFT(aoc_02_input[[#This Row],[InputChar]],1)</f>
        <v>s</v>
      </c>
      <c r="H820" s="1" cm="1">
        <f t="array" ref="H820">CountChar(aoc_02_input[[#This Row],[Password]],aoc_02_input[[#This Row],[Char]])</f>
        <v>6</v>
      </c>
      <c r="I820" s="1">
        <f>IF(AND(aoc_02_input[[#This Row],[Int1]]&lt;=aoc_02_input[[#This Row],[CountOfChar]],aoc_02_input[[#This Row],[CountOfChar]]&lt;=aoc_02_input[[#This Row],[Int2]]),1,0)</f>
        <v>0</v>
      </c>
      <c r="J820" s="1" t="str">
        <f>MID(aoc_02_input[[#This Row],[Password]],aoc_02_input[[#This Row],[Int1]],1)</f>
        <v>s</v>
      </c>
      <c r="K820" s="1">
        <f>IF(aoc_02_input[[#This Row],[Pos1]]=aoc_02_input[[#This Row],[Char]],1,0)</f>
        <v>1</v>
      </c>
      <c r="L820" s="1" t="str">
        <f>MID(aoc_02_input[[#This Row],[Password]],aoc_02_input[[#This Row],[Int2]],1)</f>
        <v>n</v>
      </c>
      <c r="M820" s="1">
        <f>IF(aoc_02_input[[#This Row],[Pos2]]=aoc_02_input[[#This Row],[Char]],1,0)</f>
        <v>0</v>
      </c>
      <c r="N820" s="1">
        <f>IF(aoc_02_input[[#This Row],[Pos1Valid]]&lt;&gt;aoc_02_input[[#This Row],[Pos2Valid]],1,0)</f>
        <v>1</v>
      </c>
    </row>
    <row r="821" spans="1:14" x14ac:dyDescent="0.45">
      <c r="A821" s="1" t="s">
        <v>251</v>
      </c>
      <c r="B821" s="1" t="s">
        <v>314</v>
      </c>
      <c r="C821" s="1" t="s">
        <v>1185</v>
      </c>
      <c r="D821" s="1">
        <f>FIND("-",aoc_02_input[[#This Row],[InputNumbers]])</f>
        <v>2</v>
      </c>
      <c r="E821" s="1">
        <f>_xlfn.NUMBERVALUE(LEFT(aoc_02_input[[#This Row],[InputNumbers]],aoc_02_input[[#This Row],[PosDash]]-1))</f>
        <v>5</v>
      </c>
      <c r="F821" s="1">
        <f>_xlfn.NUMBERVALUE(MID(aoc_02_input[[#This Row],[InputNumbers]],aoc_02_input[[#This Row],[PosDash]]+1,5))</f>
        <v>6</v>
      </c>
      <c r="G821" s="1" t="str">
        <f>LEFT(aoc_02_input[[#This Row],[InputChar]],1)</f>
        <v>h</v>
      </c>
      <c r="H821" s="1" cm="1">
        <f t="array" ref="H821">CountChar(aoc_02_input[[#This Row],[Password]],aoc_02_input[[#This Row],[Char]])</f>
        <v>6</v>
      </c>
      <c r="I821" s="1">
        <f>IF(AND(aoc_02_input[[#This Row],[Int1]]&lt;=aoc_02_input[[#This Row],[CountOfChar]],aoc_02_input[[#This Row],[CountOfChar]]&lt;=aoc_02_input[[#This Row],[Int2]]),1,0)</f>
        <v>1</v>
      </c>
      <c r="J821" s="1" t="str">
        <f>MID(aoc_02_input[[#This Row],[Password]],aoc_02_input[[#This Row],[Int1]],1)</f>
        <v>b</v>
      </c>
      <c r="K821" s="1">
        <f>IF(aoc_02_input[[#This Row],[Pos1]]=aoc_02_input[[#This Row],[Char]],1,0)</f>
        <v>0</v>
      </c>
      <c r="L821" s="1" t="str">
        <f>MID(aoc_02_input[[#This Row],[Password]],aoc_02_input[[#This Row],[Int2]],1)</f>
        <v>h</v>
      </c>
      <c r="M821" s="1">
        <f>IF(aoc_02_input[[#This Row],[Pos2]]=aoc_02_input[[#This Row],[Char]],1,0)</f>
        <v>1</v>
      </c>
      <c r="N821" s="1">
        <f>IF(aoc_02_input[[#This Row],[Pos1Valid]]&lt;&gt;aoc_02_input[[#This Row],[Pos2Valid]],1,0)</f>
        <v>1</v>
      </c>
    </row>
    <row r="822" spans="1:14" x14ac:dyDescent="0.45">
      <c r="A822" s="1" t="s">
        <v>1186</v>
      </c>
      <c r="B822" s="1" t="s">
        <v>265</v>
      </c>
      <c r="C822" s="1" t="s">
        <v>1187</v>
      </c>
      <c r="D822" s="1">
        <f>FIND("-",aoc_02_input[[#This Row],[InputNumbers]])</f>
        <v>2</v>
      </c>
      <c r="E822" s="1">
        <f>_xlfn.NUMBERVALUE(LEFT(aoc_02_input[[#This Row],[InputNumbers]],aoc_02_input[[#This Row],[PosDash]]-1))</f>
        <v>2</v>
      </c>
      <c r="F822" s="1">
        <f>_xlfn.NUMBERVALUE(MID(aoc_02_input[[#This Row],[InputNumbers]],aoc_02_input[[#This Row],[PosDash]]+1,5))</f>
        <v>13</v>
      </c>
      <c r="G822" s="1" t="str">
        <f>LEFT(aoc_02_input[[#This Row],[InputChar]],1)</f>
        <v>r</v>
      </c>
      <c r="H822" s="1" cm="1">
        <f t="array" ref="H822">CountChar(aoc_02_input[[#This Row],[Password]],aoc_02_input[[#This Row],[Char]])</f>
        <v>3</v>
      </c>
      <c r="I822" s="1">
        <f>IF(AND(aoc_02_input[[#This Row],[Int1]]&lt;=aoc_02_input[[#This Row],[CountOfChar]],aoc_02_input[[#This Row],[CountOfChar]]&lt;=aoc_02_input[[#This Row],[Int2]]),1,0)</f>
        <v>1</v>
      </c>
      <c r="J822" s="1" t="str">
        <f>MID(aoc_02_input[[#This Row],[Password]],aoc_02_input[[#This Row],[Int1]],1)</f>
        <v>r</v>
      </c>
      <c r="K822" s="1">
        <f>IF(aoc_02_input[[#This Row],[Pos1]]=aoc_02_input[[#This Row],[Char]],1,0)</f>
        <v>1</v>
      </c>
      <c r="L822" s="1" t="str">
        <f>MID(aoc_02_input[[#This Row],[Password]],aoc_02_input[[#This Row],[Int2]],1)</f>
        <v>r</v>
      </c>
      <c r="M822" s="1">
        <f>IF(aoc_02_input[[#This Row],[Pos2]]=aoc_02_input[[#This Row],[Char]],1,0)</f>
        <v>1</v>
      </c>
      <c r="N822" s="1">
        <f>IF(aoc_02_input[[#This Row],[Pos1Valid]]&lt;&gt;aoc_02_input[[#This Row],[Pos2Valid]],1,0)</f>
        <v>0</v>
      </c>
    </row>
    <row r="823" spans="1:14" x14ac:dyDescent="0.45">
      <c r="A823" s="1" t="s">
        <v>227</v>
      </c>
      <c r="B823" s="1" t="s">
        <v>305</v>
      </c>
      <c r="C823" s="1" t="s">
        <v>1188</v>
      </c>
      <c r="D823" s="1">
        <f>FIND("-",aoc_02_input[[#This Row],[InputNumbers]])</f>
        <v>2</v>
      </c>
      <c r="E823" s="1">
        <f>_xlfn.NUMBERVALUE(LEFT(aoc_02_input[[#This Row],[InputNumbers]],aoc_02_input[[#This Row],[PosDash]]-1))</f>
        <v>4</v>
      </c>
      <c r="F823" s="1">
        <f>_xlfn.NUMBERVALUE(MID(aoc_02_input[[#This Row],[InputNumbers]],aoc_02_input[[#This Row],[PosDash]]+1,5))</f>
        <v>5</v>
      </c>
      <c r="G823" s="1" t="str">
        <f>LEFT(aoc_02_input[[#This Row],[InputChar]],1)</f>
        <v>s</v>
      </c>
      <c r="H823" s="1" cm="1">
        <f t="array" ref="H823">CountChar(aoc_02_input[[#This Row],[Password]],aoc_02_input[[#This Row],[Char]])</f>
        <v>5</v>
      </c>
      <c r="I823" s="1">
        <f>IF(AND(aoc_02_input[[#This Row],[Int1]]&lt;=aoc_02_input[[#This Row],[CountOfChar]],aoc_02_input[[#This Row],[CountOfChar]]&lt;=aoc_02_input[[#This Row],[Int2]]),1,0)</f>
        <v>1</v>
      </c>
      <c r="J823" s="1" t="str">
        <f>MID(aoc_02_input[[#This Row],[Password]],aoc_02_input[[#This Row],[Int1]],1)</f>
        <v>s</v>
      </c>
      <c r="K823" s="1">
        <f>IF(aoc_02_input[[#This Row],[Pos1]]=aoc_02_input[[#This Row],[Char]],1,0)</f>
        <v>1</v>
      </c>
      <c r="L823" s="1" t="str">
        <f>MID(aoc_02_input[[#This Row],[Password]],aoc_02_input[[#This Row],[Int2]],1)</f>
        <v>s</v>
      </c>
      <c r="M823" s="1">
        <f>IF(aoc_02_input[[#This Row],[Pos2]]=aoc_02_input[[#This Row],[Char]],1,0)</f>
        <v>1</v>
      </c>
      <c r="N823" s="1">
        <f>IF(aoc_02_input[[#This Row],[Pos1Valid]]&lt;&gt;aoc_02_input[[#This Row],[Pos2Valid]],1,0)</f>
        <v>0</v>
      </c>
    </row>
    <row r="824" spans="1:14" x14ac:dyDescent="0.45">
      <c r="A824" s="1" t="s">
        <v>232</v>
      </c>
      <c r="B824" s="1" t="s">
        <v>265</v>
      </c>
      <c r="C824" s="1" t="s">
        <v>1189</v>
      </c>
      <c r="D824" s="1">
        <f>FIND("-",aoc_02_input[[#This Row],[InputNumbers]])</f>
        <v>2</v>
      </c>
      <c r="E824" s="1">
        <f>_xlfn.NUMBERVALUE(LEFT(aoc_02_input[[#This Row],[InputNumbers]],aoc_02_input[[#This Row],[PosDash]]-1))</f>
        <v>4</v>
      </c>
      <c r="F824" s="1">
        <f>_xlfn.NUMBERVALUE(MID(aoc_02_input[[#This Row],[InputNumbers]],aoc_02_input[[#This Row],[PosDash]]+1,5))</f>
        <v>6</v>
      </c>
      <c r="G824" s="1" t="str">
        <f>LEFT(aoc_02_input[[#This Row],[InputChar]],1)</f>
        <v>r</v>
      </c>
      <c r="H824" s="1" cm="1">
        <f t="array" ref="H824">CountChar(aoc_02_input[[#This Row],[Password]],aoc_02_input[[#This Row],[Char]])</f>
        <v>6</v>
      </c>
      <c r="I824" s="1">
        <f>IF(AND(aoc_02_input[[#This Row],[Int1]]&lt;=aoc_02_input[[#This Row],[CountOfChar]],aoc_02_input[[#This Row],[CountOfChar]]&lt;=aoc_02_input[[#This Row],[Int2]]),1,0)</f>
        <v>1</v>
      </c>
      <c r="J824" s="1" t="str">
        <f>MID(aoc_02_input[[#This Row],[Password]],aoc_02_input[[#This Row],[Int1]],1)</f>
        <v>c</v>
      </c>
      <c r="K824" s="1">
        <f>IF(aoc_02_input[[#This Row],[Pos1]]=aoc_02_input[[#This Row],[Char]],1,0)</f>
        <v>0</v>
      </c>
      <c r="L824" s="1" t="str">
        <f>MID(aoc_02_input[[#This Row],[Password]],aoc_02_input[[#This Row],[Int2]],1)</f>
        <v>n</v>
      </c>
      <c r="M824" s="1">
        <f>IF(aoc_02_input[[#This Row],[Pos2]]=aoc_02_input[[#This Row],[Char]],1,0)</f>
        <v>0</v>
      </c>
      <c r="N824" s="1">
        <f>IF(aoc_02_input[[#This Row],[Pos1Valid]]&lt;&gt;aoc_02_input[[#This Row],[Pos2Valid]],1,0)</f>
        <v>0</v>
      </c>
    </row>
    <row r="825" spans="1:14" x14ac:dyDescent="0.45">
      <c r="A825" s="1" t="s">
        <v>251</v>
      </c>
      <c r="B825" s="1" t="s">
        <v>252</v>
      </c>
      <c r="C825" s="1" t="s">
        <v>1190</v>
      </c>
      <c r="D825" s="1">
        <f>FIND("-",aoc_02_input[[#This Row],[InputNumbers]])</f>
        <v>2</v>
      </c>
      <c r="E825" s="1">
        <f>_xlfn.NUMBERVALUE(LEFT(aoc_02_input[[#This Row],[InputNumbers]],aoc_02_input[[#This Row],[PosDash]]-1))</f>
        <v>5</v>
      </c>
      <c r="F825" s="1">
        <f>_xlfn.NUMBERVALUE(MID(aoc_02_input[[#This Row],[InputNumbers]],aoc_02_input[[#This Row],[PosDash]]+1,5))</f>
        <v>6</v>
      </c>
      <c r="G825" s="1" t="str">
        <f>LEFT(aoc_02_input[[#This Row],[InputChar]],1)</f>
        <v>p</v>
      </c>
      <c r="H825" s="1" cm="1">
        <f t="array" ref="H825">CountChar(aoc_02_input[[#This Row],[Password]],aoc_02_input[[#This Row],[Char]])</f>
        <v>6</v>
      </c>
      <c r="I825" s="1">
        <f>IF(AND(aoc_02_input[[#This Row],[Int1]]&lt;=aoc_02_input[[#This Row],[CountOfChar]],aoc_02_input[[#This Row],[CountOfChar]]&lt;=aoc_02_input[[#This Row],[Int2]]),1,0)</f>
        <v>1</v>
      </c>
      <c r="J825" s="1" t="str">
        <f>MID(aoc_02_input[[#This Row],[Password]],aoc_02_input[[#This Row],[Int1]],1)</f>
        <v>x</v>
      </c>
      <c r="K825" s="1">
        <f>IF(aoc_02_input[[#This Row],[Pos1]]=aoc_02_input[[#This Row],[Char]],1,0)</f>
        <v>0</v>
      </c>
      <c r="L825" s="1" t="str">
        <f>MID(aoc_02_input[[#This Row],[Password]],aoc_02_input[[#This Row],[Int2]],1)</f>
        <v>p</v>
      </c>
      <c r="M825" s="1">
        <f>IF(aoc_02_input[[#This Row],[Pos2]]=aoc_02_input[[#This Row],[Char]],1,0)</f>
        <v>1</v>
      </c>
      <c r="N825" s="1">
        <f>IF(aoc_02_input[[#This Row],[Pos1Valid]]&lt;&gt;aoc_02_input[[#This Row],[Pos2Valid]],1,0)</f>
        <v>1</v>
      </c>
    </row>
    <row r="826" spans="1:14" x14ac:dyDescent="0.45">
      <c r="A826" s="1" t="s">
        <v>283</v>
      </c>
      <c r="B826" s="1" t="s">
        <v>265</v>
      </c>
      <c r="C826" s="1" t="s">
        <v>1191</v>
      </c>
      <c r="D826" s="1">
        <f>FIND("-",aoc_02_input[[#This Row],[InputNumbers]])</f>
        <v>2</v>
      </c>
      <c r="E826" s="1">
        <f>_xlfn.NUMBERVALUE(LEFT(aoc_02_input[[#This Row],[InputNumbers]],aoc_02_input[[#This Row],[PosDash]]-1))</f>
        <v>3</v>
      </c>
      <c r="F826" s="1">
        <f>_xlfn.NUMBERVALUE(MID(aoc_02_input[[#This Row],[InputNumbers]],aoc_02_input[[#This Row],[PosDash]]+1,5))</f>
        <v>4</v>
      </c>
      <c r="G826" s="1" t="str">
        <f>LEFT(aoc_02_input[[#This Row],[InputChar]],1)</f>
        <v>r</v>
      </c>
      <c r="H826" s="1" cm="1">
        <f t="array" ref="H826">CountChar(aoc_02_input[[#This Row],[Password]],aoc_02_input[[#This Row],[Char]])</f>
        <v>2</v>
      </c>
      <c r="I826" s="1">
        <f>IF(AND(aoc_02_input[[#This Row],[Int1]]&lt;=aoc_02_input[[#This Row],[CountOfChar]],aoc_02_input[[#This Row],[CountOfChar]]&lt;=aoc_02_input[[#This Row],[Int2]]),1,0)</f>
        <v>0</v>
      </c>
      <c r="J826" s="1" t="str">
        <f>MID(aoc_02_input[[#This Row],[Password]],aoc_02_input[[#This Row],[Int1]],1)</f>
        <v>r</v>
      </c>
      <c r="K826" s="1">
        <f>IF(aoc_02_input[[#This Row],[Pos1]]=aoc_02_input[[#This Row],[Char]],1,0)</f>
        <v>1</v>
      </c>
      <c r="L826" s="1" t="str">
        <f>MID(aoc_02_input[[#This Row],[Password]],aoc_02_input[[#This Row],[Int2]],1)</f>
        <v>n</v>
      </c>
      <c r="M826" s="1">
        <f>IF(aoc_02_input[[#This Row],[Pos2]]=aoc_02_input[[#This Row],[Char]],1,0)</f>
        <v>0</v>
      </c>
      <c r="N826" s="1">
        <f>IF(aoc_02_input[[#This Row],[Pos1Valid]]&lt;&gt;aoc_02_input[[#This Row],[Pos2Valid]],1,0)</f>
        <v>1</v>
      </c>
    </row>
    <row r="827" spans="1:14" x14ac:dyDescent="0.45">
      <c r="A827" s="1" t="s">
        <v>435</v>
      </c>
      <c r="B827" s="1" t="s">
        <v>249</v>
      </c>
      <c r="C827" s="1" t="s">
        <v>1192</v>
      </c>
      <c r="D827" s="1">
        <f>FIND("-",aoc_02_input[[#This Row],[InputNumbers]])</f>
        <v>2</v>
      </c>
      <c r="E827" s="1">
        <f>_xlfn.NUMBERVALUE(LEFT(aoc_02_input[[#This Row],[InputNumbers]],aoc_02_input[[#This Row],[PosDash]]-1))</f>
        <v>2</v>
      </c>
      <c r="F827" s="1">
        <f>_xlfn.NUMBERVALUE(MID(aoc_02_input[[#This Row],[InputNumbers]],aoc_02_input[[#This Row],[PosDash]]+1,5))</f>
        <v>10</v>
      </c>
      <c r="G827" s="1" t="str">
        <f>LEFT(aoc_02_input[[#This Row],[InputChar]],1)</f>
        <v>q</v>
      </c>
      <c r="H827" s="1" cm="1">
        <f t="array" ref="H827">CountChar(aoc_02_input[[#This Row],[Password]],aoc_02_input[[#This Row],[Char]])</f>
        <v>3</v>
      </c>
      <c r="I827" s="1">
        <f>IF(AND(aoc_02_input[[#This Row],[Int1]]&lt;=aoc_02_input[[#This Row],[CountOfChar]],aoc_02_input[[#This Row],[CountOfChar]]&lt;=aoc_02_input[[#This Row],[Int2]]),1,0)</f>
        <v>1</v>
      </c>
      <c r="J827" s="1" t="str">
        <f>MID(aoc_02_input[[#This Row],[Password]],aoc_02_input[[#This Row],[Int1]],1)</f>
        <v>q</v>
      </c>
      <c r="K827" s="1">
        <f>IF(aoc_02_input[[#This Row],[Pos1]]=aoc_02_input[[#This Row],[Char]],1,0)</f>
        <v>1</v>
      </c>
      <c r="L827" s="1" t="str">
        <f>MID(aoc_02_input[[#This Row],[Password]],aoc_02_input[[#This Row],[Int2]],1)</f>
        <v>m</v>
      </c>
      <c r="M827" s="1">
        <f>IF(aoc_02_input[[#This Row],[Pos2]]=aoc_02_input[[#This Row],[Char]],1,0)</f>
        <v>0</v>
      </c>
      <c r="N827" s="1">
        <f>IF(aoc_02_input[[#This Row],[Pos1Valid]]&lt;&gt;aoc_02_input[[#This Row],[Pos2Valid]],1,0)</f>
        <v>1</v>
      </c>
    </row>
    <row r="828" spans="1:14" x14ac:dyDescent="0.45">
      <c r="A828" s="1" t="s">
        <v>555</v>
      </c>
      <c r="B828" s="1" t="s">
        <v>265</v>
      </c>
      <c r="C828" s="1" t="s">
        <v>1193</v>
      </c>
      <c r="D828" s="1">
        <f>FIND("-",aoc_02_input[[#This Row],[InputNumbers]])</f>
        <v>2</v>
      </c>
      <c r="E828" s="1">
        <f>_xlfn.NUMBERVALUE(LEFT(aoc_02_input[[#This Row],[InputNumbers]],aoc_02_input[[#This Row],[PosDash]]-1))</f>
        <v>1</v>
      </c>
      <c r="F828" s="1">
        <f>_xlfn.NUMBERVALUE(MID(aoc_02_input[[#This Row],[InputNumbers]],aoc_02_input[[#This Row],[PosDash]]+1,5))</f>
        <v>10</v>
      </c>
      <c r="G828" s="1" t="str">
        <f>LEFT(aoc_02_input[[#This Row],[InputChar]],1)</f>
        <v>r</v>
      </c>
      <c r="H828" s="1" cm="1">
        <f t="array" ref="H828">CountChar(aoc_02_input[[#This Row],[Password]],aoc_02_input[[#This Row],[Char]])</f>
        <v>3</v>
      </c>
      <c r="I828" s="1">
        <f>IF(AND(aoc_02_input[[#This Row],[Int1]]&lt;=aoc_02_input[[#This Row],[CountOfChar]],aoc_02_input[[#This Row],[CountOfChar]]&lt;=aoc_02_input[[#This Row],[Int2]]),1,0)</f>
        <v>1</v>
      </c>
      <c r="J828" s="1" t="str">
        <f>MID(aoc_02_input[[#This Row],[Password]],aoc_02_input[[#This Row],[Int1]],1)</f>
        <v>r</v>
      </c>
      <c r="K828" s="1">
        <f>IF(aoc_02_input[[#This Row],[Pos1]]=aoc_02_input[[#This Row],[Char]],1,0)</f>
        <v>1</v>
      </c>
      <c r="L828" s="1" t="str">
        <f>MID(aoc_02_input[[#This Row],[Password]],aoc_02_input[[#This Row],[Int2]],1)</f>
        <v>r</v>
      </c>
      <c r="M828" s="1">
        <f>IF(aoc_02_input[[#This Row],[Pos2]]=aoc_02_input[[#This Row],[Char]],1,0)</f>
        <v>1</v>
      </c>
      <c r="N828" s="1">
        <f>IF(aoc_02_input[[#This Row],[Pos1Valid]]&lt;&gt;aoc_02_input[[#This Row],[Pos2Valid]],1,0)</f>
        <v>0</v>
      </c>
    </row>
    <row r="829" spans="1:14" x14ac:dyDescent="0.45">
      <c r="A829" s="1" t="s">
        <v>256</v>
      </c>
      <c r="B829" s="1" t="s">
        <v>207</v>
      </c>
      <c r="C829" s="1" t="s">
        <v>1194</v>
      </c>
      <c r="D829" s="1">
        <f>FIND("-",aoc_02_input[[#This Row],[InputNumbers]])</f>
        <v>2</v>
      </c>
      <c r="E829" s="1">
        <f>_xlfn.NUMBERVALUE(LEFT(aoc_02_input[[#This Row],[InputNumbers]],aoc_02_input[[#This Row],[PosDash]]-1))</f>
        <v>5</v>
      </c>
      <c r="F829" s="1">
        <f>_xlfn.NUMBERVALUE(MID(aoc_02_input[[#This Row],[InputNumbers]],aoc_02_input[[#This Row],[PosDash]]+1,5))</f>
        <v>7</v>
      </c>
      <c r="G829" s="1" t="str">
        <f>LEFT(aoc_02_input[[#This Row],[InputChar]],1)</f>
        <v>b</v>
      </c>
      <c r="H829" s="1" cm="1">
        <f t="array" ref="H829">CountChar(aoc_02_input[[#This Row],[Password]],aoc_02_input[[#This Row],[Char]])</f>
        <v>4</v>
      </c>
      <c r="I829" s="1">
        <f>IF(AND(aoc_02_input[[#This Row],[Int1]]&lt;=aoc_02_input[[#This Row],[CountOfChar]],aoc_02_input[[#This Row],[CountOfChar]]&lt;=aoc_02_input[[#This Row],[Int2]]),1,0)</f>
        <v>0</v>
      </c>
      <c r="J829" s="1" t="str">
        <f>MID(aoc_02_input[[#This Row],[Password]],aoc_02_input[[#This Row],[Int1]],1)</f>
        <v>n</v>
      </c>
      <c r="K829" s="1">
        <f>IF(aoc_02_input[[#This Row],[Pos1]]=aoc_02_input[[#This Row],[Char]],1,0)</f>
        <v>0</v>
      </c>
      <c r="L829" s="1" t="str">
        <f>MID(aoc_02_input[[#This Row],[Password]],aoc_02_input[[#This Row],[Int2]],1)</f>
        <v>n</v>
      </c>
      <c r="M829" s="1">
        <f>IF(aoc_02_input[[#This Row],[Pos2]]=aoc_02_input[[#This Row],[Char]],1,0)</f>
        <v>0</v>
      </c>
      <c r="N829" s="1">
        <f>IF(aoc_02_input[[#This Row],[Pos1Valid]]&lt;&gt;aoc_02_input[[#This Row],[Pos2Valid]],1,0)</f>
        <v>0</v>
      </c>
    </row>
    <row r="830" spans="1:14" x14ac:dyDescent="0.45">
      <c r="A830" s="1" t="s">
        <v>660</v>
      </c>
      <c r="B830" s="1" t="s">
        <v>219</v>
      </c>
      <c r="C830" s="1" t="s">
        <v>1195</v>
      </c>
      <c r="D830" s="1">
        <f>FIND("-",aoc_02_input[[#This Row],[InputNumbers]])</f>
        <v>2</v>
      </c>
      <c r="E830" s="1">
        <f>_xlfn.NUMBERVALUE(LEFT(aoc_02_input[[#This Row],[InputNumbers]],aoc_02_input[[#This Row],[PosDash]]-1))</f>
        <v>4</v>
      </c>
      <c r="F830" s="1">
        <f>_xlfn.NUMBERVALUE(MID(aoc_02_input[[#This Row],[InputNumbers]],aoc_02_input[[#This Row],[PosDash]]+1,5))</f>
        <v>12</v>
      </c>
      <c r="G830" s="1" t="str">
        <f>LEFT(aoc_02_input[[#This Row],[InputChar]],1)</f>
        <v>g</v>
      </c>
      <c r="H830" s="1" cm="1">
        <f t="array" ref="H830">CountChar(aoc_02_input[[#This Row],[Password]],aoc_02_input[[#This Row],[Char]])</f>
        <v>10</v>
      </c>
      <c r="I830" s="1">
        <f>IF(AND(aoc_02_input[[#This Row],[Int1]]&lt;=aoc_02_input[[#This Row],[CountOfChar]],aoc_02_input[[#This Row],[CountOfChar]]&lt;=aoc_02_input[[#This Row],[Int2]]),1,0)</f>
        <v>1</v>
      </c>
      <c r="J830" s="1" t="str">
        <f>MID(aoc_02_input[[#This Row],[Password]],aoc_02_input[[#This Row],[Int1]],1)</f>
        <v>g</v>
      </c>
      <c r="K830" s="1">
        <f>IF(aoc_02_input[[#This Row],[Pos1]]=aoc_02_input[[#This Row],[Char]],1,0)</f>
        <v>1</v>
      </c>
      <c r="L830" s="1" t="str">
        <f>MID(aoc_02_input[[#This Row],[Password]],aoc_02_input[[#This Row],[Int2]],1)</f>
        <v>g</v>
      </c>
      <c r="M830" s="1">
        <f>IF(aoc_02_input[[#This Row],[Pos2]]=aoc_02_input[[#This Row],[Char]],1,0)</f>
        <v>1</v>
      </c>
      <c r="N830" s="1">
        <f>IF(aoc_02_input[[#This Row],[Pos1Valid]]&lt;&gt;aoc_02_input[[#This Row],[Pos2Valid]],1,0)</f>
        <v>0</v>
      </c>
    </row>
    <row r="831" spans="1:14" x14ac:dyDescent="0.45">
      <c r="A831" s="1" t="s">
        <v>441</v>
      </c>
      <c r="B831" s="1" t="s">
        <v>249</v>
      </c>
      <c r="C831" s="1" t="s">
        <v>1196</v>
      </c>
      <c r="D831" s="1">
        <f>FIND("-",aoc_02_input[[#This Row],[InputNumbers]])</f>
        <v>3</v>
      </c>
      <c r="E831" s="1">
        <f>_xlfn.NUMBERVALUE(LEFT(aoc_02_input[[#This Row],[InputNumbers]],aoc_02_input[[#This Row],[PosDash]]-1))</f>
        <v>11</v>
      </c>
      <c r="F831" s="1">
        <f>_xlfn.NUMBERVALUE(MID(aoc_02_input[[#This Row],[InputNumbers]],aoc_02_input[[#This Row],[PosDash]]+1,5))</f>
        <v>13</v>
      </c>
      <c r="G831" s="1" t="str">
        <f>LEFT(aoc_02_input[[#This Row],[InputChar]],1)</f>
        <v>q</v>
      </c>
      <c r="H831" s="1" cm="1">
        <f t="array" ref="H831">CountChar(aoc_02_input[[#This Row],[Password]],aoc_02_input[[#This Row],[Char]])</f>
        <v>9</v>
      </c>
      <c r="I831" s="1">
        <f>IF(AND(aoc_02_input[[#This Row],[Int1]]&lt;=aoc_02_input[[#This Row],[CountOfChar]],aoc_02_input[[#This Row],[CountOfChar]]&lt;=aoc_02_input[[#This Row],[Int2]]),1,0)</f>
        <v>0</v>
      </c>
      <c r="J831" s="1" t="str">
        <f>MID(aoc_02_input[[#This Row],[Password]],aoc_02_input[[#This Row],[Int1]],1)</f>
        <v>d</v>
      </c>
      <c r="K831" s="1">
        <f>IF(aoc_02_input[[#This Row],[Pos1]]=aoc_02_input[[#This Row],[Char]],1,0)</f>
        <v>0</v>
      </c>
      <c r="L831" s="1" t="str">
        <f>MID(aoc_02_input[[#This Row],[Password]],aoc_02_input[[#This Row],[Int2]],1)</f>
        <v>h</v>
      </c>
      <c r="M831" s="1">
        <f>IF(aoc_02_input[[#This Row],[Pos2]]=aoc_02_input[[#This Row],[Char]],1,0)</f>
        <v>0</v>
      </c>
      <c r="N831" s="1">
        <f>IF(aoc_02_input[[#This Row],[Pos1Valid]]&lt;&gt;aoc_02_input[[#This Row],[Pos2Valid]],1,0)</f>
        <v>0</v>
      </c>
    </row>
    <row r="832" spans="1:14" x14ac:dyDescent="0.45">
      <c r="A832" s="1" t="s">
        <v>251</v>
      </c>
      <c r="B832" s="1" t="s">
        <v>216</v>
      </c>
      <c r="C832" s="1" t="s">
        <v>1197</v>
      </c>
      <c r="D832" s="1">
        <f>FIND("-",aoc_02_input[[#This Row],[InputNumbers]])</f>
        <v>2</v>
      </c>
      <c r="E832" s="1">
        <f>_xlfn.NUMBERVALUE(LEFT(aoc_02_input[[#This Row],[InputNumbers]],aoc_02_input[[#This Row],[PosDash]]-1))</f>
        <v>5</v>
      </c>
      <c r="F832" s="1">
        <f>_xlfn.NUMBERVALUE(MID(aoc_02_input[[#This Row],[InputNumbers]],aoc_02_input[[#This Row],[PosDash]]+1,5))</f>
        <v>6</v>
      </c>
      <c r="G832" s="1" t="str">
        <f>LEFT(aoc_02_input[[#This Row],[InputChar]],1)</f>
        <v>z</v>
      </c>
      <c r="H832" s="1" cm="1">
        <f t="array" ref="H832">CountChar(aoc_02_input[[#This Row],[Password]],aoc_02_input[[#This Row],[Char]])</f>
        <v>6</v>
      </c>
      <c r="I832" s="1">
        <f>IF(AND(aoc_02_input[[#This Row],[Int1]]&lt;=aoc_02_input[[#This Row],[CountOfChar]],aoc_02_input[[#This Row],[CountOfChar]]&lt;=aoc_02_input[[#This Row],[Int2]]),1,0)</f>
        <v>1</v>
      </c>
      <c r="J832" s="1" t="str">
        <f>MID(aoc_02_input[[#This Row],[Password]],aoc_02_input[[#This Row],[Int1]],1)</f>
        <v>z</v>
      </c>
      <c r="K832" s="1">
        <f>IF(aoc_02_input[[#This Row],[Pos1]]=aoc_02_input[[#This Row],[Char]],1,0)</f>
        <v>1</v>
      </c>
      <c r="L832" s="1" t="str">
        <f>MID(aoc_02_input[[#This Row],[Password]],aoc_02_input[[#This Row],[Int2]],1)</f>
        <v>z</v>
      </c>
      <c r="M832" s="1">
        <f>IF(aoc_02_input[[#This Row],[Pos2]]=aoc_02_input[[#This Row],[Char]],1,0)</f>
        <v>1</v>
      </c>
      <c r="N832" s="1">
        <f>IF(aoc_02_input[[#This Row],[Pos1Valid]]&lt;&gt;aoc_02_input[[#This Row],[Pos2Valid]],1,0)</f>
        <v>0</v>
      </c>
    </row>
    <row r="833" spans="1:14" x14ac:dyDescent="0.45">
      <c r="A833" s="1" t="s">
        <v>352</v>
      </c>
      <c r="B833" s="1" t="s">
        <v>305</v>
      </c>
      <c r="C833" s="1" t="s">
        <v>1198</v>
      </c>
      <c r="D833" s="1">
        <f>FIND("-",aoc_02_input[[#This Row],[InputNumbers]])</f>
        <v>3</v>
      </c>
      <c r="E833" s="1">
        <f>_xlfn.NUMBERVALUE(LEFT(aoc_02_input[[#This Row],[InputNumbers]],aoc_02_input[[#This Row],[PosDash]]-1))</f>
        <v>15</v>
      </c>
      <c r="F833" s="1">
        <f>_xlfn.NUMBERVALUE(MID(aoc_02_input[[#This Row],[InputNumbers]],aoc_02_input[[#This Row],[PosDash]]+1,5))</f>
        <v>16</v>
      </c>
      <c r="G833" s="1" t="str">
        <f>LEFT(aoc_02_input[[#This Row],[InputChar]],1)</f>
        <v>s</v>
      </c>
      <c r="H833" s="1" cm="1">
        <f t="array" ref="H833">CountChar(aoc_02_input[[#This Row],[Password]],aoc_02_input[[#This Row],[Char]])</f>
        <v>7</v>
      </c>
      <c r="I833" s="1">
        <f>IF(AND(aoc_02_input[[#This Row],[Int1]]&lt;=aoc_02_input[[#This Row],[CountOfChar]],aoc_02_input[[#This Row],[CountOfChar]]&lt;=aoc_02_input[[#This Row],[Int2]]),1,0)</f>
        <v>0</v>
      </c>
      <c r="J833" s="1" t="str">
        <f>MID(aoc_02_input[[#This Row],[Password]],aoc_02_input[[#This Row],[Int1]],1)</f>
        <v>c</v>
      </c>
      <c r="K833" s="1">
        <f>IF(aoc_02_input[[#This Row],[Pos1]]=aoc_02_input[[#This Row],[Char]],1,0)</f>
        <v>0</v>
      </c>
      <c r="L833" s="1" t="str">
        <f>MID(aoc_02_input[[#This Row],[Password]],aoc_02_input[[#This Row],[Int2]],1)</f>
        <v>s</v>
      </c>
      <c r="M833" s="1">
        <f>IF(aoc_02_input[[#This Row],[Pos2]]=aoc_02_input[[#This Row],[Char]],1,0)</f>
        <v>1</v>
      </c>
      <c r="N833" s="1">
        <f>IF(aoc_02_input[[#This Row],[Pos1Valid]]&lt;&gt;aoc_02_input[[#This Row],[Pos2Valid]],1,0)</f>
        <v>1</v>
      </c>
    </row>
    <row r="834" spans="1:14" x14ac:dyDescent="0.45">
      <c r="A834" s="1" t="s">
        <v>256</v>
      </c>
      <c r="B834" s="1" t="s">
        <v>243</v>
      </c>
      <c r="C834" s="1" t="s">
        <v>1199</v>
      </c>
      <c r="D834" s="1">
        <f>FIND("-",aoc_02_input[[#This Row],[InputNumbers]])</f>
        <v>2</v>
      </c>
      <c r="E834" s="1">
        <f>_xlfn.NUMBERVALUE(LEFT(aoc_02_input[[#This Row],[InputNumbers]],aoc_02_input[[#This Row],[PosDash]]-1))</f>
        <v>5</v>
      </c>
      <c r="F834" s="1">
        <f>_xlfn.NUMBERVALUE(MID(aoc_02_input[[#This Row],[InputNumbers]],aoc_02_input[[#This Row],[PosDash]]+1,5))</f>
        <v>7</v>
      </c>
      <c r="G834" s="1" t="str">
        <f>LEFT(aoc_02_input[[#This Row],[InputChar]],1)</f>
        <v>f</v>
      </c>
      <c r="H834" s="1" cm="1">
        <f t="array" ref="H834">CountChar(aoc_02_input[[#This Row],[Password]],aoc_02_input[[#This Row],[Char]])</f>
        <v>6</v>
      </c>
      <c r="I834" s="1">
        <f>IF(AND(aoc_02_input[[#This Row],[Int1]]&lt;=aoc_02_input[[#This Row],[CountOfChar]],aoc_02_input[[#This Row],[CountOfChar]]&lt;=aoc_02_input[[#This Row],[Int2]]),1,0)</f>
        <v>1</v>
      </c>
      <c r="J834" s="1" t="str">
        <f>MID(aoc_02_input[[#This Row],[Password]],aoc_02_input[[#This Row],[Int1]],1)</f>
        <v>f</v>
      </c>
      <c r="K834" s="1">
        <f>IF(aoc_02_input[[#This Row],[Pos1]]=aoc_02_input[[#This Row],[Char]],1,0)</f>
        <v>1</v>
      </c>
      <c r="L834" s="1" t="str">
        <f>MID(aoc_02_input[[#This Row],[Password]],aoc_02_input[[#This Row],[Int2]],1)</f>
        <v>f</v>
      </c>
      <c r="M834" s="1">
        <f>IF(aoc_02_input[[#This Row],[Pos2]]=aoc_02_input[[#This Row],[Char]],1,0)</f>
        <v>1</v>
      </c>
      <c r="N834" s="1">
        <f>IF(aoc_02_input[[#This Row],[Pos1Valid]]&lt;&gt;aoc_02_input[[#This Row],[Pos2Valid]],1,0)</f>
        <v>0</v>
      </c>
    </row>
    <row r="835" spans="1:14" x14ac:dyDescent="0.45">
      <c r="A835" s="1" t="s">
        <v>224</v>
      </c>
      <c r="B835" s="1" t="s">
        <v>265</v>
      </c>
      <c r="C835" s="1" t="s">
        <v>1200</v>
      </c>
      <c r="D835" s="1">
        <f>FIND("-",aoc_02_input[[#This Row],[InputNumbers]])</f>
        <v>2</v>
      </c>
      <c r="E835" s="1">
        <f>_xlfn.NUMBERVALUE(LEFT(aoc_02_input[[#This Row],[InputNumbers]],aoc_02_input[[#This Row],[PosDash]]-1))</f>
        <v>1</v>
      </c>
      <c r="F835" s="1">
        <f>_xlfn.NUMBERVALUE(MID(aoc_02_input[[#This Row],[InputNumbers]],aoc_02_input[[#This Row],[PosDash]]+1,5))</f>
        <v>5</v>
      </c>
      <c r="G835" s="1" t="str">
        <f>LEFT(aoc_02_input[[#This Row],[InputChar]],1)</f>
        <v>r</v>
      </c>
      <c r="H835" s="1" cm="1">
        <f t="array" ref="H835">CountChar(aoc_02_input[[#This Row],[Password]],aoc_02_input[[#This Row],[Char]])</f>
        <v>6</v>
      </c>
      <c r="I835" s="1">
        <f>IF(AND(aoc_02_input[[#This Row],[Int1]]&lt;=aoc_02_input[[#This Row],[CountOfChar]],aoc_02_input[[#This Row],[CountOfChar]]&lt;=aoc_02_input[[#This Row],[Int2]]),1,0)</f>
        <v>0</v>
      </c>
      <c r="J835" s="1" t="str">
        <f>MID(aoc_02_input[[#This Row],[Password]],aoc_02_input[[#This Row],[Int1]],1)</f>
        <v>c</v>
      </c>
      <c r="K835" s="1">
        <f>IF(aoc_02_input[[#This Row],[Pos1]]=aoc_02_input[[#This Row],[Char]],1,0)</f>
        <v>0</v>
      </c>
      <c r="L835" s="1" t="str">
        <f>MID(aoc_02_input[[#This Row],[Password]],aoc_02_input[[#This Row],[Int2]],1)</f>
        <v>r</v>
      </c>
      <c r="M835" s="1">
        <f>IF(aoc_02_input[[#This Row],[Pos2]]=aoc_02_input[[#This Row],[Char]],1,0)</f>
        <v>1</v>
      </c>
      <c r="N835" s="1">
        <f>IF(aoc_02_input[[#This Row],[Pos1Valid]]&lt;&gt;aoc_02_input[[#This Row],[Pos2Valid]],1,0)</f>
        <v>1</v>
      </c>
    </row>
    <row r="836" spans="1:14" x14ac:dyDescent="0.45">
      <c r="A836" s="1" t="s">
        <v>417</v>
      </c>
      <c r="B836" s="1" t="s">
        <v>210</v>
      </c>
      <c r="C836" s="1" t="s">
        <v>1201</v>
      </c>
      <c r="D836" s="1">
        <f>FIND("-",aoc_02_input[[#This Row],[InputNumbers]])</f>
        <v>3</v>
      </c>
      <c r="E836" s="1">
        <f>_xlfn.NUMBERVALUE(LEFT(aoc_02_input[[#This Row],[InputNumbers]],aoc_02_input[[#This Row],[PosDash]]-1))</f>
        <v>12</v>
      </c>
      <c r="F836" s="1">
        <f>_xlfn.NUMBERVALUE(MID(aoc_02_input[[#This Row],[InputNumbers]],aoc_02_input[[#This Row],[PosDash]]+1,5))</f>
        <v>13</v>
      </c>
      <c r="G836" s="1" t="str">
        <f>LEFT(aoc_02_input[[#This Row],[InputChar]],1)</f>
        <v>v</v>
      </c>
      <c r="H836" s="1" cm="1">
        <f t="array" ref="H836">CountChar(aoc_02_input[[#This Row],[Password]],aoc_02_input[[#This Row],[Char]])</f>
        <v>11</v>
      </c>
      <c r="I836" s="1">
        <f>IF(AND(aoc_02_input[[#This Row],[Int1]]&lt;=aoc_02_input[[#This Row],[CountOfChar]],aoc_02_input[[#This Row],[CountOfChar]]&lt;=aoc_02_input[[#This Row],[Int2]]),1,0)</f>
        <v>0</v>
      </c>
      <c r="J836" s="1" t="str">
        <f>MID(aoc_02_input[[#This Row],[Password]],aoc_02_input[[#This Row],[Int1]],1)</f>
        <v>v</v>
      </c>
      <c r="K836" s="1">
        <f>IF(aoc_02_input[[#This Row],[Pos1]]=aoc_02_input[[#This Row],[Char]],1,0)</f>
        <v>1</v>
      </c>
      <c r="L836" s="1" t="str">
        <f>MID(aoc_02_input[[#This Row],[Password]],aoc_02_input[[#This Row],[Int2]],1)</f>
        <v>b</v>
      </c>
      <c r="M836" s="1">
        <f>IF(aoc_02_input[[#This Row],[Pos2]]=aoc_02_input[[#This Row],[Char]],1,0)</f>
        <v>0</v>
      </c>
      <c r="N836" s="1">
        <f>IF(aoc_02_input[[#This Row],[Pos1Valid]]&lt;&gt;aoc_02_input[[#This Row],[Pos2Valid]],1,0)</f>
        <v>1</v>
      </c>
    </row>
    <row r="837" spans="1:14" x14ac:dyDescent="0.45">
      <c r="A837" s="1" t="s">
        <v>320</v>
      </c>
      <c r="B837" s="1" t="s">
        <v>314</v>
      </c>
      <c r="C837" s="1" t="s">
        <v>1202</v>
      </c>
      <c r="D837" s="1">
        <f>FIND("-",aoc_02_input[[#This Row],[InputNumbers]])</f>
        <v>2</v>
      </c>
      <c r="E837" s="1">
        <f>_xlfn.NUMBERVALUE(LEFT(aoc_02_input[[#This Row],[InputNumbers]],aoc_02_input[[#This Row],[PosDash]]-1))</f>
        <v>6</v>
      </c>
      <c r="F837" s="1">
        <f>_xlfn.NUMBERVALUE(MID(aoc_02_input[[#This Row],[InputNumbers]],aoc_02_input[[#This Row],[PosDash]]+1,5))</f>
        <v>7</v>
      </c>
      <c r="G837" s="1" t="str">
        <f>LEFT(aoc_02_input[[#This Row],[InputChar]],1)</f>
        <v>h</v>
      </c>
      <c r="H837" s="1" cm="1">
        <f t="array" ref="H837">CountChar(aoc_02_input[[#This Row],[Password]],aoc_02_input[[#This Row],[Char]])</f>
        <v>6</v>
      </c>
      <c r="I837" s="1">
        <f>IF(AND(aoc_02_input[[#This Row],[Int1]]&lt;=aoc_02_input[[#This Row],[CountOfChar]],aoc_02_input[[#This Row],[CountOfChar]]&lt;=aoc_02_input[[#This Row],[Int2]]),1,0)</f>
        <v>1</v>
      </c>
      <c r="J837" s="1" t="str">
        <f>MID(aoc_02_input[[#This Row],[Password]],aoc_02_input[[#This Row],[Int1]],1)</f>
        <v>z</v>
      </c>
      <c r="K837" s="1">
        <f>IF(aoc_02_input[[#This Row],[Pos1]]=aoc_02_input[[#This Row],[Char]],1,0)</f>
        <v>0</v>
      </c>
      <c r="L837" s="1" t="str">
        <f>MID(aoc_02_input[[#This Row],[Password]],aoc_02_input[[#This Row],[Int2]],1)</f>
        <v>q</v>
      </c>
      <c r="M837" s="1">
        <f>IF(aoc_02_input[[#This Row],[Pos2]]=aoc_02_input[[#This Row],[Char]],1,0)</f>
        <v>0</v>
      </c>
      <c r="N837" s="1">
        <f>IF(aoc_02_input[[#This Row],[Pos1Valid]]&lt;&gt;aoc_02_input[[#This Row],[Pos2Valid]],1,0)</f>
        <v>0</v>
      </c>
    </row>
    <row r="838" spans="1:14" x14ac:dyDescent="0.45">
      <c r="A838" s="1" t="s">
        <v>380</v>
      </c>
      <c r="B838" s="1" t="s">
        <v>207</v>
      </c>
      <c r="C838" s="1" t="s">
        <v>1203</v>
      </c>
      <c r="D838" s="1">
        <f>FIND("-",aoc_02_input[[#This Row],[InputNumbers]])</f>
        <v>2</v>
      </c>
      <c r="E838" s="1">
        <f>_xlfn.NUMBERVALUE(LEFT(aoc_02_input[[#This Row],[InputNumbers]],aoc_02_input[[#This Row],[PosDash]]-1))</f>
        <v>3</v>
      </c>
      <c r="F838" s="1">
        <f>_xlfn.NUMBERVALUE(MID(aoc_02_input[[#This Row],[InputNumbers]],aoc_02_input[[#This Row],[PosDash]]+1,5))</f>
        <v>7</v>
      </c>
      <c r="G838" s="1" t="str">
        <f>LEFT(aoc_02_input[[#This Row],[InputChar]],1)</f>
        <v>b</v>
      </c>
      <c r="H838" s="1" cm="1">
        <f t="array" ref="H838">CountChar(aoc_02_input[[#This Row],[Password]],aoc_02_input[[#This Row],[Char]])</f>
        <v>4</v>
      </c>
      <c r="I838" s="1">
        <f>IF(AND(aoc_02_input[[#This Row],[Int1]]&lt;=aoc_02_input[[#This Row],[CountOfChar]],aoc_02_input[[#This Row],[CountOfChar]]&lt;=aoc_02_input[[#This Row],[Int2]]),1,0)</f>
        <v>1</v>
      </c>
      <c r="J838" s="1" t="str">
        <f>MID(aoc_02_input[[#This Row],[Password]],aoc_02_input[[#This Row],[Int1]],1)</f>
        <v>d</v>
      </c>
      <c r="K838" s="1">
        <f>IF(aoc_02_input[[#This Row],[Pos1]]=aoc_02_input[[#This Row],[Char]],1,0)</f>
        <v>0</v>
      </c>
      <c r="L838" s="1" t="str">
        <f>MID(aoc_02_input[[#This Row],[Password]],aoc_02_input[[#This Row],[Int2]],1)</f>
        <v>b</v>
      </c>
      <c r="M838" s="1">
        <f>IF(aoc_02_input[[#This Row],[Pos2]]=aoc_02_input[[#This Row],[Char]],1,0)</f>
        <v>1</v>
      </c>
      <c r="N838" s="1">
        <f>IF(aoc_02_input[[#This Row],[Pos1Valid]]&lt;&gt;aoc_02_input[[#This Row],[Pos2Valid]],1,0)</f>
        <v>1</v>
      </c>
    </row>
    <row r="839" spans="1:14" x14ac:dyDescent="0.45">
      <c r="A839" s="1" t="s">
        <v>324</v>
      </c>
      <c r="B839" s="1" t="s">
        <v>278</v>
      </c>
      <c r="C839" s="1" t="s">
        <v>1204</v>
      </c>
      <c r="D839" s="1">
        <f>FIND("-",aoc_02_input[[#This Row],[InputNumbers]])</f>
        <v>2</v>
      </c>
      <c r="E839" s="1">
        <f>_xlfn.NUMBERVALUE(LEFT(aoc_02_input[[#This Row],[InputNumbers]],aoc_02_input[[#This Row],[PosDash]]-1))</f>
        <v>1</v>
      </c>
      <c r="F839" s="1">
        <f>_xlfn.NUMBERVALUE(MID(aoc_02_input[[#This Row],[InputNumbers]],aoc_02_input[[#This Row],[PosDash]]+1,5))</f>
        <v>3</v>
      </c>
      <c r="G839" s="1" t="str">
        <f>LEFT(aoc_02_input[[#This Row],[InputChar]],1)</f>
        <v>x</v>
      </c>
      <c r="H839" s="1" cm="1">
        <f t="array" ref="H839">CountChar(aoc_02_input[[#This Row],[Password]],aoc_02_input[[#This Row],[Char]])</f>
        <v>2</v>
      </c>
      <c r="I839" s="1">
        <f>IF(AND(aoc_02_input[[#This Row],[Int1]]&lt;=aoc_02_input[[#This Row],[CountOfChar]],aoc_02_input[[#This Row],[CountOfChar]]&lt;=aoc_02_input[[#This Row],[Int2]]),1,0)</f>
        <v>1</v>
      </c>
      <c r="J839" s="1" t="str">
        <f>MID(aoc_02_input[[#This Row],[Password]],aoc_02_input[[#This Row],[Int1]],1)</f>
        <v>l</v>
      </c>
      <c r="K839" s="1">
        <f>IF(aoc_02_input[[#This Row],[Pos1]]=aoc_02_input[[#This Row],[Char]],1,0)</f>
        <v>0</v>
      </c>
      <c r="L839" s="1" t="str">
        <f>MID(aoc_02_input[[#This Row],[Password]],aoc_02_input[[#This Row],[Int2]],1)</f>
        <v>d</v>
      </c>
      <c r="M839" s="1">
        <f>IF(aoc_02_input[[#This Row],[Pos2]]=aoc_02_input[[#This Row],[Char]],1,0)</f>
        <v>0</v>
      </c>
      <c r="N839" s="1">
        <f>IF(aoc_02_input[[#This Row],[Pos1Valid]]&lt;&gt;aoc_02_input[[#This Row],[Pos2Valid]],1,0)</f>
        <v>0</v>
      </c>
    </row>
    <row r="840" spans="1:14" x14ac:dyDescent="0.45">
      <c r="A840" s="1" t="s">
        <v>271</v>
      </c>
      <c r="B840" s="1" t="s">
        <v>252</v>
      </c>
      <c r="C840" s="1" t="s">
        <v>1205</v>
      </c>
      <c r="D840" s="1">
        <f>FIND("-",aoc_02_input[[#This Row],[InputNumbers]])</f>
        <v>2</v>
      </c>
      <c r="E840" s="1">
        <f>_xlfn.NUMBERVALUE(LEFT(aoc_02_input[[#This Row],[InputNumbers]],aoc_02_input[[#This Row],[PosDash]]-1))</f>
        <v>9</v>
      </c>
      <c r="F840" s="1">
        <f>_xlfn.NUMBERVALUE(MID(aoc_02_input[[#This Row],[InputNumbers]],aoc_02_input[[#This Row],[PosDash]]+1,5))</f>
        <v>10</v>
      </c>
      <c r="G840" s="1" t="str">
        <f>LEFT(aoc_02_input[[#This Row],[InputChar]],1)</f>
        <v>p</v>
      </c>
      <c r="H840" s="1" cm="1">
        <f t="array" ref="H840">CountChar(aoc_02_input[[#This Row],[Password]],aoc_02_input[[#This Row],[Char]])</f>
        <v>11</v>
      </c>
      <c r="I840" s="1">
        <f>IF(AND(aoc_02_input[[#This Row],[Int1]]&lt;=aoc_02_input[[#This Row],[CountOfChar]],aoc_02_input[[#This Row],[CountOfChar]]&lt;=aoc_02_input[[#This Row],[Int2]]),1,0)</f>
        <v>0</v>
      </c>
      <c r="J840" s="1" t="str">
        <f>MID(aoc_02_input[[#This Row],[Password]],aoc_02_input[[#This Row],[Int1]],1)</f>
        <v>p</v>
      </c>
      <c r="K840" s="1">
        <f>IF(aoc_02_input[[#This Row],[Pos1]]=aoc_02_input[[#This Row],[Char]],1,0)</f>
        <v>1</v>
      </c>
      <c r="L840" s="1" t="str">
        <f>MID(aoc_02_input[[#This Row],[Password]],aoc_02_input[[#This Row],[Int2]],1)</f>
        <v>p</v>
      </c>
      <c r="M840" s="1">
        <f>IF(aoc_02_input[[#This Row],[Pos2]]=aoc_02_input[[#This Row],[Char]],1,0)</f>
        <v>1</v>
      </c>
      <c r="N840" s="1">
        <f>IF(aoc_02_input[[#This Row],[Pos1Valid]]&lt;&gt;aoc_02_input[[#This Row],[Pos2Valid]],1,0)</f>
        <v>0</v>
      </c>
    </row>
    <row r="841" spans="1:14" x14ac:dyDescent="0.45">
      <c r="A841" s="1" t="s">
        <v>375</v>
      </c>
      <c r="B841" s="1" t="s">
        <v>238</v>
      </c>
      <c r="C841" s="1" t="s">
        <v>1206</v>
      </c>
      <c r="D841" s="1">
        <f>FIND("-",aoc_02_input[[#This Row],[InputNumbers]])</f>
        <v>2</v>
      </c>
      <c r="E841" s="1">
        <f>_xlfn.NUMBERVALUE(LEFT(aoc_02_input[[#This Row],[InputNumbers]],aoc_02_input[[#This Row],[PosDash]]-1))</f>
        <v>3</v>
      </c>
      <c r="F841" s="1">
        <f>_xlfn.NUMBERVALUE(MID(aoc_02_input[[#This Row],[InputNumbers]],aoc_02_input[[#This Row],[PosDash]]+1,5))</f>
        <v>13</v>
      </c>
      <c r="G841" s="1" t="str">
        <f>LEFT(aoc_02_input[[#This Row],[InputChar]],1)</f>
        <v>w</v>
      </c>
      <c r="H841" s="1" cm="1">
        <f t="array" ref="H841">CountChar(aoc_02_input[[#This Row],[Password]],aoc_02_input[[#This Row],[Char]])</f>
        <v>9</v>
      </c>
      <c r="I841" s="1">
        <f>IF(AND(aoc_02_input[[#This Row],[Int1]]&lt;=aoc_02_input[[#This Row],[CountOfChar]],aoc_02_input[[#This Row],[CountOfChar]]&lt;=aoc_02_input[[#This Row],[Int2]]),1,0)</f>
        <v>1</v>
      </c>
      <c r="J841" s="1" t="str">
        <f>MID(aoc_02_input[[#This Row],[Password]],aoc_02_input[[#This Row],[Int1]],1)</f>
        <v>w</v>
      </c>
      <c r="K841" s="1">
        <f>IF(aoc_02_input[[#This Row],[Pos1]]=aoc_02_input[[#This Row],[Char]],1,0)</f>
        <v>1</v>
      </c>
      <c r="L841" s="1" t="str">
        <f>MID(aoc_02_input[[#This Row],[Password]],aoc_02_input[[#This Row],[Int2]],1)</f>
        <v>w</v>
      </c>
      <c r="M841" s="1">
        <f>IF(aoc_02_input[[#This Row],[Pos2]]=aoc_02_input[[#This Row],[Char]],1,0)</f>
        <v>1</v>
      </c>
      <c r="N841" s="1">
        <f>IF(aoc_02_input[[#This Row],[Pos1Valid]]&lt;&gt;aoc_02_input[[#This Row],[Pos2Valid]],1,0)</f>
        <v>0</v>
      </c>
    </row>
    <row r="842" spans="1:14" x14ac:dyDescent="0.45">
      <c r="A842" s="1" t="s">
        <v>242</v>
      </c>
      <c r="B842" s="1" t="s">
        <v>252</v>
      </c>
      <c r="C842" s="1" t="s">
        <v>1207</v>
      </c>
      <c r="D842" s="1">
        <f>FIND("-",aoc_02_input[[#This Row],[InputNumbers]])</f>
        <v>3</v>
      </c>
      <c r="E842" s="1">
        <f>_xlfn.NUMBERVALUE(LEFT(aoc_02_input[[#This Row],[InputNumbers]],aoc_02_input[[#This Row],[PosDash]]-1))</f>
        <v>10</v>
      </c>
      <c r="F842" s="1">
        <f>_xlfn.NUMBERVALUE(MID(aoc_02_input[[#This Row],[InputNumbers]],aoc_02_input[[#This Row],[PosDash]]+1,5))</f>
        <v>11</v>
      </c>
      <c r="G842" s="1" t="str">
        <f>LEFT(aoc_02_input[[#This Row],[InputChar]],1)</f>
        <v>p</v>
      </c>
      <c r="H842" s="1" cm="1">
        <f t="array" ref="H842">CountChar(aoc_02_input[[#This Row],[Password]],aoc_02_input[[#This Row],[Char]])</f>
        <v>10</v>
      </c>
      <c r="I842" s="1">
        <f>IF(AND(aoc_02_input[[#This Row],[Int1]]&lt;=aoc_02_input[[#This Row],[CountOfChar]],aoc_02_input[[#This Row],[CountOfChar]]&lt;=aoc_02_input[[#This Row],[Int2]]),1,0)</f>
        <v>1</v>
      </c>
      <c r="J842" s="1" t="str">
        <f>MID(aoc_02_input[[#This Row],[Password]],aoc_02_input[[#This Row],[Int1]],1)</f>
        <v>p</v>
      </c>
      <c r="K842" s="1">
        <f>IF(aoc_02_input[[#This Row],[Pos1]]=aoc_02_input[[#This Row],[Char]],1,0)</f>
        <v>1</v>
      </c>
      <c r="L842" s="1" t="str">
        <f>MID(aoc_02_input[[#This Row],[Password]],aoc_02_input[[#This Row],[Int2]],1)</f>
        <v>p</v>
      </c>
      <c r="M842" s="1">
        <f>IF(aoc_02_input[[#This Row],[Pos2]]=aoc_02_input[[#This Row],[Char]],1,0)</f>
        <v>1</v>
      </c>
      <c r="N842" s="1">
        <f>IF(aoc_02_input[[#This Row],[Pos1Valid]]&lt;&gt;aoc_02_input[[#This Row],[Pos2Valid]],1,0)</f>
        <v>0</v>
      </c>
    </row>
    <row r="843" spans="1:14" x14ac:dyDescent="0.45">
      <c r="A843" s="1" t="s">
        <v>880</v>
      </c>
      <c r="B843" s="1" t="s">
        <v>278</v>
      </c>
      <c r="C843" s="1" t="s">
        <v>1208</v>
      </c>
      <c r="D843" s="1">
        <f>FIND("-",aoc_02_input[[#This Row],[InputNumbers]])</f>
        <v>3</v>
      </c>
      <c r="E843" s="1">
        <f>_xlfn.NUMBERVALUE(LEFT(aoc_02_input[[#This Row],[InputNumbers]],aoc_02_input[[#This Row],[PosDash]]-1))</f>
        <v>16</v>
      </c>
      <c r="F843" s="1">
        <f>_xlfn.NUMBERVALUE(MID(aoc_02_input[[#This Row],[InputNumbers]],aoc_02_input[[#This Row],[PosDash]]+1,5))</f>
        <v>18</v>
      </c>
      <c r="G843" s="1" t="str">
        <f>LEFT(aoc_02_input[[#This Row],[InputChar]],1)</f>
        <v>x</v>
      </c>
      <c r="H843" s="1" cm="1">
        <f t="array" ref="H843">CountChar(aoc_02_input[[#This Row],[Password]],aoc_02_input[[#This Row],[Char]])</f>
        <v>17</v>
      </c>
      <c r="I843" s="1">
        <f>IF(AND(aoc_02_input[[#This Row],[Int1]]&lt;=aoc_02_input[[#This Row],[CountOfChar]],aoc_02_input[[#This Row],[CountOfChar]]&lt;=aoc_02_input[[#This Row],[Int2]]),1,0)</f>
        <v>1</v>
      </c>
      <c r="J843" s="1" t="str">
        <f>MID(aoc_02_input[[#This Row],[Password]],aoc_02_input[[#This Row],[Int1]],1)</f>
        <v>s</v>
      </c>
      <c r="K843" s="1">
        <f>IF(aoc_02_input[[#This Row],[Pos1]]=aoc_02_input[[#This Row],[Char]],1,0)</f>
        <v>0</v>
      </c>
      <c r="L843" s="1" t="str">
        <f>MID(aoc_02_input[[#This Row],[Password]],aoc_02_input[[#This Row],[Int2]],1)</f>
        <v>x</v>
      </c>
      <c r="M843" s="1">
        <f>IF(aoc_02_input[[#This Row],[Pos2]]=aoc_02_input[[#This Row],[Char]],1,0)</f>
        <v>1</v>
      </c>
      <c r="N843" s="1">
        <f>IF(aoc_02_input[[#This Row],[Pos1Valid]]&lt;&gt;aoc_02_input[[#This Row],[Pos2Valid]],1,0)</f>
        <v>1</v>
      </c>
    </row>
    <row r="844" spans="1:14" x14ac:dyDescent="0.45">
      <c r="A844" s="1" t="s">
        <v>234</v>
      </c>
      <c r="B844" s="1" t="s">
        <v>213</v>
      </c>
      <c r="C844" s="1" t="s">
        <v>1209</v>
      </c>
      <c r="D844" s="1">
        <f>FIND("-",aoc_02_input[[#This Row],[InputNumbers]])</f>
        <v>2</v>
      </c>
      <c r="E844" s="1">
        <f>_xlfn.NUMBERVALUE(LEFT(aoc_02_input[[#This Row],[InputNumbers]],aoc_02_input[[#This Row],[PosDash]]-1))</f>
        <v>7</v>
      </c>
      <c r="F844" s="1">
        <f>_xlfn.NUMBERVALUE(MID(aoc_02_input[[#This Row],[InputNumbers]],aoc_02_input[[#This Row],[PosDash]]+1,5))</f>
        <v>8</v>
      </c>
      <c r="G844" s="1" t="str">
        <f>LEFT(aoc_02_input[[#This Row],[InputChar]],1)</f>
        <v>m</v>
      </c>
      <c r="H844" s="1" cm="1">
        <f t="array" ref="H844">CountChar(aoc_02_input[[#This Row],[Password]],aoc_02_input[[#This Row],[Char]])</f>
        <v>6</v>
      </c>
      <c r="I844" s="1">
        <f>IF(AND(aoc_02_input[[#This Row],[Int1]]&lt;=aoc_02_input[[#This Row],[CountOfChar]],aoc_02_input[[#This Row],[CountOfChar]]&lt;=aoc_02_input[[#This Row],[Int2]]),1,0)</f>
        <v>0</v>
      </c>
      <c r="J844" s="1" t="str">
        <f>MID(aoc_02_input[[#This Row],[Password]],aoc_02_input[[#This Row],[Int1]],1)</f>
        <v>t</v>
      </c>
      <c r="K844" s="1">
        <f>IF(aoc_02_input[[#This Row],[Pos1]]=aoc_02_input[[#This Row],[Char]],1,0)</f>
        <v>0</v>
      </c>
      <c r="L844" s="1" t="str">
        <f>MID(aoc_02_input[[#This Row],[Password]],aoc_02_input[[#This Row],[Int2]],1)</f>
        <v>j</v>
      </c>
      <c r="M844" s="1">
        <f>IF(aoc_02_input[[#This Row],[Pos2]]=aoc_02_input[[#This Row],[Char]],1,0)</f>
        <v>0</v>
      </c>
      <c r="N844" s="1">
        <f>IF(aoc_02_input[[#This Row],[Pos1Valid]]&lt;&gt;aoc_02_input[[#This Row],[Pos2Valid]],1,0)</f>
        <v>0</v>
      </c>
    </row>
    <row r="845" spans="1:14" x14ac:dyDescent="0.45">
      <c r="A845" s="1" t="s">
        <v>221</v>
      </c>
      <c r="B845" s="1" t="s">
        <v>207</v>
      </c>
      <c r="C845" s="1" t="s">
        <v>1210</v>
      </c>
      <c r="D845" s="1">
        <f>FIND("-",aoc_02_input[[#This Row],[InputNumbers]])</f>
        <v>2</v>
      </c>
      <c r="E845" s="1">
        <f>_xlfn.NUMBERVALUE(LEFT(aoc_02_input[[#This Row],[InputNumbers]],aoc_02_input[[#This Row],[PosDash]]-1))</f>
        <v>2</v>
      </c>
      <c r="F845" s="1">
        <f>_xlfn.NUMBERVALUE(MID(aoc_02_input[[#This Row],[InputNumbers]],aoc_02_input[[#This Row],[PosDash]]+1,5))</f>
        <v>3</v>
      </c>
      <c r="G845" s="1" t="str">
        <f>LEFT(aoc_02_input[[#This Row],[InputChar]],1)</f>
        <v>b</v>
      </c>
      <c r="H845" s="1" cm="1">
        <f t="array" ref="H845">CountChar(aoc_02_input[[#This Row],[Password]],aoc_02_input[[#This Row],[Char]])</f>
        <v>4</v>
      </c>
      <c r="I845" s="1">
        <f>IF(AND(aoc_02_input[[#This Row],[Int1]]&lt;=aoc_02_input[[#This Row],[CountOfChar]],aoc_02_input[[#This Row],[CountOfChar]]&lt;=aoc_02_input[[#This Row],[Int2]]),1,0)</f>
        <v>0</v>
      </c>
      <c r="J845" s="1" t="str">
        <f>MID(aoc_02_input[[#This Row],[Password]],aoc_02_input[[#This Row],[Int1]],1)</f>
        <v>b</v>
      </c>
      <c r="K845" s="1">
        <f>IF(aoc_02_input[[#This Row],[Pos1]]=aoc_02_input[[#This Row],[Char]],1,0)</f>
        <v>1</v>
      </c>
      <c r="L845" s="1" t="str">
        <f>MID(aoc_02_input[[#This Row],[Password]],aoc_02_input[[#This Row],[Int2]],1)</f>
        <v>b</v>
      </c>
      <c r="M845" s="1">
        <f>IF(aoc_02_input[[#This Row],[Pos2]]=aoc_02_input[[#This Row],[Char]],1,0)</f>
        <v>1</v>
      </c>
      <c r="N845" s="1">
        <f>IF(aoc_02_input[[#This Row],[Pos1Valid]]&lt;&gt;aoc_02_input[[#This Row],[Pos2Valid]],1,0)</f>
        <v>0</v>
      </c>
    </row>
    <row r="846" spans="1:14" x14ac:dyDescent="0.45">
      <c r="A846" s="1" t="s">
        <v>443</v>
      </c>
      <c r="B846" s="1" t="s">
        <v>246</v>
      </c>
      <c r="C846" s="1" t="s">
        <v>1211</v>
      </c>
      <c r="D846" s="1">
        <f>FIND("-",aoc_02_input[[#This Row],[InputNumbers]])</f>
        <v>3</v>
      </c>
      <c r="E846" s="1">
        <f>_xlfn.NUMBERVALUE(LEFT(aoc_02_input[[#This Row],[InputNumbers]],aoc_02_input[[#This Row],[PosDash]]-1))</f>
        <v>10</v>
      </c>
      <c r="F846" s="1">
        <f>_xlfn.NUMBERVALUE(MID(aoc_02_input[[#This Row],[InputNumbers]],aoc_02_input[[#This Row],[PosDash]]+1,5))</f>
        <v>16</v>
      </c>
      <c r="G846" s="1" t="str">
        <f>LEFT(aoc_02_input[[#This Row],[InputChar]],1)</f>
        <v>n</v>
      </c>
      <c r="H846" s="1" cm="1">
        <f t="array" ref="H846">CountChar(aoc_02_input[[#This Row],[Password]],aoc_02_input[[#This Row],[Char]])</f>
        <v>11</v>
      </c>
      <c r="I846" s="1">
        <f>IF(AND(aoc_02_input[[#This Row],[Int1]]&lt;=aoc_02_input[[#This Row],[CountOfChar]],aoc_02_input[[#This Row],[CountOfChar]]&lt;=aoc_02_input[[#This Row],[Int2]]),1,0)</f>
        <v>1</v>
      </c>
      <c r="J846" s="1" t="str">
        <f>MID(aoc_02_input[[#This Row],[Password]],aoc_02_input[[#This Row],[Int1]],1)</f>
        <v>n</v>
      </c>
      <c r="K846" s="1">
        <f>IF(aoc_02_input[[#This Row],[Pos1]]=aoc_02_input[[#This Row],[Char]],1,0)</f>
        <v>1</v>
      </c>
      <c r="L846" s="1" t="str">
        <f>MID(aoc_02_input[[#This Row],[Password]],aoc_02_input[[#This Row],[Int2]],1)</f>
        <v>n</v>
      </c>
      <c r="M846" s="1">
        <f>IF(aoc_02_input[[#This Row],[Pos2]]=aoc_02_input[[#This Row],[Char]],1,0)</f>
        <v>1</v>
      </c>
      <c r="N846" s="1">
        <f>IF(aoc_02_input[[#This Row],[Pos1Valid]]&lt;&gt;aoc_02_input[[#This Row],[Pos2Valid]],1,0)</f>
        <v>0</v>
      </c>
    </row>
    <row r="847" spans="1:14" x14ac:dyDescent="0.45">
      <c r="A847" s="1" t="s">
        <v>326</v>
      </c>
      <c r="B847" s="1" t="s">
        <v>249</v>
      </c>
      <c r="C847" s="1" t="s">
        <v>1212</v>
      </c>
      <c r="D847" s="1">
        <f>FIND("-",aoc_02_input[[#This Row],[InputNumbers]])</f>
        <v>3</v>
      </c>
      <c r="E847" s="1">
        <f>_xlfn.NUMBERVALUE(LEFT(aoc_02_input[[#This Row],[InputNumbers]],aoc_02_input[[#This Row],[PosDash]]-1))</f>
        <v>10</v>
      </c>
      <c r="F847" s="1">
        <f>_xlfn.NUMBERVALUE(MID(aoc_02_input[[#This Row],[InputNumbers]],aoc_02_input[[#This Row],[PosDash]]+1,5))</f>
        <v>12</v>
      </c>
      <c r="G847" s="1" t="str">
        <f>LEFT(aoc_02_input[[#This Row],[InputChar]],1)</f>
        <v>q</v>
      </c>
      <c r="H847" s="1" cm="1">
        <f t="array" ref="H847">CountChar(aoc_02_input[[#This Row],[Password]],aoc_02_input[[#This Row],[Char]])</f>
        <v>11</v>
      </c>
      <c r="I847" s="1">
        <f>IF(AND(aoc_02_input[[#This Row],[Int1]]&lt;=aoc_02_input[[#This Row],[CountOfChar]],aoc_02_input[[#This Row],[CountOfChar]]&lt;=aoc_02_input[[#This Row],[Int2]]),1,0)</f>
        <v>1</v>
      </c>
      <c r="J847" s="1" t="str">
        <f>MID(aoc_02_input[[#This Row],[Password]],aoc_02_input[[#This Row],[Int1]],1)</f>
        <v>q</v>
      </c>
      <c r="K847" s="1">
        <f>IF(aoc_02_input[[#This Row],[Pos1]]=aoc_02_input[[#This Row],[Char]],1,0)</f>
        <v>1</v>
      </c>
      <c r="L847" s="1" t="str">
        <f>MID(aoc_02_input[[#This Row],[Password]],aoc_02_input[[#This Row],[Int2]],1)</f>
        <v>q</v>
      </c>
      <c r="M847" s="1">
        <f>IF(aoc_02_input[[#This Row],[Pos2]]=aoc_02_input[[#This Row],[Char]],1,0)</f>
        <v>1</v>
      </c>
      <c r="N847" s="1">
        <f>IF(aoc_02_input[[#This Row],[Pos1Valid]]&lt;&gt;aoc_02_input[[#This Row],[Pos2Valid]],1,0)</f>
        <v>0</v>
      </c>
    </row>
    <row r="848" spans="1:14" x14ac:dyDescent="0.45">
      <c r="A848" s="1" t="s">
        <v>502</v>
      </c>
      <c r="B848" s="1" t="s">
        <v>278</v>
      </c>
      <c r="C848" s="1" t="s">
        <v>1213</v>
      </c>
      <c r="D848" s="1">
        <f>FIND("-",aoc_02_input[[#This Row],[InputNumbers]])</f>
        <v>3</v>
      </c>
      <c r="E848" s="1">
        <f>_xlfn.NUMBERVALUE(LEFT(aoc_02_input[[#This Row],[InputNumbers]],aoc_02_input[[#This Row],[PosDash]]-1))</f>
        <v>14</v>
      </c>
      <c r="F848" s="1">
        <f>_xlfn.NUMBERVALUE(MID(aoc_02_input[[#This Row],[InputNumbers]],aoc_02_input[[#This Row],[PosDash]]+1,5))</f>
        <v>18</v>
      </c>
      <c r="G848" s="1" t="str">
        <f>LEFT(aoc_02_input[[#This Row],[InputChar]],1)</f>
        <v>x</v>
      </c>
      <c r="H848" s="1" cm="1">
        <f t="array" ref="H848">CountChar(aoc_02_input[[#This Row],[Password]],aoc_02_input[[#This Row],[Char]])</f>
        <v>19</v>
      </c>
      <c r="I848" s="1">
        <f>IF(AND(aoc_02_input[[#This Row],[Int1]]&lt;=aoc_02_input[[#This Row],[CountOfChar]],aoc_02_input[[#This Row],[CountOfChar]]&lt;=aoc_02_input[[#This Row],[Int2]]),1,0)</f>
        <v>0</v>
      </c>
      <c r="J848" s="1" t="str">
        <f>MID(aoc_02_input[[#This Row],[Password]],aoc_02_input[[#This Row],[Int1]],1)</f>
        <v>x</v>
      </c>
      <c r="K848" s="1">
        <f>IF(aoc_02_input[[#This Row],[Pos1]]=aoc_02_input[[#This Row],[Char]],1,0)</f>
        <v>1</v>
      </c>
      <c r="L848" s="1" t="str">
        <f>MID(aoc_02_input[[#This Row],[Password]],aoc_02_input[[#This Row],[Int2]],1)</f>
        <v>x</v>
      </c>
      <c r="M848" s="1">
        <f>IF(aoc_02_input[[#This Row],[Pos2]]=aoc_02_input[[#This Row],[Char]],1,0)</f>
        <v>1</v>
      </c>
      <c r="N848" s="1">
        <f>IF(aoc_02_input[[#This Row],[Pos1Valid]]&lt;&gt;aoc_02_input[[#This Row],[Pos2Valid]],1,0)</f>
        <v>0</v>
      </c>
    </row>
    <row r="849" spans="1:14" x14ac:dyDescent="0.45">
      <c r="A849" s="1" t="s">
        <v>311</v>
      </c>
      <c r="B849" s="1" t="s">
        <v>246</v>
      </c>
      <c r="C849" s="1" t="s">
        <v>1214</v>
      </c>
      <c r="D849" s="1">
        <f>FIND("-",aoc_02_input[[#This Row],[InputNumbers]])</f>
        <v>2</v>
      </c>
      <c r="E849" s="1">
        <f>_xlfn.NUMBERVALUE(LEFT(aoc_02_input[[#This Row],[InputNumbers]],aoc_02_input[[#This Row],[PosDash]]-1))</f>
        <v>3</v>
      </c>
      <c r="F849" s="1">
        <f>_xlfn.NUMBERVALUE(MID(aoc_02_input[[#This Row],[InputNumbers]],aoc_02_input[[#This Row],[PosDash]]+1,5))</f>
        <v>6</v>
      </c>
      <c r="G849" s="1" t="str">
        <f>LEFT(aoc_02_input[[#This Row],[InputChar]],1)</f>
        <v>n</v>
      </c>
      <c r="H849" s="1" cm="1">
        <f t="array" ref="H849">CountChar(aoc_02_input[[#This Row],[Password]],aoc_02_input[[#This Row],[Char]])</f>
        <v>5</v>
      </c>
      <c r="I849" s="1">
        <f>IF(AND(aoc_02_input[[#This Row],[Int1]]&lt;=aoc_02_input[[#This Row],[CountOfChar]],aoc_02_input[[#This Row],[CountOfChar]]&lt;=aoc_02_input[[#This Row],[Int2]]),1,0)</f>
        <v>1</v>
      </c>
      <c r="J849" s="1" t="str">
        <f>MID(aoc_02_input[[#This Row],[Password]],aoc_02_input[[#This Row],[Int1]],1)</f>
        <v>n</v>
      </c>
      <c r="K849" s="1">
        <f>IF(aoc_02_input[[#This Row],[Pos1]]=aoc_02_input[[#This Row],[Char]],1,0)</f>
        <v>1</v>
      </c>
      <c r="L849" s="1" t="str">
        <f>MID(aoc_02_input[[#This Row],[Password]],aoc_02_input[[#This Row],[Int2]],1)</f>
        <v>d</v>
      </c>
      <c r="M849" s="1">
        <f>IF(aoc_02_input[[#This Row],[Pos2]]=aoc_02_input[[#This Row],[Char]],1,0)</f>
        <v>0</v>
      </c>
      <c r="N849" s="1">
        <f>IF(aoc_02_input[[#This Row],[Pos1Valid]]&lt;&gt;aoc_02_input[[#This Row],[Pos2Valid]],1,0)</f>
        <v>1</v>
      </c>
    </row>
    <row r="850" spans="1:14" x14ac:dyDescent="0.45">
      <c r="A850" s="1" t="s">
        <v>234</v>
      </c>
      <c r="B850" s="1" t="s">
        <v>252</v>
      </c>
      <c r="C850" s="1" t="s">
        <v>1215</v>
      </c>
      <c r="D850" s="1">
        <f>FIND("-",aoc_02_input[[#This Row],[InputNumbers]])</f>
        <v>2</v>
      </c>
      <c r="E850" s="1">
        <f>_xlfn.NUMBERVALUE(LEFT(aoc_02_input[[#This Row],[InputNumbers]],aoc_02_input[[#This Row],[PosDash]]-1))</f>
        <v>7</v>
      </c>
      <c r="F850" s="1">
        <f>_xlfn.NUMBERVALUE(MID(aoc_02_input[[#This Row],[InputNumbers]],aoc_02_input[[#This Row],[PosDash]]+1,5))</f>
        <v>8</v>
      </c>
      <c r="G850" s="1" t="str">
        <f>LEFT(aoc_02_input[[#This Row],[InputChar]],1)</f>
        <v>p</v>
      </c>
      <c r="H850" s="1" cm="1">
        <f t="array" ref="H850">CountChar(aoc_02_input[[#This Row],[Password]],aoc_02_input[[#This Row],[Char]])</f>
        <v>7</v>
      </c>
      <c r="I850" s="1">
        <f>IF(AND(aoc_02_input[[#This Row],[Int1]]&lt;=aoc_02_input[[#This Row],[CountOfChar]],aoc_02_input[[#This Row],[CountOfChar]]&lt;=aoc_02_input[[#This Row],[Int2]]),1,0)</f>
        <v>1</v>
      </c>
      <c r="J850" s="1" t="str">
        <f>MID(aoc_02_input[[#This Row],[Password]],aoc_02_input[[#This Row],[Int1]],1)</f>
        <v>p</v>
      </c>
      <c r="K850" s="1">
        <f>IF(aoc_02_input[[#This Row],[Pos1]]=aoc_02_input[[#This Row],[Char]],1,0)</f>
        <v>1</v>
      </c>
      <c r="L850" s="1" t="str">
        <f>MID(aoc_02_input[[#This Row],[Password]],aoc_02_input[[#This Row],[Int2]],1)</f>
        <v>p</v>
      </c>
      <c r="M850" s="1">
        <f>IF(aoc_02_input[[#This Row],[Pos2]]=aoc_02_input[[#This Row],[Char]],1,0)</f>
        <v>1</v>
      </c>
      <c r="N850" s="1">
        <f>IF(aoc_02_input[[#This Row],[Pos1Valid]]&lt;&gt;aoc_02_input[[#This Row],[Pos2Valid]],1,0)</f>
        <v>0</v>
      </c>
    </row>
    <row r="851" spans="1:14" x14ac:dyDescent="0.45">
      <c r="A851" s="1" t="s">
        <v>380</v>
      </c>
      <c r="B851" s="1" t="s">
        <v>228</v>
      </c>
      <c r="C851" s="1" t="s">
        <v>1216</v>
      </c>
      <c r="D851" s="1">
        <f>FIND("-",aoc_02_input[[#This Row],[InputNumbers]])</f>
        <v>2</v>
      </c>
      <c r="E851" s="1">
        <f>_xlfn.NUMBERVALUE(LEFT(aoc_02_input[[#This Row],[InputNumbers]],aoc_02_input[[#This Row],[PosDash]]-1))</f>
        <v>3</v>
      </c>
      <c r="F851" s="1">
        <f>_xlfn.NUMBERVALUE(MID(aoc_02_input[[#This Row],[InputNumbers]],aoc_02_input[[#This Row],[PosDash]]+1,5))</f>
        <v>7</v>
      </c>
      <c r="G851" s="1" t="str">
        <f>LEFT(aoc_02_input[[#This Row],[InputChar]],1)</f>
        <v>t</v>
      </c>
      <c r="H851" s="1" cm="1">
        <f t="array" ref="H851">CountChar(aoc_02_input[[#This Row],[Password]],aoc_02_input[[#This Row],[Char]])</f>
        <v>6</v>
      </c>
      <c r="I851" s="1">
        <f>IF(AND(aoc_02_input[[#This Row],[Int1]]&lt;=aoc_02_input[[#This Row],[CountOfChar]],aoc_02_input[[#This Row],[CountOfChar]]&lt;=aoc_02_input[[#This Row],[Int2]]),1,0)</f>
        <v>1</v>
      </c>
      <c r="J851" s="1" t="str">
        <f>MID(aoc_02_input[[#This Row],[Password]],aoc_02_input[[#This Row],[Int1]],1)</f>
        <v>t</v>
      </c>
      <c r="K851" s="1">
        <f>IF(aoc_02_input[[#This Row],[Pos1]]=aoc_02_input[[#This Row],[Char]],1,0)</f>
        <v>1</v>
      </c>
      <c r="L851" s="1" t="str">
        <f>MID(aoc_02_input[[#This Row],[Password]],aoc_02_input[[#This Row],[Int2]],1)</f>
        <v>k</v>
      </c>
      <c r="M851" s="1">
        <f>IF(aoc_02_input[[#This Row],[Pos2]]=aoc_02_input[[#This Row],[Char]],1,0)</f>
        <v>0</v>
      </c>
      <c r="N851" s="1">
        <f>IF(aoc_02_input[[#This Row],[Pos1Valid]]&lt;&gt;aoc_02_input[[#This Row],[Pos2Valid]],1,0)</f>
        <v>1</v>
      </c>
    </row>
    <row r="852" spans="1:14" x14ac:dyDescent="0.45">
      <c r="A852" s="1" t="s">
        <v>283</v>
      </c>
      <c r="B852" s="1" t="s">
        <v>216</v>
      </c>
      <c r="C852" s="1" t="s">
        <v>1217</v>
      </c>
      <c r="D852" s="1">
        <f>FIND("-",aoc_02_input[[#This Row],[InputNumbers]])</f>
        <v>2</v>
      </c>
      <c r="E852" s="1">
        <f>_xlfn.NUMBERVALUE(LEFT(aoc_02_input[[#This Row],[InputNumbers]],aoc_02_input[[#This Row],[PosDash]]-1))</f>
        <v>3</v>
      </c>
      <c r="F852" s="1">
        <f>_xlfn.NUMBERVALUE(MID(aoc_02_input[[#This Row],[InputNumbers]],aoc_02_input[[#This Row],[PosDash]]+1,5))</f>
        <v>4</v>
      </c>
      <c r="G852" s="1" t="str">
        <f>LEFT(aoc_02_input[[#This Row],[InputChar]],1)</f>
        <v>z</v>
      </c>
      <c r="H852" s="1" cm="1">
        <f t="array" ref="H852">CountChar(aoc_02_input[[#This Row],[Password]],aoc_02_input[[#This Row],[Char]])</f>
        <v>3</v>
      </c>
      <c r="I852" s="1">
        <f>IF(AND(aoc_02_input[[#This Row],[Int1]]&lt;=aoc_02_input[[#This Row],[CountOfChar]],aoc_02_input[[#This Row],[CountOfChar]]&lt;=aoc_02_input[[#This Row],[Int2]]),1,0)</f>
        <v>1</v>
      </c>
      <c r="J852" s="1" t="str">
        <f>MID(aoc_02_input[[#This Row],[Password]],aoc_02_input[[#This Row],[Int1]],1)</f>
        <v>z</v>
      </c>
      <c r="K852" s="1">
        <f>IF(aoc_02_input[[#This Row],[Pos1]]=aoc_02_input[[#This Row],[Char]],1,0)</f>
        <v>1</v>
      </c>
      <c r="L852" s="1" t="str">
        <f>MID(aoc_02_input[[#This Row],[Password]],aoc_02_input[[#This Row],[Int2]],1)</f>
        <v>g</v>
      </c>
      <c r="M852" s="1">
        <f>IF(aoc_02_input[[#This Row],[Pos2]]=aoc_02_input[[#This Row],[Char]],1,0)</f>
        <v>0</v>
      </c>
      <c r="N852" s="1">
        <f>IF(aoc_02_input[[#This Row],[Pos1Valid]]&lt;&gt;aoc_02_input[[#This Row],[Pos2Valid]],1,0)</f>
        <v>1</v>
      </c>
    </row>
    <row r="853" spans="1:14" x14ac:dyDescent="0.45">
      <c r="A853" s="1" t="s">
        <v>731</v>
      </c>
      <c r="B853" s="1" t="s">
        <v>254</v>
      </c>
      <c r="C853" s="1" t="s">
        <v>1218</v>
      </c>
      <c r="D853" s="1">
        <f>FIND("-",aoc_02_input[[#This Row],[InputNumbers]])</f>
        <v>2</v>
      </c>
      <c r="E853" s="1">
        <f>_xlfn.NUMBERVALUE(LEFT(aoc_02_input[[#This Row],[InputNumbers]],aoc_02_input[[#This Row],[PosDash]]-1))</f>
        <v>4</v>
      </c>
      <c r="F853" s="1">
        <f>_xlfn.NUMBERVALUE(MID(aoc_02_input[[#This Row],[InputNumbers]],aoc_02_input[[#This Row],[PosDash]]+1,5))</f>
        <v>10</v>
      </c>
      <c r="G853" s="1" t="str">
        <f>LEFT(aoc_02_input[[#This Row],[InputChar]],1)</f>
        <v>k</v>
      </c>
      <c r="H853" s="1" cm="1">
        <f t="array" ref="H853">CountChar(aoc_02_input[[#This Row],[Password]],aoc_02_input[[#This Row],[Char]])</f>
        <v>6</v>
      </c>
      <c r="I853" s="1">
        <f>IF(AND(aoc_02_input[[#This Row],[Int1]]&lt;=aoc_02_input[[#This Row],[CountOfChar]],aoc_02_input[[#This Row],[CountOfChar]]&lt;=aoc_02_input[[#This Row],[Int2]]),1,0)</f>
        <v>1</v>
      </c>
      <c r="J853" s="1" t="str">
        <f>MID(aoc_02_input[[#This Row],[Password]],aoc_02_input[[#This Row],[Int1]],1)</f>
        <v>s</v>
      </c>
      <c r="K853" s="1">
        <f>IF(aoc_02_input[[#This Row],[Pos1]]=aoc_02_input[[#This Row],[Char]],1,0)</f>
        <v>0</v>
      </c>
      <c r="L853" s="1" t="str">
        <f>MID(aoc_02_input[[#This Row],[Password]],aoc_02_input[[#This Row],[Int2]],1)</f>
        <v>l</v>
      </c>
      <c r="M853" s="1">
        <f>IF(aoc_02_input[[#This Row],[Pos2]]=aoc_02_input[[#This Row],[Char]],1,0)</f>
        <v>0</v>
      </c>
      <c r="N853" s="1">
        <f>IF(aoc_02_input[[#This Row],[Pos1Valid]]&lt;&gt;aoc_02_input[[#This Row],[Pos2Valid]],1,0)</f>
        <v>0</v>
      </c>
    </row>
    <row r="854" spans="1:14" x14ac:dyDescent="0.45">
      <c r="A854" s="1" t="s">
        <v>256</v>
      </c>
      <c r="B854" s="1" t="s">
        <v>222</v>
      </c>
      <c r="C854" s="1" t="s">
        <v>1219</v>
      </c>
      <c r="D854" s="1">
        <f>FIND("-",aoc_02_input[[#This Row],[InputNumbers]])</f>
        <v>2</v>
      </c>
      <c r="E854" s="1">
        <f>_xlfn.NUMBERVALUE(LEFT(aoc_02_input[[#This Row],[InputNumbers]],aoc_02_input[[#This Row],[PosDash]]-1))</f>
        <v>5</v>
      </c>
      <c r="F854" s="1">
        <f>_xlfn.NUMBERVALUE(MID(aoc_02_input[[#This Row],[InputNumbers]],aoc_02_input[[#This Row],[PosDash]]+1,5))</f>
        <v>7</v>
      </c>
      <c r="G854" s="1" t="str">
        <f>LEFT(aoc_02_input[[#This Row],[InputChar]],1)</f>
        <v>l</v>
      </c>
      <c r="H854" s="1" cm="1">
        <f t="array" ref="H854">CountChar(aoc_02_input[[#This Row],[Password]],aoc_02_input[[#This Row],[Char]])</f>
        <v>6</v>
      </c>
      <c r="I854" s="1">
        <f>IF(AND(aoc_02_input[[#This Row],[Int1]]&lt;=aoc_02_input[[#This Row],[CountOfChar]],aoc_02_input[[#This Row],[CountOfChar]]&lt;=aoc_02_input[[#This Row],[Int2]]),1,0)</f>
        <v>1</v>
      </c>
      <c r="J854" s="1" t="str">
        <f>MID(aoc_02_input[[#This Row],[Password]],aoc_02_input[[#This Row],[Int1]],1)</f>
        <v>l</v>
      </c>
      <c r="K854" s="1">
        <f>IF(aoc_02_input[[#This Row],[Pos1]]=aoc_02_input[[#This Row],[Char]],1,0)</f>
        <v>1</v>
      </c>
      <c r="L854" s="1" t="str">
        <f>MID(aoc_02_input[[#This Row],[Password]],aoc_02_input[[#This Row],[Int2]],1)</f>
        <v>p</v>
      </c>
      <c r="M854" s="1">
        <f>IF(aoc_02_input[[#This Row],[Pos2]]=aoc_02_input[[#This Row],[Char]],1,0)</f>
        <v>0</v>
      </c>
      <c r="N854" s="1">
        <f>IF(aoc_02_input[[#This Row],[Pos1Valid]]&lt;&gt;aoc_02_input[[#This Row],[Pos2Valid]],1,0)</f>
        <v>1</v>
      </c>
    </row>
    <row r="855" spans="1:14" x14ac:dyDescent="0.45">
      <c r="A855" s="1" t="s">
        <v>1220</v>
      </c>
      <c r="B855" s="1" t="s">
        <v>295</v>
      </c>
      <c r="C855" s="1" t="s">
        <v>1221</v>
      </c>
      <c r="D855" s="1">
        <f>FIND("-",aoc_02_input[[#This Row],[InputNumbers]])</f>
        <v>2</v>
      </c>
      <c r="E855" s="1">
        <f>_xlfn.NUMBERVALUE(LEFT(aoc_02_input[[#This Row],[InputNumbers]],aoc_02_input[[#This Row],[PosDash]]-1))</f>
        <v>2</v>
      </c>
      <c r="F855" s="1">
        <f>_xlfn.NUMBERVALUE(MID(aoc_02_input[[#This Row],[InputNumbers]],aoc_02_input[[#This Row],[PosDash]]+1,5))</f>
        <v>11</v>
      </c>
      <c r="G855" s="1" t="str">
        <f>LEFT(aoc_02_input[[#This Row],[InputChar]],1)</f>
        <v>c</v>
      </c>
      <c r="H855" s="1" cm="1">
        <f t="array" ref="H855">CountChar(aoc_02_input[[#This Row],[Password]],aoc_02_input[[#This Row],[Char]])</f>
        <v>14</v>
      </c>
      <c r="I855" s="1">
        <f>IF(AND(aoc_02_input[[#This Row],[Int1]]&lt;=aoc_02_input[[#This Row],[CountOfChar]],aoc_02_input[[#This Row],[CountOfChar]]&lt;=aoc_02_input[[#This Row],[Int2]]),1,0)</f>
        <v>0</v>
      </c>
      <c r="J855" s="1" t="str">
        <f>MID(aoc_02_input[[#This Row],[Password]],aoc_02_input[[#This Row],[Int1]],1)</f>
        <v>w</v>
      </c>
      <c r="K855" s="1">
        <f>IF(aoc_02_input[[#This Row],[Pos1]]=aoc_02_input[[#This Row],[Char]],1,0)</f>
        <v>0</v>
      </c>
      <c r="L855" s="1" t="str">
        <f>MID(aoc_02_input[[#This Row],[Password]],aoc_02_input[[#This Row],[Int2]],1)</f>
        <v>c</v>
      </c>
      <c r="M855" s="1">
        <f>IF(aoc_02_input[[#This Row],[Pos2]]=aoc_02_input[[#This Row],[Char]],1,0)</f>
        <v>1</v>
      </c>
      <c r="N855" s="1">
        <f>IF(aoc_02_input[[#This Row],[Pos1Valid]]&lt;&gt;aoc_02_input[[#This Row],[Pos2Valid]],1,0)</f>
        <v>1</v>
      </c>
    </row>
    <row r="856" spans="1:14" x14ac:dyDescent="0.45">
      <c r="A856" s="1" t="s">
        <v>698</v>
      </c>
      <c r="B856" s="1" t="s">
        <v>222</v>
      </c>
      <c r="C856" s="1" t="s">
        <v>1222</v>
      </c>
      <c r="D856" s="1">
        <f>FIND("-",aoc_02_input[[#This Row],[InputNumbers]])</f>
        <v>2</v>
      </c>
      <c r="E856" s="1">
        <f>_xlfn.NUMBERVALUE(LEFT(aoc_02_input[[#This Row],[InputNumbers]],aoc_02_input[[#This Row],[PosDash]]-1))</f>
        <v>5</v>
      </c>
      <c r="F856" s="1">
        <f>_xlfn.NUMBERVALUE(MID(aoc_02_input[[#This Row],[InputNumbers]],aoc_02_input[[#This Row],[PosDash]]+1,5))</f>
        <v>10</v>
      </c>
      <c r="G856" s="1" t="str">
        <f>LEFT(aoc_02_input[[#This Row],[InputChar]],1)</f>
        <v>l</v>
      </c>
      <c r="H856" s="1" cm="1">
        <f t="array" ref="H856">CountChar(aoc_02_input[[#This Row],[Password]],aoc_02_input[[#This Row],[Char]])</f>
        <v>11</v>
      </c>
      <c r="I856" s="1">
        <f>IF(AND(aoc_02_input[[#This Row],[Int1]]&lt;=aoc_02_input[[#This Row],[CountOfChar]],aoc_02_input[[#This Row],[CountOfChar]]&lt;=aoc_02_input[[#This Row],[Int2]]),1,0)</f>
        <v>0</v>
      </c>
      <c r="J856" s="1" t="str">
        <f>MID(aoc_02_input[[#This Row],[Password]],aoc_02_input[[#This Row],[Int1]],1)</f>
        <v>l</v>
      </c>
      <c r="K856" s="1">
        <f>IF(aoc_02_input[[#This Row],[Pos1]]=aoc_02_input[[#This Row],[Char]],1,0)</f>
        <v>1</v>
      </c>
      <c r="L856" s="1" t="str">
        <f>MID(aoc_02_input[[#This Row],[Password]],aoc_02_input[[#This Row],[Int2]],1)</f>
        <v>l</v>
      </c>
      <c r="M856" s="1">
        <f>IF(aoc_02_input[[#This Row],[Pos2]]=aoc_02_input[[#This Row],[Char]],1,0)</f>
        <v>1</v>
      </c>
      <c r="N856" s="1">
        <f>IF(aoc_02_input[[#This Row],[Pos1Valid]]&lt;&gt;aoc_02_input[[#This Row],[Pos2Valid]],1,0)</f>
        <v>0</v>
      </c>
    </row>
    <row r="857" spans="1:14" x14ac:dyDescent="0.45">
      <c r="A857" s="1" t="s">
        <v>294</v>
      </c>
      <c r="B857" s="1" t="s">
        <v>246</v>
      </c>
      <c r="C857" s="1" t="s">
        <v>1223</v>
      </c>
      <c r="D857" s="1">
        <f>FIND("-",aoc_02_input[[#This Row],[InputNumbers]])</f>
        <v>2</v>
      </c>
      <c r="E857" s="1">
        <f>_xlfn.NUMBERVALUE(LEFT(aoc_02_input[[#This Row],[InputNumbers]],aoc_02_input[[#This Row],[PosDash]]-1))</f>
        <v>7</v>
      </c>
      <c r="F857" s="1">
        <f>_xlfn.NUMBERVALUE(MID(aoc_02_input[[#This Row],[InputNumbers]],aoc_02_input[[#This Row],[PosDash]]+1,5))</f>
        <v>11</v>
      </c>
      <c r="G857" s="1" t="str">
        <f>LEFT(aoc_02_input[[#This Row],[InputChar]],1)</f>
        <v>n</v>
      </c>
      <c r="H857" s="1" cm="1">
        <f t="array" ref="H857">CountChar(aoc_02_input[[#This Row],[Password]],aoc_02_input[[#This Row],[Char]])</f>
        <v>11</v>
      </c>
      <c r="I857" s="1">
        <f>IF(AND(aoc_02_input[[#This Row],[Int1]]&lt;=aoc_02_input[[#This Row],[CountOfChar]],aoc_02_input[[#This Row],[CountOfChar]]&lt;=aoc_02_input[[#This Row],[Int2]]),1,0)</f>
        <v>1</v>
      </c>
      <c r="J857" s="1" t="str">
        <f>MID(aoc_02_input[[#This Row],[Password]],aoc_02_input[[#This Row],[Int1]],1)</f>
        <v>n</v>
      </c>
      <c r="K857" s="1">
        <f>IF(aoc_02_input[[#This Row],[Pos1]]=aoc_02_input[[#This Row],[Char]],1,0)</f>
        <v>1</v>
      </c>
      <c r="L857" s="1" t="str">
        <f>MID(aoc_02_input[[#This Row],[Password]],aoc_02_input[[#This Row],[Int2]],1)</f>
        <v>n</v>
      </c>
      <c r="M857" s="1">
        <f>IF(aoc_02_input[[#This Row],[Pos2]]=aoc_02_input[[#This Row],[Char]],1,0)</f>
        <v>1</v>
      </c>
      <c r="N857" s="1">
        <f>IF(aoc_02_input[[#This Row],[Pos1Valid]]&lt;&gt;aoc_02_input[[#This Row],[Pos2Valid]],1,0)</f>
        <v>0</v>
      </c>
    </row>
    <row r="858" spans="1:14" x14ac:dyDescent="0.45">
      <c r="A858" s="1" t="s">
        <v>227</v>
      </c>
      <c r="B858" s="1" t="s">
        <v>216</v>
      </c>
      <c r="C858" s="1" t="s">
        <v>1224</v>
      </c>
      <c r="D858" s="1">
        <f>FIND("-",aoc_02_input[[#This Row],[InputNumbers]])</f>
        <v>2</v>
      </c>
      <c r="E858" s="1">
        <f>_xlfn.NUMBERVALUE(LEFT(aoc_02_input[[#This Row],[InputNumbers]],aoc_02_input[[#This Row],[PosDash]]-1))</f>
        <v>4</v>
      </c>
      <c r="F858" s="1">
        <f>_xlfn.NUMBERVALUE(MID(aoc_02_input[[#This Row],[InputNumbers]],aoc_02_input[[#This Row],[PosDash]]+1,5))</f>
        <v>5</v>
      </c>
      <c r="G858" s="1" t="str">
        <f>LEFT(aoc_02_input[[#This Row],[InputChar]],1)</f>
        <v>z</v>
      </c>
      <c r="H858" s="1" cm="1">
        <f t="array" ref="H858">CountChar(aoc_02_input[[#This Row],[Password]],aoc_02_input[[#This Row],[Char]])</f>
        <v>5</v>
      </c>
      <c r="I858" s="1">
        <f>IF(AND(aoc_02_input[[#This Row],[Int1]]&lt;=aoc_02_input[[#This Row],[CountOfChar]],aoc_02_input[[#This Row],[CountOfChar]]&lt;=aoc_02_input[[#This Row],[Int2]]),1,0)</f>
        <v>1</v>
      </c>
      <c r="J858" s="1" t="str">
        <f>MID(aoc_02_input[[#This Row],[Password]],aoc_02_input[[#This Row],[Int1]],1)</f>
        <v>f</v>
      </c>
      <c r="K858" s="1">
        <f>IF(aoc_02_input[[#This Row],[Pos1]]=aoc_02_input[[#This Row],[Char]],1,0)</f>
        <v>0</v>
      </c>
      <c r="L858" s="1" t="str">
        <f>MID(aoc_02_input[[#This Row],[Password]],aoc_02_input[[#This Row],[Int2]],1)</f>
        <v>z</v>
      </c>
      <c r="M858" s="1">
        <f>IF(aoc_02_input[[#This Row],[Pos2]]=aoc_02_input[[#This Row],[Char]],1,0)</f>
        <v>1</v>
      </c>
      <c r="N858" s="1">
        <f>IF(aoc_02_input[[#This Row],[Pos1Valid]]&lt;&gt;aoc_02_input[[#This Row],[Pos2Valid]],1,0)</f>
        <v>1</v>
      </c>
    </row>
    <row r="859" spans="1:14" x14ac:dyDescent="0.45">
      <c r="A859" s="1" t="s">
        <v>230</v>
      </c>
      <c r="B859" s="1" t="s">
        <v>249</v>
      </c>
      <c r="C859" s="1" t="s">
        <v>1225</v>
      </c>
      <c r="D859" s="1">
        <f>FIND("-",aoc_02_input[[#This Row],[InputNumbers]])</f>
        <v>2</v>
      </c>
      <c r="E859" s="1">
        <f>_xlfn.NUMBERVALUE(LEFT(aoc_02_input[[#This Row],[InputNumbers]],aoc_02_input[[#This Row],[PosDash]]-1))</f>
        <v>2</v>
      </c>
      <c r="F859" s="1">
        <f>_xlfn.NUMBERVALUE(MID(aoc_02_input[[#This Row],[InputNumbers]],aoc_02_input[[#This Row],[PosDash]]+1,5))</f>
        <v>4</v>
      </c>
      <c r="G859" s="1" t="str">
        <f>LEFT(aoc_02_input[[#This Row],[InputChar]],1)</f>
        <v>q</v>
      </c>
      <c r="H859" s="1" cm="1">
        <f t="array" ref="H859">CountChar(aoc_02_input[[#This Row],[Password]],aoc_02_input[[#This Row],[Char]])</f>
        <v>2</v>
      </c>
      <c r="I859" s="1">
        <f>IF(AND(aoc_02_input[[#This Row],[Int1]]&lt;=aoc_02_input[[#This Row],[CountOfChar]],aoc_02_input[[#This Row],[CountOfChar]]&lt;=aoc_02_input[[#This Row],[Int2]]),1,0)</f>
        <v>1</v>
      </c>
      <c r="J859" s="1" t="str">
        <f>MID(aoc_02_input[[#This Row],[Password]],aoc_02_input[[#This Row],[Int1]],1)</f>
        <v>m</v>
      </c>
      <c r="K859" s="1">
        <f>IF(aoc_02_input[[#This Row],[Pos1]]=aoc_02_input[[#This Row],[Char]],1,0)</f>
        <v>0</v>
      </c>
      <c r="L859" s="1" t="str">
        <f>MID(aoc_02_input[[#This Row],[Password]],aoc_02_input[[#This Row],[Int2]],1)</f>
        <v>q</v>
      </c>
      <c r="M859" s="1">
        <f>IF(aoc_02_input[[#This Row],[Pos2]]=aoc_02_input[[#This Row],[Char]],1,0)</f>
        <v>1</v>
      </c>
      <c r="N859" s="1">
        <f>IF(aoc_02_input[[#This Row],[Pos1Valid]]&lt;&gt;aoc_02_input[[#This Row],[Pos2Valid]],1,0)</f>
        <v>1</v>
      </c>
    </row>
    <row r="860" spans="1:14" x14ac:dyDescent="0.45">
      <c r="A860" s="1" t="s">
        <v>307</v>
      </c>
      <c r="B860" s="1" t="s">
        <v>314</v>
      </c>
      <c r="C860" s="1" t="s">
        <v>1226</v>
      </c>
      <c r="D860" s="1">
        <f>FIND("-",aoc_02_input[[#This Row],[InputNumbers]])</f>
        <v>2</v>
      </c>
      <c r="E860" s="1">
        <f>_xlfn.NUMBERVALUE(LEFT(aoc_02_input[[#This Row],[InputNumbers]],aoc_02_input[[#This Row],[PosDash]]-1))</f>
        <v>3</v>
      </c>
      <c r="F860" s="1">
        <f>_xlfn.NUMBERVALUE(MID(aoc_02_input[[#This Row],[InputNumbers]],aoc_02_input[[#This Row],[PosDash]]+1,5))</f>
        <v>5</v>
      </c>
      <c r="G860" s="1" t="str">
        <f>LEFT(aoc_02_input[[#This Row],[InputChar]],1)</f>
        <v>h</v>
      </c>
      <c r="H860" s="1" cm="1">
        <f t="array" ref="H860">CountChar(aoc_02_input[[#This Row],[Password]],aoc_02_input[[#This Row],[Char]])</f>
        <v>5</v>
      </c>
      <c r="I860" s="1">
        <f>IF(AND(aoc_02_input[[#This Row],[Int1]]&lt;=aoc_02_input[[#This Row],[CountOfChar]],aoc_02_input[[#This Row],[CountOfChar]]&lt;=aoc_02_input[[#This Row],[Int2]]),1,0)</f>
        <v>1</v>
      </c>
      <c r="J860" s="1" t="str">
        <f>MID(aoc_02_input[[#This Row],[Password]],aoc_02_input[[#This Row],[Int1]],1)</f>
        <v>h</v>
      </c>
      <c r="K860" s="1">
        <f>IF(aoc_02_input[[#This Row],[Pos1]]=aoc_02_input[[#This Row],[Char]],1,0)</f>
        <v>1</v>
      </c>
      <c r="L860" s="1" t="str">
        <f>MID(aoc_02_input[[#This Row],[Password]],aoc_02_input[[#This Row],[Int2]],1)</f>
        <v>h</v>
      </c>
      <c r="M860" s="1">
        <f>IF(aoc_02_input[[#This Row],[Pos2]]=aoc_02_input[[#This Row],[Char]],1,0)</f>
        <v>1</v>
      </c>
      <c r="N860" s="1">
        <f>IF(aoc_02_input[[#This Row],[Pos1Valid]]&lt;&gt;aoc_02_input[[#This Row],[Pos2Valid]],1,0)</f>
        <v>0</v>
      </c>
    </row>
    <row r="861" spans="1:14" x14ac:dyDescent="0.45">
      <c r="A861" s="1" t="s">
        <v>234</v>
      </c>
      <c r="B861" s="1" t="s">
        <v>225</v>
      </c>
      <c r="C861" s="1" t="s">
        <v>1227</v>
      </c>
      <c r="D861" s="1">
        <f>FIND("-",aoc_02_input[[#This Row],[InputNumbers]])</f>
        <v>2</v>
      </c>
      <c r="E861" s="1">
        <f>_xlfn.NUMBERVALUE(LEFT(aoc_02_input[[#This Row],[InputNumbers]],aoc_02_input[[#This Row],[PosDash]]-1))</f>
        <v>7</v>
      </c>
      <c r="F861" s="1">
        <f>_xlfn.NUMBERVALUE(MID(aoc_02_input[[#This Row],[InputNumbers]],aoc_02_input[[#This Row],[PosDash]]+1,5))</f>
        <v>8</v>
      </c>
      <c r="G861" s="1" t="str">
        <f>LEFT(aoc_02_input[[#This Row],[InputChar]],1)</f>
        <v>j</v>
      </c>
      <c r="H861" s="1" cm="1">
        <f t="array" ref="H861">CountChar(aoc_02_input[[#This Row],[Password]],aoc_02_input[[#This Row],[Char]])</f>
        <v>3</v>
      </c>
      <c r="I861" s="1">
        <f>IF(AND(aoc_02_input[[#This Row],[Int1]]&lt;=aoc_02_input[[#This Row],[CountOfChar]],aoc_02_input[[#This Row],[CountOfChar]]&lt;=aoc_02_input[[#This Row],[Int2]]),1,0)</f>
        <v>0</v>
      </c>
      <c r="J861" s="1" t="str">
        <f>MID(aoc_02_input[[#This Row],[Password]],aoc_02_input[[#This Row],[Int1]],1)</f>
        <v>h</v>
      </c>
      <c r="K861" s="1">
        <f>IF(aoc_02_input[[#This Row],[Pos1]]=aoc_02_input[[#This Row],[Char]],1,0)</f>
        <v>0</v>
      </c>
      <c r="L861" s="1" t="str">
        <f>MID(aoc_02_input[[#This Row],[Password]],aoc_02_input[[#This Row],[Int2]],1)</f>
        <v>j</v>
      </c>
      <c r="M861" s="1">
        <f>IF(aoc_02_input[[#This Row],[Pos2]]=aoc_02_input[[#This Row],[Char]],1,0)</f>
        <v>1</v>
      </c>
      <c r="N861" s="1">
        <f>IF(aoc_02_input[[#This Row],[Pos1Valid]]&lt;&gt;aoc_02_input[[#This Row],[Pos2Valid]],1,0)</f>
        <v>1</v>
      </c>
    </row>
    <row r="862" spans="1:14" x14ac:dyDescent="0.45">
      <c r="A862" s="1" t="s">
        <v>330</v>
      </c>
      <c r="B862" s="1" t="s">
        <v>213</v>
      </c>
      <c r="C862" s="1" t="s">
        <v>1228</v>
      </c>
      <c r="D862" s="1">
        <f>FIND("-",aoc_02_input[[#This Row],[InputNumbers]])</f>
        <v>3</v>
      </c>
      <c r="E862" s="1">
        <f>_xlfn.NUMBERVALUE(LEFT(aoc_02_input[[#This Row],[InputNumbers]],aoc_02_input[[#This Row],[PosDash]]-1))</f>
        <v>13</v>
      </c>
      <c r="F862" s="1">
        <f>_xlfn.NUMBERVALUE(MID(aoc_02_input[[#This Row],[InputNumbers]],aoc_02_input[[#This Row],[PosDash]]+1,5))</f>
        <v>14</v>
      </c>
      <c r="G862" s="1" t="str">
        <f>LEFT(aoc_02_input[[#This Row],[InputChar]],1)</f>
        <v>m</v>
      </c>
      <c r="H862" s="1" cm="1">
        <f t="array" ref="H862">CountChar(aoc_02_input[[#This Row],[Password]],aoc_02_input[[#This Row],[Char]])</f>
        <v>11</v>
      </c>
      <c r="I862" s="1">
        <f>IF(AND(aoc_02_input[[#This Row],[Int1]]&lt;=aoc_02_input[[#This Row],[CountOfChar]],aoc_02_input[[#This Row],[CountOfChar]]&lt;=aoc_02_input[[#This Row],[Int2]]),1,0)</f>
        <v>0</v>
      </c>
      <c r="J862" s="1" t="str">
        <f>MID(aoc_02_input[[#This Row],[Password]],aoc_02_input[[#This Row],[Int1]],1)</f>
        <v>f</v>
      </c>
      <c r="K862" s="1">
        <f>IF(aoc_02_input[[#This Row],[Pos1]]=aoc_02_input[[#This Row],[Char]],1,0)</f>
        <v>0</v>
      </c>
      <c r="L862" s="1" t="str">
        <f>MID(aoc_02_input[[#This Row],[Password]],aoc_02_input[[#This Row],[Int2]],1)</f>
        <v>w</v>
      </c>
      <c r="M862" s="1">
        <f>IF(aoc_02_input[[#This Row],[Pos2]]=aoc_02_input[[#This Row],[Char]],1,0)</f>
        <v>0</v>
      </c>
      <c r="N862" s="1">
        <f>IF(aoc_02_input[[#This Row],[Pos1Valid]]&lt;&gt;aoc_02_input[[#This Row],[Pos2Valid]],1,0)</f>
        <v>0</v>
      </c>
    </row>
    <row r="863" spans="1:14" x14ac:dyDescent="0.45">
      <c r="A863" s="1" t="s">
        <v>271</v>
      </c>
      <c r="B863" s="1" t="s">
        <v>254</v>
      </c>
      <c r="C863" s="1" t="s">
        <v>1229</v>
      </c>
      <c r="D863" s="1">
        <f>FIND("-",aoc_02_input[[#This Row],[InputNumbers]])</f>
        <v>2</v>
      </c>
      <c r="E863" s="1">
        <f>_xlfn.NUMBERVALUE(LEFT(aoc_02_input[[#This Row],[InputNumbers]],aoc_02_input[[#This Row],[PosDash]]-1))</f>
        <v>9</v>
      </c>
      <c r="F863" s="1">
        <f>_xlfn.NUMBERVALUE(MID(aoc_02_input[[#This Row],[InputNumbers]],aoc_02_input[[#This Row],[PosDash]]+1,5))</f>
        <v>10</v>
      </c>
      <c r="G863" s="1" t="str">
        <f>LEFT(aoc_02_input[[#This Row],[InputChar]],1)</f>
        <v>k</v>
      </c>
      <c r="H863" s="1" cm="1">
        <f t="array" ref="H863">CountChar(aoc_02_input[[#This Row],[Password]],aoc_02_input[[#This Row],[Char]])</f>
        <v>3</v>
      </c>
      <c r="I863" s="1">
        <f>IF(AND(aoc_02_input[[#This Row],[Int1]]&lt;=aoc_02_input[[#This Row],[CountOfChar]],aoc_02_input[[#This Row],[CountOfChar]]&lt;=aoc_02_input[[#This Row],[Int2]]),1,0)</f>
        <v>0</v>
      </c>
      <c r="J863" s="1" t="str">
        <f>MID(aoc_02_input[[#This Row],[Password]],aoc_02_input[[#This Row],[Int1]],1)</f>
        <v>d</v>
      </c>
      <c r="K863" s="1">
        <f>IF(aoc_02_input[[#This Row],[Pos1]]=aoc_02_input[[#This Row],[Char]],1,0)</f>
        <v>0</v>
      </c>
      <c r="L863" s="1" t="str">
        <f>MID(aoc_02_input[[#This Row],[Password]],aoc_02_input[[#This Row],[Int2]],1)</f>
        <v>j</v>
      </c>
      <c r="M863" s="1">
        <f>IF(aoc_02_input[[#This Row],[Pos2]]=aoc_02_input[[#This Row],[Char]],1,0)</f>
        <v>0</v>
      </c>
      <c r="N863" s="1">
        <f>IF(aoc_02_input[[#This Row],[Pos1Valid]]&lt;&gt;aoc_02_input[[#This Row],[Pos2Valid]],1,0)</f>
        <v>0</v>
      </c>
    </row>
    <row r="864" spans="1:14" x14ac:dyDescent="0.45">
      <c r="A864" s="1" t="s">
        <v>1230</v>
      </c>
      <c r="B864" s="1" t="s">
        <v>246</v>
      </c>
      <c r="C864" s="1" t="s">
        <v>1231</v>
      </c>
      <c r="D864" s="1">
        <f>FIND("-",aoc_02_input[[#This Row],[InputNumbers]])</f>
        <v>3</v>
      </c>
      <c r="E864" s="1">
        <f>_xlfn.NUMBERVALUE(LEFT(aoc_02_input[[#This Row],[InputNumbers]],aoc_02_input[[#This Row],[PosDash]]-1))</f>
        <v>15</v>
      </c>
      <c r="F864" s="1">
        <f>_xlfn.NUMBERVALUE(MID(aoc_02_input[[#This Row],[InputNumbers]],aoc_02_input[[#This Row],[PosDash]]+1,5))</f>
        <v>19</v>
      </c>
      <c r="G864" s="1" t="str">
        <f>LEFT(aoc_02_input[[#This Row],[InputChar]],1)</f>
        <v>n</v>
      </c>
      <c r="H864" s="1" cm="1">
        <f t="array" ref="H864">CountChar(aoc_02_input[[#This Row],[Password]],aoc_02_input[[#This Row],[Char]])</f>
        <v>15</v>
      </c>
      <c r="I864" s="1">
        <f>IF(AND(aoc_02_input[[#This Row],[Int1]]&lt;=aoc_02_input[[#This Row],[CountOfChar]],aoc_02_input[[#This Row],[CountOfChar]]&lt;=aoc_02_input[[#This Row],[Int2]]),1,0)</f>
        <v>1</v>
      </c>
      <c r="J864" s="1" t="str">
        <f>MID(aoc_02_input[[#This Row],[Password]],aoc_02_input[[#This Row],[Int1]],1)</f>
        <v>n</v>
      </c>
      <c r="K864" s="1">
        <f>IF(aoc_02_input[[#This Row],[Pos1]]=aoc_02_input[[#This Row],[Char]],1,0)</f>
        <v>1</v>
      </c>
      <c r="L864" s="1" t="str">
        <f>MID(aoc_02_input[[#This Row],[Password]],aoc_02_input[[#This Row],[Int2]],1)</f>
        <v>v</v>
      </c>
      <c r="M864" s="1">
        <f>IF(aoc_02_input[[#This Row],[Pos2]]=aoc_02_input[[#This Row],[Char]],1,0)</f>
        <v>0</v>
      </c>
      <c r="N864" s="1">
        <f>IF(aoc_02_input[[#This Row],[Pos1Valid]]&lt;&gt;aoc_02_input[[#This Row],[Pos2Valid]],1,0)</f>
        <v>1</v>
      </c>
    </row>
    <row r="865" spans="1:14" x14ac:dyDescent="0.45">
      <c r="A865" s="1" t="s">
        <v>363</v>
      </c>
      <c r="B865" s="1" t="s">
        <v>222</v>
      </c>
      <c r="C865" s="1" t="s">
        <v>1232</v>
      </c>
      <c r="D865" s="1">
        <f>FIND("-",aoc_02_input[[#This Row],[InputNumbers]])</f>
        <v>3</v>
      </c>
      <c r="E865" s="1">
        <f>_xlfn.NUMBERVALUE(LEFT(aoc_02_input[[#This Row],[InputNumbers]],aoc_02_input[[#This Row],[PosDash]]-1))</f>
        <v>11</v>
      </c>
      <c r="F865" s="1">
        <f>_xlfn.NUMBERVALUE(MID(aoc_02_input[[#This Row],[InputNumbers]],aoc_02_input[[#This Row],[PosDash]]+1,5))</f>
        <v>16</v>
      </c>
      <c r="G865" s="1" t="str">
        <f>LEFT(aoc_02_input[[#This Row],[InputChar]],1)</f>
        <v>l</v>
      </c>
      <c r="H865" s="1" cm="1">
        <f t="array" ref="H865">CountChar(aoc_02_input[[#This Row],[Password]],aoc_02_input[[#This Row],[Char]])</f>
        <v>14</v>
      </c>
      <c r="I865" s="1">
        <f>IF(AND(aoc_02_input[[#This Row],[Int1]]&lt;=aoc_02_input[[#This Row],[CountOfChar]],aoc_02_input[[#This Row],[CountOfChar]]&lt;=aoc_02_input[[#This Row],[Int2]]),1,0)</f>
        <v>1</v>
      </c>
      <c r="J865" s="1" t="str">
        <f>MID(aoc_02_input[[#This Row],[Password]],aoc_02_input[[#This Row],[Int1]],1)</f>
        <v>p</v>
      </c>
      <c r="K865" s="1">
        <f>IF(aoc_02_input[[#This Row],[Pos1]]=aoc_02_input[[#This Row],[Char]],1,0)</f>
        <v>0</v>
      </c>
      <c r="L865" s="1" t="str">
        <f>MID(aoc_02_input[[#This Row],[Password]],aoc_02_input[[#This Row],[Int2]],1)</f>
        <v>l</v>
      </c>
      <c r="M865" s="1">
        <f>IF(aoc_02_input[[#This Row],[Pos2]]=aoc_02_input[[#This Row],[Char]],1,0)</f>
        <v>1</v>
      </c>
      <c r="N865" s="1">
        <f>IF(aoc_02_input[[#This Row],[Pos1Valid]]&lt;&gt;aoc_02_input[[#This Row],[Pos2Valid]],1,0)</f>
        <v>1</v>
      </c>
    </row>
    <row r="866" spans="1:14" x14ac:dyDescent="0.45">
      <c r="A866" s="1" t="s">
        <v>424</v>
      </c>
      <c r="B866" s="1" t="s">
        <v>278</v>
      </c>
      <c r="C866" s="1" t="s">
        <v>1233</v>
      </c>
      <c r="D866" s="1">
        <f>FIND("-",aoc_02_input[[#This Row],[InputNumbers]])</f>
        <v>2</v>
      </c>
      <c r="E866" s="1">
        <f>_xlfn.NUMBERVALUE(LEFT(aoc_02_input[[#This Row],[InputNumbers]],aoc_02_input[[#This Row],[PosDash]]-1))</f>
        <v>3</v>
      </c>
      <c r="F866" s="1">
        <f>_xlfn.NUMBERVALUE(MID(aoc_02_input[[#This Row],[InputNumbers]],aoc_02_input[[#This Row],[PosDash]]+1,5))</f>
        <v>9</v>
      </c>
      <c r="G866" s="1" t="str">
        <f>LEFT(aoc_02_input[[#This Row],[InputChar]],1)</f>
        <v>x</v>
      </c>
      <c r="H866" s="1" cm="1">
        <f t="array" ref="H866">CountChar(aoc_02_input[[#This Row],[Password]],aoc_02_input[[#This Row],[Char]])</f>
        <v>0</v>
      </c>
      <c r="I866" s="1">
        <f>IF(AND(aoc_02_input[[#This Row],[Int1]]&lt;=aoc_02_input[[#This Row],[CountOfChar]],aoc_02_input[[#This Row],[CountOfChar]]&lt;=aoc_02_input[[#This Row],[Int2]]),1,0)</f>
        <v>0</v>
      </c>
      <c r="J866" s="1" t="str">
        <f>MID(aoc_02_input[[#This Row],[Password]],aoc_02_input[[#This Row],[Int1]],1)</f>
        <v>k</v>
      </c>
      <c r="K866" s="1">
        <f>IF(aoc_02_input[[#This Row],[Pos1]]=aoc_02_input[[#This Row],[Char]],1,0)</f>
        <v>0</v>
      </c>
      <c r="L866" s="1" t="str">
        <f>MID(aoc_02_input[[#This Row],[Password]],aoc_02_input[[#This Row],[Int2]],1)</f>
        <v>q</v>
      </c>
      <c r="M866" s="1">
        <f>IF(aoc_02_input[[#This Row],[Pos2]]=aoc_02_input[[#This Row],[Char]],1,0)</f>
        <v>0</v>
      </c>
      <c r="N866" s="1">
        <f>IF(aoc_02_input[[#This Row],[Pos1Valid]]&lt;&gt;aoc_02_input[[#This Row],[Pos2Valid]],1,0)</f>
        <v>0</v>
      </c>
    </row>
    <row r="867" spans="1:14" x14ac:dyDescent="0.45">
      <c r="A867" s="1" t="s">
        <v>731</v>
      </c>
      <c r="B867" s="1" t="s">
        <v>222</v>
      </c>
      <c r="C867" s="1" t="s">
        <v>1234</v>
      </c>
      <c r="D867" s="1">
        <f>FIND("-",aoc_02_input[[#This Row],[InputNumbers]])</f>
        <v>2</v>
      </c>
      <c r="E867" s="1">
        <f>_xlfn.NUMBERVALUE(LEFT(aoc_02_input[[#This Row],[InputNumbers]],aoc_02_input[[#This Row],[PosDash]]-1))</f>
        <v>4</v>
      </c>
      <c r="F867" s="1">
        <f>_xlfn.NUMBERVALUE(MID(aoc_02_input[[#This Row],[InputNumbers]],aoc_02_input[[#This Row],[PosDash]]+1,5))</f>
        <v>10</v>
      </c>
      <c r="G867" s="1" t="str">
        <f>LEFT(aoc_02_input[[#This Row],[InputChar]],1)</f>
        <v>l</v>
      </c>
      <c r="H867" s="1" cm="1">
        <f t="array" ref="H867">CountChar(aoc_02_input[[#This Row],[Password]],aoc_02_input[[#This Row],[Char]])</f>
        <v>0</v>
      </c>
      <c r="I867" s="1">
        <f>IF(AND(aoc_02_input[[#This Row],[Int1]]&lt;=aoc_02_input[[#This Row],[CountOfChar]],aoc_02_input[[#This Row],[CountOfChar]]&lt;=aoc_02_input[[#This Row],[Int2]]),1,0)</f>
        <v>0</v>
      </c>
      <c r="J867" s="1" t="str">
        <f>MID(aoc_02_input[[#This Row],[Password]],aoc_02_input[[#This Row],[Int1]],1)</f>
        <v>c</v>
      </c>
      <c r="K867" s="1">
        <f>IF(aoc_02_input[[#This Row],[Pos1]]=aoc_02_input[[#This Row],[Char]],1,0)</f>
        <v>0</v>
      </c>
      <c r="L867" s="1" t="str">
        <f>MID(aoc_02_input[[#This Row],[Password]],aoc_02_input[[#This Row],[Int2]],1)</f>
        <v>k</v>
      </c>
      <c r="M867" s="1">
        <f>IF(aoc_02_input[[#This Row],[Pos2]]=aoc_02_input[[#This Row],[Char]],1,0)</f>
        <v>0</v>
      </c>
      <c r="N867" s="1">
        <f>IF(aoc_02_input[[#This Row],[Pos1Valid]]&lt;&gt;aoc_02_input[[#This Row],[Pos2Valid]],1,0)</f>
        <v>0</v>
      </c>
    </row>
    <row r="868" spans="1:14" x14ac:dyDescent="0.45">
      <c r="A868" s="1" t="s">
        <v>326</v>
      </c>
      <c r="B868" s="1" t="s">
        <v>219</v>
      </c>
      <c r="C868" s="1" t="s">
        <v>1235</v>
      </c>
      <c r="D868" s="1">
        <f>FIND("-",aoc_02_input[[#This Row],[InputNumbers]])</f>
        <v>3</v>
      </c>
      <c r="E868" s="1">
        <f>_xlfn.NUMBERVALUE(LEFT(aoc_02_input[[#This Row],[InputNumbers]],aoc_02_input[[#This Row],[PosDash]]-1))</f>
        <v>10</v>
      </c>
      <c r="F868" s="1">
        <f>_xlfn.NUMBERVALUE(MID(aoc_02_input[[#This Row],[InputNumbers]],aoc_02_input[[#This Row],[PosDash]]+1,5))</f>
        <v>12</v>
      </c>
      <c r="G868" s="1" t="str">
        <f>LEFT(aoc_02_input[[#This Row],[InputChar]],1)</f>
        <v>g</v>
      </c>
      <c r="H868" s="1" cm="1">
        <f t="array" ref="H868">CountChar(aoc_02_input[[#This Row],[Password]],aoc_02_input[[#This Row],[Char]])</f>
        <v>10</v>
      </c>
      <c r="I868" s="1">
        <f>IF(AND(aoc_02_input[[#This Row],[Int1]]&lt;=aoc_02_input[[#This Row],[CountOfChar]],aoc_02_input[[#This Row],[CountOfChar]]&lt;=aoc_02_input[[#This Row],[Int2]]),1,0)</f>
        <v>1</v>
      </c>
      <c r="J868" s="1" t="str">
        <f>MID(aoc_02_input[[#This Row],[Password]],aoc_02_input[[#This Row],[Int1]],1)</f>
        <v>g</v>
      </c>
      <c r="K868" s="1">
        <f>IF(aoc_02_input[[#This Row],[Pos1]]=aoc_02_input[[#This Row],[Char]],1,0)</f>
        <v>1</v>
      </c>
      <c r="L868" s="1" t="str">
        <f>MID(aoc_02_input[[#This Row],[Password]],aoc_02_input[[#This Row],[Int2]],1)</f>
        <v>j</v>
      </c>
      <c r="M868" s="1">
        <f>IF(aoc_02_input[[#This Row],[Pos2]]=aoc_02_input[[#This Row],[Char]],1,0)</f>
        <v>0</v>
      </c>
      <c r="N868" s="1">
        <f>IF(aoc_02_input[[#This Row],[Pos1Valid]]&lt;&gt;aoc_02_input[[#This Row],[Pos2Valid]],1,0)</f>
        <v>1</v>
      </c>
    </row>
    <row r="869" spans="1:14" x14ac:dyDescent="0.45">
      <c r="A869" s="1" t="s">
        <v>345</v>
      </c>
      <c r="B869" s="1" t="s">
        <v>216</v>
      </c>
      <c r="C869" s="1" t="s">
        <v>1236</v>
      </c>
      <c r="D869" s="1">
        <f>FIND("-",aoc_02_input[[#This Row],[InputNumbers]])</f>
        <v>2</v>
      </c>
      <c r="E869" s="1">
        <f>_xlfn.NUMBERVALUE(LEFT(aoc_02_input[[#This Row],[InputNumbers]],aoc_02_input[[#This Row],[PosDash]]-1))</f>
        <v>8</v>
      </c>
      <c r="F869" s="1">
        <f>_xlfn.NUMBERVALUE(MID(aoc_02_input[[#This Row],[InputNumbers]],aoc_02_input[[#This Row],[PosDash]]+1,5))</f>
        <v>15</v>
      </c>
      <c r="G869" s="1" t="str">
        <f>LEFT(aoc_02_input[[#This Row],[InputChar]],1)</f>
        <v>z</v>
      </c>
      <c r="H869" s="1" cm="1">
        <f t="array" ref="H869">CountChar(aoc_02_input[[#This Row],[Password]],aoc_02_input[[#This Row],[Char]])</f>
        <v>2</v>
      </c>
      <c r="I869" s="1">
        <f>IF(AND(aoc_02_input[[#This Row],[Int1]]&lt;=aoc_02_input[[#This Row],[CountOfChar]],aoc_02_input[[#This Row],[CountOfChar]]&lt;=aoc_02_input[[#This Row],[Int2]]),1,0)</f>
        <v>0</v>
      </c>
      <c r="J869" s="1" t="str">
        <f>MID(aoc_02_input[[#This Row],[Password]],aoc_02_input[[#This Row],[Int1]],1)</f>
        <v>b</v>
      </c>
      <c r="K869" s="1">
        <f>IF(aoc_02_input[[#This Row],[Pos1]]=aoc_02_input[[#This Row],[Char]],1,0)</f>
        <v>0</v>
      </c>
      <c r="L869" s="1" t="str">
        <f>MID(aoc_02_input[[#This Row],[Password]],aoc_02_input[[#This Row],[Int2]],1)</f>
        <v>z</v>
      </c>
      <c r="M869" s="1">
        <f>IF(aoc_02_input[[#This Row],[Pos2]]=aoc_02_input[[#This Row],[Char]],1,0)</f>
        <v>1</v>
      </c>
      <c r="N869" s="1">
        <f>IF(aoc_02_input[[#This Row],[Pos1Valid]]&lt;&gt;aoc_02_input[[#This Row],[Pos2Valid]],1,0)</f>
        <v>1</v>
      </c>
    </row>
    <row r="870" spans="1:14" x14ac:dyDescent="0.45">
      <c r="A870" s="1" t="s">
        <v>417</v>
      </c>
      <c r="B870" s="1" t="s">
        <v>249</v>
      </c>
      <c r="C870" s="1" t="s">
        <v>1237</v>
      </c>
      <c r="D870" s="1">
        <f>FIND("-",aoc_02_input[[#This Row],[InputNumbers]])</f>
        <v>3</v>
      </c>
      <c r="E870" s="1">
        <f>_xlfn.NUMBERVALUE(LEFT(aoc_02_input[[#This Row],[InputNumbers]],aoc_02_input[[#This Row],[PosDash]]-1))</f>
        <v>12</v>
      </c>
      <c r="F870" s="1">
        <f>_xlfn.NUMBERVALUE(MID(aoc_02_input[[#This Row],[InputNumbers]],aoc_02_input[[#This Row],[PosDash]]+1,5))</f>
        <v>13</v>
      </c>
      <c r="G870" s="1" t="str">
        <f>LEFT(aoc_02_input[[#This Row],[InputChar]],1)</f>
        <v>q</v>
      </c>
      <c r="H870" s="1" cm="1">
        <f t="array" ref="H870">CountChar(aoc_02_input[[#This Row],[Password]],aoc_02_input[[#This Row],[Char]])</f>
        <v>6</v>
      </c>
      <c r="I870" s="1">
        <f>IF(AND(aoc_02_input[[#This Row],[Int1]]&lt;=aoc_02_input[[#This Row],[CountOfChar]],aoc_02_input[[#This Row],[CountOfChar]]&lt;=aoc_02_input[[#This Row],[Int2]]),1,0)</f>
        <v>0</v>
      </c>
      <c r="J870" s="1" t="str">
        <f>MID(aoc_02_input[[#This Row],[Password]],aoc_02_input[[#This Row],[Int1]],1)</f>
        <v>q</v>
      </c>
      <c r="K870" s="1">
        <f>IF(aoc_02_input[[#This Row],[Pos1]]=aoc_02_input[[#This Row],[Char]],1,0)</f>
        <v>1</v>
      </c>
      <c r="L870" s="1" t="str">
        <f>MID(aoc_02_input[[#This Row],[Password]],aoc_02_input[[#This Row],[Int2]],1)</f>
        <v>h</v>
      </c>
      <c r="M870" s="1">
        <f>IF(aoc_02_input[[#This Row],[Pos2]]=aoc_02_input[[#This Row],[Char]],1,0)</f>
        <v>0</v>
      </c>
      <c r="N870" s="1">
        <f>IF(aoc_02_input[[#This Row],[Pos1Valid]]&lt;&gt;aoc_02_input[[#This Row],[Pos2Valid]],1,0)</f>
        <v>1</v>
      </c>
    </row>
    <row r="871" spans="1:14" x14ac:dyDescent="0.45">
      <c r="A871" s="1" t="s">
        <v>242</v>
      </c>
      <c r="B871" s="1" t="s">
        <v>235</v>
      </c>
      <c r="C871" s="1" t="s">
        <v>1238</v>
      </c>
      <c r="D871" s="1">
        <f>FIND("-",aoc_02_input[[#This Row],[InputNumbers]])</f>
        <v>3</v>
      </c>
      <c r="E871" s="1">
        <f>_xlfn.NUMBERVALUE(LEFT(aoc_02_input[[#This Row],[InputNumbers]],aoc_02_input[[#This Row],[PosDash]]-1))</f>
        <v>10</v>
      </c>
      <c r="F871" s="1">
        <f>_xlfn.NUMBERVALUE(MID(aoc_02_input[[#This Row],[InputNumbers]],aoc_02_input[[#This Row],[PosDash]]+1,5))</f>
        <v>11</v>
      </c>
      <c r="G871" s="1" t="str">
        <f>LEFT(aoc_02_input[[#This Row],[InputChar]],1)</f>
        <v>d</v>
      </c>
      <c r="H871" s="1" cm="1">
        <f t="array" ref="H871">CountChar(aoc_02_input[[#This Row],[Password]],aoc_02_input[[#This Row],[Char]])</f>
        <v>5</v>
      </c>
      <c r="I871" s="1">
        <f>IF(AND(aoc_02_input[[#This Row],[Int1]]&lt;=aoc_02_input[[#This Row],[CountOfChar]],aoc_02_input[[#This Row],[CountOfChar]]&lt;=aoc_02_input[[#This Row],[Int2]]),1,0)</f>
        <v>0</v>
      </c>
      <c r="J871" s="1" t="str">
        <f>MID(aoc_02_input[[#This Row],[Password]],aoc_02_input[[#This Row],[Int1]],1)</f>
        <v>d</v>
      </c>
      <c r="K871" s="1">
        <f>IF(aoc_02_input[[#This Row],[Pos1]]=aoc_02_input[[#This Row],[Char]],1,0)</f>
        <v>1</v>
      </c>
      <c r="L871" s="1" t="str">
        <f>MID(aoc_02_input[[#This Row],[Password]],aoc_02_input[[#This Row],[Int2]],1)</f>
        <v>d</v>
      </c>
      <c r="M871" s="1">
        <f>IF(aoc_02_input[[#This Row],[Pos2]]=aoc_02_input[[#This Row],[Char]],1,0)</f>
        <v>1</v>
      </c>
      <c r="N871" s="1">
        <f>IF(aoc_02_input[[#This Row],[Pos1Valid]]&lt;&gt;aoc_02_input[[#This Row],[Pos2Valid]],1,0)</f>
        <v>0</v>
      </c>
    </row>
    <row r="872" spans="1:14" x14ac:dyDescent="0.45">
      <c r="A872" s="1" t="s">
        <v>561</v>
      </c>
      <c r="B872" s="1" t="s">
        <v>222</v>
      </c>
      <c r="C872" s="1" t="s">
        <v>1239</v>
      </c>
      <c r="D872" s="1">
        <f>FIND("-",aoc_02_input[[#This Row],[InputNumbers]])</f>
        <v>2</v>
      </c>
      <c r="E872" s="1">
        <f>_xlfn.NUMBERVALUE(LEFT(aoc_02_input[[#This Row],[InputNumbers]],aoc_02_input[[#This Row],[PosDash]]-1))</f>
        <v>4</v>
      </c>
      <c r="F872" s="1">
        <f>_xlfn.NUMBERVALUE(MID(aoc_02_input[[#This Row],[InputNumbers]],aoc_02_input[[#This Row],[PosDash]]+1,5))</f>
        <v>14</v>
      </c>
      <c r="G872" s="1" t="str">
        <f>LEFT(aoc_02_input[[#This Row],[InputChar]],1)</f>
        <v>l</v>
      </c>
      <c r="H872" s="1" cm="1">
        <f t="array" ref="H872">CountChar(aoc_02_input[[#This Row],[Password]],aoc_02_input[[#This Row],[Char]])</f>
        <v>11</v>
      </c>
      <c r="I872" s="1">
        <f>IF(AND(aoc_02_input[[#This Row],[Int1]]&lt;=aoc_02_input[[#This Row],[CountOfChar]],aoc_02_input[[#This Row],[CountOfChar]]&lt;=aoc_02_input[[#This Row],[Int2]]),1,0)</f>
        <v>1</v>
      </c>
      <c r="J872" s="1" t="str">
        <f>MID(aoc_02_input[[#This Row],[Password]],aoc_02_input[[#This Row],[Int1]],1)</f>
        <v>f</v>
      </c>
      <c r="K872" s="1">
        <f>IF(aoc_02_input[[#This Row],[Pos1]]=aoc_02_input[[#This Row],[Char]],1,0)</f>
        <v>0</v>
      </c>
      <c r="L872" s="1" t="str">
        <f>MID(aoc_02_input[[#This Row],[Password]],aoc_02_input[[#This Row],[Int2]],1)</f>
        <v>g</v>
      </c>
      <c r="M872" s="1">
        <f>IF(aoc_02_input[[#This Row],[Pos2]]=aoc_02_input[[#This Row],[Char]],1,0)</f>
        <v>0</v>
      </c>
      <c r="N872" s="1">
        <f>IF(aoc_02_input[[#This Row],[Pos1Valid]]&lt;&gt;aoc_02_input[[#This Row],[Pos2Valid]],1,0)</f>
        <v>0</v>
      </c>
    </row>
    <row r="873" spans="1:14" x14ac:dyDescent="0.45">
      <c r="A873" s="1" t="s">
        <v>221</v>
      </c>
      <c r="B873" s="1" t="s">
        <v>265</v>
      </c>
      <c r="C873" s="1" t="s">
        <v>1240</v>
      </c>
      <c r="D873" s="1">
        <f>FIND("-",aoc_02_input[[#This Row],[InputNumbers]])</f>
        <v>2</v>
      </c>
      <c r="E873" s="1">
        <f>_xlfn.NUMBERVALUE(LEFT(aoc_02_input[[#This Row],[InputNumbers]],aoc_02_input[[#This Row],[PosDash]]-1))</f>
        <v>2</v>
      </c>
      <c r="F873" s="1">
        <f>_xlfn.NUMBERVALUE(MID(aoc_02_input[[#This Row],[InputNumbers]],aoc_02_input[[#This Row],[PosDash]]+1,5))</f>
        <v>3</v>
      </c>
      <c r="G873" s="1" t="str">
        <f>LEFT(aoc_02_input[[#This Row],[InputChar]],1)</f>
        <v>r</v>
      </c>
      <c r="H873" s="1" cm="1">
        <f t="array" ref="H873">CountChar(aoc_02_input[[#This Row],[Password]],aoc_02_input[[#This Row],[Char]])</f>
        <v>4</v>
      </c>
      <c r="I873" s="1">
        <f>IF(AND(aoc_02_input[[#This Row],[Int1]]&lt;=aoc_02_input[[#This Row],[CountOfChar]],aoc_02_input[[#This Row],[CountOfChar]]&lt;=aoc_02_input[[#This Row],[Int2]]),1,0)</f>
        <v>0</v>
      </c>
      <c r="J873" s="1" t="str">
        <f>MID(aoc_02_input[[#This Row],[Password]],aoc_02_input[[#This Row],[Int1]],1)</f>
        <v>r</v>
      </c>
      <c r="K873" s="1">
        <f>IF(aoc_02_input[[#This Row],[Pos1]]=aoc_02_input[[#This Row],[Char]],1,0)</f>
        <v>1</v>
      </c>
      <c r="L873" s="1" t="str">
        <f>MID(aoc_02_input[[#This Row],[Password]],aoc_02_input[[#This Row],[Int2]],1)</f>
        <v>c</v>
      </c>
      <c r="M873" s="1">
        <f>IF(aoc_02_input[[#This Row],[Pos2]]=aoc_02_input[[#This Row],[Char]],1,0)</f>
        <v>0</v>
      </c>
      <c r="N873" s="1">
        <f>IF(aoc_02_input[[#This Row],[Pos1Valid]]&lt;&gt;aoc_02_input[[#This Row],[Pos2Valid]],1,0)</f>
        <v>1</v>
      </c>
    </row>
    <row r="874" spans="1:14" x14ac:dyDescent="0.45">
      <c r="A874" s="1" t="s">
        <v>212</v>
      </c>
      <c r="B874" s="1" t="s">
        <v>295</v>
      </c>
      <c r="C874" s="1" t="s">
        <v>1241</v>
      </c>
      <c r="D874" s="1">
        <f>FIND("-",aoc_02_input[[#This Row],[InputNumbers]])</f>
        <v>2</v>
      </c>
      <c r="E874" s="1">
        <f>_xlfn.NUMBERVALUE(LEFT(aoc_02_input[[#This Row],[InputNumbers]],aoc_02_input[[#This Row],[PosDash]]-1))</f>
        <v>2</v>
      </c>
      <c r="F874" s="1">
        <f>_xlfn.NUMBERVALUE(MID(aoc_02_input[[#This Row],[InputNumbers]],aoc_02_input[[#This Row],[PosDash]]+1,5))</f>
        <v>5</v>
      </c>
      <c r="G874" s="1" t="str">
        <f>LEFT(aoc_02_input[[#This Row],[InputChar]],1)</f>
        <v>c</v>
      </c>
      <c r="H874" s="1" cm="1">
        <f t="array" ref="H874">CountChar(aoc_02_input[[#This Row],[Password]],aoc_02_input[[#This Row],[Char]])</f>
        <v>2</v>
      </c>
      <c r="I874" s="1">
        <f>IF(AND(aoc_02_input[[#This Row],[Int1]]&lt;=aoc_02_input[[#This Row],[CountOfChar]],aoc_02_input[[#This Row],[CountOfChar]]&lt;=aoc_02_input[[#This Row],[Int2]]),1,0)</f>
        <v>1</v>
      </c>
      <c r="J874" s="1" t="str">
        <f>MID(aoc_02_input[[#This Row],[Password]],aoc_02_input[[#This Row],[Int1]],1)</f>
        <v>c</v>
      </c>
      <c r="K874" s="1">
        <f>IF(aoc_02_input[[#This Row],[Pos1]]=aoc_02_input[[#This Row],[Char]],1,0)</f>
        <v>1</v>
      </c>
      <c r="L874" s="1" t="str">
        <f>MID(aoc_02_input[[#This Row],[Password]],aoc_02_input[[#This Row],[Int2]],1)</f>
        <v>c</v>
      </c>
      <c r="M874" s="1">
        <f>IF(aoc_02_input[[#This Row],[Pos2]]=aoc_02_input[[#This Row],[Char]],1,0)</f>
        <v>1</v>
      </c>
      <c r="N874" s="1">
        <f>IF(aoc_02_input[[#This Row],[Pos1Valid]]&lt;&gt;aoc_02_input[[#This Row],[Pos2Valid]],1,0)</f>
        <v>0</v>
      </c>
    </row>
    <row r="875" spans="1:14" x14ac:dyDescent="0.45">
      <c r="A875" s="1" t="s">
        <v>234</v>
      </c>
      <c r="B875" s="1" t="s">
        <v>216</v>
      </c>
      <c r="C875" s="1" t="s">
        <v>1242</v>
      </c>
      <c r="D875" s="1">
        <f>FIND("-",aoc_02_input[[#This Row],[InputNumbers]])</f>
        <v>2</v>
      </c>
      <c r="E875" s="1">
        <f>_xlfn.NUMBERVALUE(LEFT(aoc_02_input[[#This Row],[InputNumbers]],aoc_02_input[[#This Row],[PosDash]]-1))</f>
        <v>7</v>
      </c>
      <c r="F875" s="1">
        <f>_xlfn.NUMBERVALUE(MID(aoc_02_input[[#This Row],[InputNumbers]],aoc_02_input[[#This Row],[PosDash]]+1,5))</f>
        <v>8</v>
      </c>
      <c r="G875" s="1" t="str">
        <f>LEFT(aoc_02_input[[#This Row],[InputChar]],1)</f>
        <v>z</v>
      </c>
      <c r="H875" s="1" cm="1">
        <f t="array" ref="H875">CountChar(aoc_02_input[[#This Row],[Password]],aoc_02_input[[#This Row],[Char]])</f>
        <v>5</v>
      </c>
      <c r="I875" s="1">
        <f>IF(AND(aoc_02_input[[#This Row],[Int1]]&lt;=aoc_02_input[[#This Row],[CountOfChar]],aoc_02_input[[#This Row],[CountOfChar]]&lt;=aoc_02_input[[#This Row],[Int2]]),1,0)</f>
        <v>0</v>
      </c>
      <c r="J875" s="1" t="str">
        <f>MID(aoc_02_input[[#This Row],[Password]],aoc_02_input[[#This Row],[Int1]],1)</f>
        <v>n</v>
      </c>
      <c r="K875" s="1">
        <f>IF(aoc_02_input[[#This Row],[Pos1]]=aoc_02_input[[#This Row],[Char]],1,0)</f>
        <v>0</v>
      </c>
      <c r="L875" s="1" t="str">
        <f>MID(aoc_02_input[[#This Row],[Password]],aoc_02_input[[#This Row],[Int2]],1)</f>
        <v>z</v>
      </c>
      <c r="M875" s="1">
        <f>IF(aoc_02_input[[#This Row],[Pos2]]=aoc_02_input[[#This Row],[Char]],1,0)</f>
        <v>1</v>
      </c>
      <c r="N875" s="1">
        <f>IF(aoc_02_input[[#This Row],[Pos1Valid]]&lt;&gt;aoc_02_input[[#This Row],[Pos2Valid]],1,0)</f>
        <v>1</v>
      </c>
    </row>
    <row r="876" spans="1:14" x14ac:dyDescent="0.45">
      <c r="A876" s="1" t="s">
        <v>224</v>
      </c>
      <c r="B876" s="1" t="s">
        <v>213</v>
      </c>
      <c r="C876" s="1" t="s">
        <v>1243</v>
      </c>
      <c r="D876" s="1">
        <f>FIND("-",aoc_02_input[[#This Row],[InputNumbers]])</f>
        <v>2</v>
      </c>
      <c r="E876" s="1">
        <f>_xlfn.NUMBERVALUE(LEFT(aoc_02_input[[#This Row],[InputNumbers]],aoc_02_input[[#This Row],[PosDash]]-1))</f>
        <v>1</v>
      </c>
      <c r="F876" s="1">
        <f>_xlfn.NUMBERVALUE(MID(aoc_02_input[[#This Row],[InputNumbers]],aoc_02_input[[#This Row],[PosDash]]+1,5))</f>
        <v>5</v>
      </c>
      <c r="G876" s="1" t="str">
        <f>LEFT(aoc_02_input[[#This Row],[InputChar]],1)</f>
        <v>m</v>
      </c>
      <c r="H876" s="1" cm="1">
        <f t="array" ref="H876">CountChar(aoc_02_input[[#This Row],[Password]],aoc_02_input[[#This Row],[Char]])</f>
        <v>2</v>
      </c>
      <c r="I876" s="1">
        <f>IF(AND(aoc_02_input[[#This Row],[Int1]]&lt;=aoc_02_input[[#This Row],[CountOfChar]],aoc_02_input[[#This Row],[CountOfChar]]&lt;=aoc_02_input[[#This Row],[Int2]]),1,0)</f>
        <v>1</v>
      </c>
      <c r="J876" s="1" t="str">
        <f>MID(aoc_02_input[[#This Row],[Password]],aoc_02_input[[#This Row],[Int1]],1)</f>
        <v>t</v>
      </c>
      <c r="K876" s="1">
        <f>IF(aoc_02_input[[#This Row],[Pos1]]=aoc_02_input[[#This Row],[Char]],1,0)</f>
        <v>0</v>
      </c>
      <c r="L876" s="1" t="str">
        <f>MID(aoc_02_input[[#This Row],[Password]],aoc_02_input[[#This Row],[Int2]],1)</f>
        <v>m</v>
      </c>
      <c r="M876" s="1">
        <f>IF(aoc_02_input[[#This Row],[Pos2]]=aoc_02_input[[#This Row],[Char]],1,0)</f>
        <v>1</v>
      </c>
      <c r="N876" s="1">
        <f>IF(aoc_02_input[[#This Row],[Pos1Valid]]&lt;&gt;aoc_02_input[[#This Row],[Pos2Valid]],1,0)</f>
        <v>1</v>
      </c>
    </row>
    <row r="877" spans="1:14" x14ac:dyDescent="0.45">
      <c r="A877" s="1" t="s">
        <v>288</v>
      </c>
      <c r="B877" s="1" t="s">
        <v>210</v>
      </c>
      <c r="C877" s="1" t="s">
        <v>1244</v>
      </c>
      <c r="D877" s="1">
        <f>FIND("-",aoc_02_input[[#This Row],[InputNumbers]])</f>
        <v>2</v>
      </c>
      <c r="E877" s="1">
        <f>_xlfn.NUMBERVALUE(LEFT(aoc_02_input[[#This Row],[InputNumbers]],aoc_02_input[[#This Row],[PosDash]]-1))</f>
        <v>1</v>
      </c>
      <c r="F877" s="1">
        <f>_xlfn.NUMBERVALUE(MID(aoc_02_input[[#This Row],[InputNumbers]],aoc_02_input[[#This Row],[PosDash]]+1,5))</f>
        <v>4</v>
      </c>
      <c r="G877" s="1" t="str">
        <f>LEFT(aoc_02_input[[#This Row],[InputChar]],1)</f>
        <v>v</v>
      </c>
      <c r="H877" s="1" cm="1">
        <f t="array" ref="H877">CountChar(aoc_02_input[[#This Row],[Password]],aoc_02_input[[#This Row],[Char]])</f>
        <v>4</v>
      </c>
      <c r="I877" s="1">
        <f>IF(AND(aoc_02_input[[#This Row],[Int1]]&lt;=aoc_02_input[[#This Row],[CountOfChar]],aoc_02_input[[#This Row],[CountOfChar]]&lt;=aoc_02_input[[#This Row],[Int2]]),1,0)</f>
        <v>1</v>
      </c>
      <c r="J877" s="1" t="str">
        <f>MID(aoc_02_input[[#This Row],[Password]],aoc_02_input[[#This Row],[Int1]],1)</f>
        <v>v</v>
      </c>
      <c r="K877" s="1">
        <f>IF(aoc_02_input[[#This Row],[Pos1]]=aoc_02_input[[#This Row],[Char]],1,0)</f>
        <v>1</v>
      </c>
      <c r="L877" s="1" t="str">
        <f>MID(aoc_02_input[[#This Row],[Password]],aoc_02_input[[#This Row],[Int2]],1)</f>
        <v>p</v>
      </c>
      <c r="M877" s="1">
        <f>IF(aoc_02_input[[#This Row],[Pos2]]=aoc_02_input[[#This Row],[Char]],1,0)</f>
        <v>0</v>
      </c>
      <c r="N877" s="1">
        <f>IF(aoc_02_input[[#This Row],[Pos1Valid]]&lt;&gt;aoc_02_input[[#This Row],[Pos2Valid]],1,0)</f>
        <v>1</v>
      </c>
    </row>
    <row r="878" spans="1:14" x14ac:dyDescent="0.45">
      <c r="A878" s="1" t="s">
        <v>324</v>
      </c>
      <c r="B878" s="1" t="s">
        <v>238</v>
      </c>
      <c r="C878" s="1" t="s">
        <v>1245</v>
      </c>
      <c r="D878" s="1">
        <f>FIND("-",aoc_02_input[[#This Row],[InputNumbers]])</f>
        <v>2</v>
      </c>
      <c r="E878" s="1">
        <f>_xlfn.NUMBERVALUE(LEFT(aoc_02_input[[#This Row],[InputNumbers]],aoc_02_input[[#This Row],[PosDash]]-1))</f>
        <v>1</v>
      </c>
      <c r="F878" s="1">
        <f>_xlfn.NUMBERVALUE(MID(aoc_02_input[[#This Row],[InputNumbers]],aoc_02_input[[#This Row],[PosDash]]+1,5))</f>
        <v>3</v>
      </c>
      <c r="G878" s="1" t="str">
        <f>LEFT(aoc_02_input[[#This Row],[InputChar]],1)</f>
        <v>w</v>
      </c>
      <c r="H878" s="1" cm="1">
        <f t="array" ref="H878">CountChar(aoc_02_input[[#This Row],[Password]],aoc_02_input[[#This Row],[Char]])</f>
        <v>5</v>
      </c>
      <c r="I878" s="1">
        <f>IF(AND(aoc_02_input[[#This Row],[Int1]]&lt;=aoc_02_input[[#This Row],[CountOfChar]],aoc_02_input[[#This Row],[CountOfChar]]&lt;=aoc_02_input[[#This Row],[Int2]]),1,0)</f>
        <v>0</v>
      </c>
      <c r="J878" s="1" t="str">
        <f>MID(aoc_02_input[[#This Row],[Password]],aoc_02_input[[#This Row],[Int1]],1)</f>
        <v>w</v>
      </c>
      <c r="K878" s="1">
        <f>IF(aoc_02_input[[#This Row],[Pos1]]=aoc_02_input[[#This Row],[Char]],1,0)</f>
        <v>1</v>
      </c>
      <c r="L878" s="1" t="str">
        <f>MID(aoc_02_input[[#This Row],[Password]],aoc_02_input[[#This Row],[Int2]],1)</f>
        <v>m</v>
      </c>
      <c r="M878" s="1">
        <f>IF(aoc_02_input[[#This Row],[Pos2]]=aoc_02_input[[#This Row],[Char]],1,0)</f>
        <v>0</v>
      </c>
      <c r="N878" s="1">
        <f>IF(aoc_02_input[[#This Row],[Pos1Valid]]&lt;&gt;aoc_02_input[[#This Row],[Pos2Valid]],1,0)</f>
        <v>1</v>
      </c>
    </row>
    <row r="879" spans="1:14" x14ac:dyDescent="0.45">
      <c r="A879" s="1" t="s">
        <v>309</v>
      </c>
      <c r="B879" s="1" t="s">
        <v>228</v>
      </c>
      <c r="C879" s="1" t="s">
        <v>1246</v>
      </c>
      <c r="D879" s="1">
        <f>FIND("-",aoc_02_input[[#This Row],[InputNumbers]])</f>
        <v>2</v>
      </c>
      <c r="E879" s="1">
        <f>_xlfn.NUMBERVALUE(LEFT(aoc_02_input[[#This Row],[InputNumbers]],aoc_02_input[[#This Row],[PosDash]]-1))</f>
        <v>8</v>
      </c>
      <c r="F879" s="1">
        <f>_xlfn.NUMBERVALUE(MID(aoc_02_input[[#This Row],[InputNumbers]],aoc_02_input[[#This Row],[PosDash]]+1,5))</f>
        <v>11</v>
      </c>
      <c r="G879" s="1" t="str">
        <f>LEFT(aoc_02_input[[#This Row],[InputChar]],1)</f>
        <v>t</v>
      </c>
      <c r="H879" s="1" cm="1">
        <f t="array" ref="H879">CountChar(aoc_02_input[[#This Row],[Password]],aoc_02_input[[#This Row],[Char]])</f>
        <v>10</v>
      </c>
      <c r="I879" s="1">
        <f>IF(AND(aoc_02_input[[#This Row],[Int1]]&lt;=aoc_02_input[[#This Row],[CountOfChar]],aoc_02_input[[#This Row],[CountOfChar]]&lt;=aoc_02_input[[#This Row],[Int2]]),1,0)</f>
        <v>1</v>
      </c>
      <c r="J879" s="1" t="str">
        <f>MID(aoc_02_input[[#This Row],[Password]],aoc_02_input[[#This Row],[Int1]],1)</f>
        <v>q</v>
      </c>
      <c r="K879" s="1">
        <f>IF(aoc_02_input[[#This Row],[Pos1]]=aoc_02_input[[#This Row],[Char]],1,0)</f>
        <v>0</v>
      </c>
      <c r="L879" s="1" t="str">
        <f>MID(aoc_02_input[[#This Row],[Password]],aoc_02_input[[#This Row],[Int2]],1)</f>
        <v>t</v>
      </c>
      <c r="M879" s="1">
        <f>IF(aoc_02_input[[#This Row],[Pos2]]=aoc_02_input[[#This Row],[Char]],1,0)</f>
        <v>1</v>
      </c>
      <c r="N879" s="1">
        <f>IF(aoc_02_input[[#This Row],[Pos1Valid]]&lt;&gt;aoc_02_input[[#This Row],[Pos2Valid]],1,0)</f>
        <v>1</v>
      </c>
    </row>
    <row r="880" spans="1:14" x14ac:dyDescent="0.45">
      <c r="A880" s="1" t="s">
        <v>264</v>
      </c>
      <c r="B880" s="1" t="s">
        <v>243</v>
      </c>
      <c r="C880" s="1" t="s">
        <v>1247</v>
      </c>
      <c r="D880" s="1">
        <f>FIND("-",aoc_02_input[[#This Row],[InputNumbers]])</f>
        <v>2</v>
      </c>
      <c r="E880" s="1">
        <f>_xlfn.NUMBERVALUE(LEFT(aoc_02_input[[#This Row],[InputNumbers]],aoc_02_input[[#This Row],[PosDash]]-1))</f>
        <v>9</v>
      </c>
      <c r="F880" s="1">
        <f>_xlfn.NUMBERVALUE(MID(aoc_02_input[[#This Row],[InputNumbers]],aoc_02_input[[#This Row],[PosDash]]+1,5))</f>
        <v>11</v>
      </c>
      <c r="G880" s="1" t="str">
        <f>LEFT(aoc_02_input[[#This Row],[InputChar]],1)</f>
        <v>f</v>
      </c>
      <c r="H880" s="1" cm="1">
        <f t="array" ref="H880">CountChar(aoc_02_input[[#This Row],[Password]],aoc_02_input[[#This Row],[Char]])</f>
        <v>2</v>
      </c>
      <c r="I880" s="1">
        <f>IF(AND(aoc_02_input[[#This Row],[Int1]]&lt;=aoc_02_input[[#This Row],[CountOfChar]],aoc_02_input[[#This Row],[CountOfChar]]&lt;=aoc_02_input[[#This Row],[Int2]]),1,0)</f>
        <v>0</v>
      </c>
      <c r="J880" s="1" t="str">
        <f>MID(aoc_02_input[[#This Row],[Password]],aoc_02_input[[#This Row],[Int1]],1)</f>
        <v>g</v>
      </c>
      <c r="K880" s="1">
        <f>IF(aoc_02_input[[#This Row],[Pos1]]=aoc_02_input[[#This Row],[Char]],1,0)</f>
        <v>0</v>
      </c>
      <c r="L880" s="1" t="str">
        <f>MID(aoc_02_input[[#This Row],[Password]],aoc_02_input[[#This Row],[Int2]],1)</f>
        <v>f</v>
      </c>
      <c r="M880" s="1">
        <f>IF(aoc_02_input[[#This Row],[Pos2]]=aoc_02_input[[#This Row],[Char]],1,0)</f>
        <v>1</v>
      </c>
      <c r="N880" s="1">
        <f>IF(aoc_02_input[[#This Row],[Pos1Valid]]&lt;&gt;aoc_02_input[[#This Row],[Pos2Valid]],1,0)</f>
        <v>1</v>
      </c>
    </row>
    <row r="881" spans="1:14" x14ac:dyDescent="0.45">
      <c r="A881" s="1" t="s">
        <v>341</v>
      </c>
      <c r="B881" s="1" t="s">
        <v>238</v>
      </c>
      <c r="C881" s="1" t="s">
        <v>1248</v>
      </c>
      <c r="D881" s="1">
        <f>FIND("-",aoc_02_input[[#This Row],[InputNumbers]])</f>
        <v>2</v>
      </c>
      <c r="E881" s="1">
        <f>_xlfn.NUMBERVALUE(LEFT(aoc_02_input[[#This Row],[InputNumbers]],aoc_02_input[[#This Row],[PosDash]]-1))</f>
        <v>5</v>
      </c>
      <c r="F881" s="1">
        <f>_xlfn.NUMBERVALUE(MID(aoc_02_input[[#This Row],[InputNumbers]],aoc_02_input[[#This Row],[PosDash]]+1,5))</f>
        <v>8</v>
      </c>
      <c r="G881" s="1" t="str">
        <f>LEFT(aoc_02_input[[#This Row],[InputChar]],1)</f>
        <v>w</v>
      </c>
      <c r="H881" s="1" cm="1">
        <f t="array" ref="H881">CountChar(aoc_02_input[[#This Row],[Password]],aoc_02_input[[#This Row],[Char]])</f>
        <v>8</v>
      </c>
      <c r="I881" s="1">
        <f>IF(AND(aoc_02_input[[#This Row],[Int1]]&lt;=aoc_02_input[[#This Row],[CountOfChar]],aoc_02_input[[#This Row],[CountOfChar]]&lt;=aoc_02_input[[#This Row],[Int2]]),1,0)</f>
        <v>1</v>
      </c>
      <c r="J881" s="1" t="str">
        <f>MID(aoc_02_input[[#This Row],[Password]],aoc_02_input[[#This Row],[Int1]],1)</f>
        <v>s</v>
      </c>
      <c r="K881" s="1">
        <f>IF(aoc_02_input[[#This Row],[Pos1]]=aoc_02_input[[#This Row],[Char]],1,0)</f>
        <v>0</v>
      </c>
      <c r="L881" s="1" t="str">
        <f>MID(aoc_02_input[[#This Row],[Password]],aoc_02_input[[#This Row],[Int2]],1)</f>
        <v>d</v>
      </c>
      <c r="M881" s="1">
        <f>IF(aoc_02_input[[#This Row],[Pos2]]=aoc_02_input[[#This Row],[Char]],1,0)</f>
        <v>0</v>
      </c>
      <c r="N881" s="1">
        <f>IF(aoc_02_input[[#This Row],[Pos1Valid]]&lt;&gt;aoc_02_input[[#This Row],[Pos2Valid]],1,0)</f>
        <v>0</v>
      </c>
    </row>
    <row r="882" spans="1:14" x14ac:dyDescent="0.45">
      <c r="A882" s="1" t="s">
        <v>264</v>
      </c>
      <c r="B882" s="1" t="s">
        <v>246</v>
      </c>
      <c r="C882" s="1" t="s">
        <v>1249</v>
      </c>
      <c r="D882" s="1">
        <f>FIND("-",aoc_02_input[[#This Row],[InputNumbers]])</f>
        <v>2</v>
      </c>
      <c r="E882" s="1">
        <f>_xlfn.NUMBERVALUE(LEFT(aoc_02_input[[#This Row],[InputNumbers]],aoc_02_input[[#This Row],[PosDash]]-1))</f>
        <v>9</v>
      </c>
      <c r="F882" s="1">
        <f>_xlfn.NUMBERVALUE(MID(aoc_02_input[[#This Row],[InputNumbers]],aoc_02_input[[#This Row],[PosDash]]+1,5))</f>
        <v>11</v>
      </c>
      <c r="G882" s="1" t="str">
        <f>LEFT(aoc_02_input[[#This Row],[InputChar]],1)</f>
        <v>n</v>
      </c>
      <c r="H882" s="1" cm="1">
        <f t="array" ref="H882">CountChar(aoc_02_input[[#This Row],[Password]],aoc_02_input[[#This Row],[Char]])</f>
        <v>4</v>
      </c>
      <c r="I882" s="1">
        <f>IF(AND(aoc_02_input[[#This Row],[Int1]]&lt;=aoc_02_input[[#This Row],[CountOfChar]],aoc_02_input[[#This Row],[CountOfChar]]&lt;=aoc_02_input[[#This Row],[Int2]]),1,0)</f>
        <v>0</v>
      </c>
      <c r="J882" s="1" t="str">
        <f>MID(aoc_02_input[[#This Row],[Password]],aoc_02_input[[#This Row],[Int1]],1)</f>
        <v>n</v>
      </c>
      <c r="K882" s="1">
        <f>IF(aoc_02_input[[#This Row],[Pos1]]=aoc_02_input[[#This Row],[Char]],1,0)</f>
        <v>1</v>
      </c>
      <c r="L882" s="1" t="str">
        <f>MID(aoc_02_input[[#This Row],[Password]],aoc_02_input[[#This Row],[Int2]],1)</f>
        <v>n</v>
      </c>
      <c r="M882" s="1">
        <f>IF(aoc_02_input[[#This Row],[Pos2]]=aoc_02_input[[#This Row],[Char]],1,0)</f>
        <v>1</v>
      </c>
      <c r="N882" s="1">
        <f>IF(aoc_02_input[[#This Row],[Pos1Valid]]&lt;&gt;aoc_02_input[[#This Row],[Pos2Valid]],1,0)</f>
        <v>0</v>
      </c>
    </row>
    <row r="883" spans="1:14" x14ac:dyDescent="0.45">
      <c r="A883" s="1" t="s">
        <v>394</v>
      </c>
      <c r="B883" s="1" t="s">
        <v>222</v>
      </c>
      <c r="C883" s="1" t="s">
        <v>1250</v>
      </c>
      <c r="D883" s="1">
        <f>FIND("-",aoc_02_input[[#This Row],[InputNumbers]])</f>
        <v>2</v>
      </c>
      <c r="E883" s="1">
        <f>_xlfn.NUMBERVALUE(LEFT(aoc_02_input[[#This Row],[InputNumbers]],aoc_02_input[[#This Row],[PosDash]]-1))</f>
        <v>4</v>
      </c>
      <c r="F883" s="1">
        <f>_xlfn.NUMBERVALUE(MID(aoc_02_input[[#This Row],[InputNumbers]],aoc_02_input[[#This Row],[PosDash]]+1,5))</f>
        <v>7</v>
      </c>
      <c r="G883" s="1" t="str">
        <f>LEFT(aoc_02_input[[#This Row],[InputChar]],1)</f>
        <v>l</v>
      </c>
      <c r="H883" s="1" cm="1">
        <f t="array" ref="H883">CountChar(aoc_02_input[[#This Row],[Password]],aoc_02_input[[#This Row],[Char]])</f>
        <v>10</v>
      </c>
      <c r="I883" s="1">
        <f>IF(AND(aoc_02_input[[#This Row],[Int1]]&lt;=aoc_02_input[[#This Row],[CountOfChar]],aoc_02_input[[#This Row],[CountOfChar]]&lt;=aoc_02_input[[#This Row],[Int2]]),1,0)</f>
        <v>0</v>
      </c>
      <c r="J883" s="1" t="str">
        <f>MID(aoc_02_input[[#This Row],[Password]],aoc_02_input[[#This Row],[Int1]],1)</f>
        <v>l</v>
      </c>
      <c r="K883" s="1">
        <f>IF(aoc_02_input[[#This Row],[Pos1]]=aoc_02_input[[#This Row],[Char]],1,0)</f>
        <v>1</v>
      </c>
      <c r="L883" s="1" t="str">
        <f>MID(aoc_02_input[[#This Row],[Password]],aoc_02_input[[#This Row],[Int2]],1)</f>
        <v>l</v>
      </c>
      <c r="M883" s="1">
        <f>IF(aoc_02_input[[#This Row],[Pos2]]=aoc_02_input[[#This Row],[Char]],1,0)</f>
        <v>1</v>
      </c>
      <c r="N883" s="1">
        <f>IF(aoc_02_input[[#This Row],[Pos1Valid]]&lt;&gt;aoc_02_input[[#This Row],[Pos2Valid]],1,0)</f>
        <v>0</v>
      </c>
    </row>
    <row r="884" spans="1:14" x14ac:dyDescent="0.45">
      <c r="A884" s="1" t="s">
        <v>230</v>
      </c>
      <c r="B884" s="1" t="s">
        <v>225</v>
      </c>
      <c r="C884" s="1" t="s">
        <v>226</v>
      </c>
      <c r="D884" s="1">
        <f>FIND("-",aoc_02_input[[#This Row],[InputNumbers]])</f>
        <v>2</v>
      </c>
      <c r="E884" s="1">
        <f>_xlfn.NUMBERVALUE(LEFT(aoc_02_input[[#This Row],[InputNumbers]],aoc_02_input[[#This Row],[PosDash]]-1))</f>
        <v>2</v>
      </c>
      <c r="F884" s="1">
        <f>_xlfn.NUMBERVALUE(MID(aoc_02_input[[#This Row],[InputNumbers]],aoc_02_input[[#This Row],[PosDash]]+1,5))</f>
        <v>4</v>
      </c>
      <c r="G884" s="1" t="str">
        <f>LEFT(aoc_02_input[[#This Row],[InputChar]],1)</f>
        <v>j</v>
      </c>
      <c r="H884" s="1" cm="1">
        <f t="array" ref="H884">CountChar(aoc_02_input[[#This Row],[Password]],aoc_02_input[[#This Row],[Char]])</f>
        <v>5</v>
      </c>
      <c r="I884" s="1">
        <f>IF(AND(aoc_02_input[[#This Row],[Int1]]&lt;=aoc_02_input[[#This Row],[CountOfChar]],aoc_02_input[[#This Row],[CountOfChar]]&lt;=aoc_02_input[[#This Row],[Int2]]),1,0)</f>
        <v>0</v>
      </c>
      <c r="J884" s="1" t="str">
        <f>MID(aoc_02_input[[#This Row],[Password]],aoc_02_input[[#This Row],[Int1]],1)</f>
        <v>j</v>
      </c>
      <c r="K884" s="1">
        <f>IF(aoc_02_input[[#This Row],[Pos1]]=aoc_02_input[[#This Row],[Char]],1,0)</f>
        <v>1</v>
      </c>
      <c r="L884" s="1" t="str">
        <f>MID(aoc_02_input[[#This Row],[Password]],aoc_02_input[[#This Row],[Int2]],1)</f>
        <v>j</v>
      </c>
      <c r="M884" s="1">
        <f>IF(aoc_02_input[[#This Row],[Pos2]]=aoc_02_input[[#This Row],[Char]],1,0)</f>
        <v>1</v>
      </c>
      <c r="N884" s="1">
        <f>IF(aoc_02_input[[#This Row],[Pos1Valid]]&lt;&gt;aoc_02_input[[#This Row],[Pos2Valid]],1,0)</f>
        <v>0</v>
      </c>
    </row>
    <row r="885" spans="1:14" x14ac:dyDescent="0.45">
      <c r="A885" s="1" t="s">
        <v>365</v>
      </c>
      <c r="B885" s="1" t="s">
        <v>213</v>
      </c>
      <c r="C885" s="1" t="s">
        <v>1251</v>
      </c>
      <c r="D885" s="1">
        <f>FIND("-",aoc_02_input[[#This Row],[InputNumbers]])</f>
        <v>2</v>
      </c>
      <c r="E885" s="1">
        <f>_xlfn.NUMBERVALUE(LEFT(aoc_02_input[[#This Row],[InputNumbers]],aoc_02_input[[#This Row],[PosDash]]-1))</f>
        <v>6</v>
      </c>
      <c r="F885" s="1">
        <f>_xlfn.NUMBERVALUE(MID(aoc_02_input[[#This Row],[InputNumbers]],aoc_02_input[[#This Row],[PosDash]]+1,5))</f>
        <v>9</v>
      </c>
      <c r="G885" s="1" t="str">
        <f>LEFT(aoc_02_input[[#This Row],[InputChar]],1)</f>
        <v>m</v>
      </c>
      <c r="H885" s="1" cm="1">
        <f t="array" ref="H885">CountChar(aoc_02_input[[#This Row],[Password]],aoc_02_input[[#This Row],[Char]])</f>
        <v>5</v>
      </c>
      <c r="I885" s="1">
        <f>IF(AND(aoc_02_input[[#This Row],[Int1]]&lt;=aoc_02_input[[#This Row],[CountOfChar]],aoc_02_input[[#This Row],[CountOfChar]]&lt;=aoc_02_input[[#This Row],[Int2]]),1,0)</f>
        <v>0</v>
      </c>
      <c r="J885" s="1" t="str">
        <f>MID(aoc_02_input[[#This Row],[Password]],aoc_02_input[[#This Row],[Int1]],1)</f>
        <v>m</v>
      </c>
      <c r="K885" s="1">
        <f>IF(aoc_02_input[[#This Row],[Pos1]]=aoc_02_input[[#This Row],[Char]],1,0)</f>
        <v>1</v>
      </c>
      <c r="L885" s="1" t="str">
        <f>MID(aoc_02_input[[#This Row],[Password]],aoc_02_input[[#This Row],[Int2]],1)</f>
        <v>v</v>
      </c>
      <c r="M885" s="1">
        <f>IF(aoc_02_input[[#This Row],[Pos2]]=aoc_02_input[[#This Row],[Char]],1,0)</f>
        <v>0</v>
      </c>
      <c r="N885" s="1">
        <f>IF(aoc_02_input[[#This Row],[Pos1Valid]]&lt;&gt;aoc_02_input[[#This Row],[Pos2Valid]],1,0)</f>
        <v>1</v>
      </c>
    </row>
    <row r="886" spans="1:14" x14ac:dyDescent="0.45">
      <c r="A886" s="1" t="s">
        <v>555</v>
      </c>
      <c r="B886" s="1" t="s">
        <v>238</v>
      </c>
      <c r="C886" s="1" t="s">
        <v>1252</v>
      </c>
      <c r="D886" s="1">
        <f>FIND("-",aoc_02_input[[#This Row],[InputNumbers]])</f>
        <v>2</v>
      </c>
      <c r="E886" s="1">
        <f>_xlfn.NUMBERVALUE(LEFT(aoc_02_input[[#This Row],[InputNumbers]],aoc_02_input[[#This Row],[PosDash]]-1))</f>
        <v>1</v>
      </c>
      <c r="F886" s="1">
        <f>_xlfn.NUMBERVALUE(MID(aoc_02_input[[#This Row],[InputNumbers]],aoc_02_input[[#This Row],[PosDash]]+1,5))</f>
        <v>10</v>
      </c>
      <c r="G886" s="1" t="str">
        <f>LEFT(aoc_02_input[[#This Row],[InputChar]],1)</f>
        <v>w</v>
      </c>
      <c r="H886" s="1" cm="1">
        <f t="array" ref="H886">CountChar(aoc_02_input[[#This Row],[Password]],aoc_02_input[[#This Row],[Char]])</f>
        <v>8</v>
      </c>
      <c r="I886" s="1">
        <f>IF(AND(aoc_02_input[[#This Row],[Int1]]&lt;=aoc_02_input[[#This Row],[CountOfChar]],aoc_02_input[[#This Row],[CountOfChar]]&lt;=aoc_02_input[[#This Row],[Int2]]),1,0)</f>
        <v>1</v>
      </c>
      <c r="J886" s="1" t="str">
        <f>MID(aoc_02_input[[#This Row],[Password]],aoc_02_input[[#This Row],[Int1]],1)</f>
        <v>x</v>
      </c>
      <c r="K886" s="1">
        <f>IF(aoc_02_input[[#This Row],[Pos1]]=aoc_02_input[[#This Row],[Char]],1,0)</f>
        <v>0</v>
      </c>
      <c r="L886" s="1" t="str">
        <f>MID(aoc_02_input[[#This Row],[Password]],aoc_02_input[[#This Row],[Int2]],1)</f>
        <v>w</v>
      </c>
      <c r="M886" s="1">
        <f>IF(aoc_02_input[[#This Row],[Pos2]]=aoc_02_input[[#This Row],[Char]],1,0)</f>
        <v>1</v>
      </c>
      <c r="N886" s="1">
        <f>IF(aoc_02_input[[#This Row],[Pos1Valid]]&lt;&gt;aoc_02_input[[#This Row],[Pos2Valid]],1,0)</f>
        <v>1</v>
      </c>
    </row>
    <row r="887" spans="1:14" x14ac:dyDescent="0.45">
      <c r="A887" s="1" t="s">
        <v>698</v>
      </c>
      <c r="B887" s="1" t="s">
        <v>305</v>
      </c>
      <c r="C887" s="1" t="s">
        <v>1253</v>
      </c>
      <c r="D887" s="1">
        <f>FIND("-",aoc_02_input[[#This Row],[InputNumbers]])</f>
        <v>2</v>
      </c>
      <c r="E887" s="1">
        <f>_xlfn.NUMBERVALUE(LEFT(aoc_02_input[[#This Row],[InputNumbers]],aoc_02_input[[#This Row],[PosDash]]-1))</f>
        <v>5</v>
      </c>
      <c r="F887" s="1">
        <f>_xlfn.NUMBERVALUE(MID(aoc_02_input[[#This Row],[InputNumbers]],aoc_02_input[[#This Row],[PosDash]]+1,5))</f>
        <v>10</v>
      </c>
      <c r="G887" s="1" t="str">
        <f>LEFT(aoc_02_input[[#This Row],[InputChar]],1)</f>
        <v>s</v>
      </c>
      <c r="H887" s="1" cm="1">
        <f t="array" ref="H887">CountChar(aoc_02_input[[#This Row],[Password]],aoc_02_input[[#This Row],[Char]])</f>
        <v>6</v>
      </c>
      <c r="I887" s="1">
        <f>IF(AND(aoc_02_input[[#This Row],[Int1]]&lt;=aoc_02_input[[#This Row],[CountOfChar]],aoc_02_input[[#This Row],[CountOfChar]]&lt;=aoc_02_input[[#This Row],[Int2]]),1,0)</f>
        <v>1</v>
      </c>
      <c r="J887" s="1" t="str">
        <f>MID(aoc_02_input[[#This Row],[Password]],aoc_02_input[[#This Row],[Int1]],1)</f>
        <v>b</v>
      </c>
      <c r="K887" s="1">
        <f>IF(aoc_02_input[[#This Row],[Pos1]]=aoc_02_input[[#This Row],[Char]],1,0)</f>
        <v>0</v>
      </c>
      <c r="L887" s="1" t="str">
        <f>MID(aoc_02_input[[#This Row],[Password]],aoc_02_input[[#This Row],[Int2]],1)</f>
        <v>s</v>
      </c>
      <c r="M887" s="1">
        <f>IF(aoc_02_input[[#This Row],[Pos2]]=aoc_02_input[[#This Row],[Char]],1,0)</f>
        <v>1</v>
      </c>
      <c r="N887" s="1">
        <f>IF(aoc_02_input[[#This Row],[Pos1Valid]]&lt;&gt;aoc_02_input[[#This Row],[Pos2Valid]],1,0)</f>
        <v>1</v>
      </c>
    </row>
    <row r="888" spans="1:14" x14ac:dyDescent="0.45">
      <c r="A888" s="1" t="s">
        <v>242</v>
      </c>
      <c r="B888" s="1" t="s">
        <v>243</v>
      </c>
      <c r="C888" s="1" t="s">
        <v>1254</v>
      </c>
      <c r="D888" s="1">
        <f>FIND("-",aoc_02_input[[#This Row],[InputNumbers]])</f>
        <v>3</v>
      </c>
      <c r="E888" s="1">
        <f>_xlfn.NUMBERVALUE(LEFT(aoc_02_input[[#This Row],[InputNumbers]],aoc_02_input[[#This Row],[PosDash]]-1))</f>
        <v>10</v>
      </c>
      <c r="F888" s="1">
        <f>_xlfn.NUMBERVALUE(MID(aoc_02_input[[#This Row],[InputNumbers]],aoc_02_input[[#This Row],[PosDash]]+1,5))</f>
        <v>11</v>
      </c>
      <c r="G888" s="1" t="str">
        <f>LEFT(aoc_02_input[[#This Row],[InputChar]],1)</f>
        <v>f</v>
      </c>
      <c r="H888" s="1" cm="1">
        <f t="array" ref="H888">CountChar(aoc_02_input[[#This Row],[Password]],aoc_02_input[[#This Row],[Char]])</f>
        <v>9</v>
      </c>
      <c r="I888" s="1">
        <f>IF(AND(aoc_02_input[[#This Row],[Int1]]&lt;=aoc_02_input[[#This Row],[CountOfChar]],aoc_02_input[[#This Row],[CountOfChar]]&lt;=aoc_02_input[[#This Row],[Int2]]),1,0)</f>
        <v>0</v>
      </c>
      <c r="J888" s="1" t="str">
        <f>MID(aoc_02_input[[#This Row],[Password]],aoc_02_input[[#This Row],[Int1]],1)</f>
        <v>l</v>
      </c>
      <c r="K888" s="1">
        <f>IF(aoc_02_input[[#This Row],[Pos1]]=aoc_02_input[[#This Row],[Char]],1,0)</f>
        <v>0</v>
      </c>
      <c r="L888" s="1" t="str">
        <f>MID(aoc_02_input[[#This Row],[Password]],aoc_02_input[[#This Row],[Int2]],1)</f>
        <v>j</v>
      </c>
      <c r="M888" s="1">
        <f>IF(aoc_02_input[[#This Row],[Pos2]]=aoc_02_input[[#This Row],[Char]],1,0)</f>
        <v>0</v>
      </c>
      <c r="N888" s="1">
        <f>IF(aoc_02_input[[#This Row],[Pos1Valid]]&lt;&gt;aoc_02_input[[#This Row],[Pos2Valid]],1,0)</f>
        <v>0</v>
      </c>
    </row>
    <row r="889" spans="1:14" x14ac:dyDescent="0.45">
      <c r="A889" s="1" t="s">
        <v>256</v>
      </c>
      <c r="B889" s="1" t="s">
        <v>210</v>
      </c>
      <c r="C889" s="1" t="s">
        <v>1255</v>
      </c>
      <c r="D889" s="1">
        <f>FIND("-",aoc_02_input[[#This Row],[InputNumbers]])</f>
        <v>2</v>
      </c>
      <c r="E889" s="1">
        <f>_xlfn.NUMBERVALUE(LEFT(aoc_02_input[[#This Row],[InputNumbers]],aoc_02_input[[#This Row],[PosDash]]-1))</f>
        <v>5</v>
      </c>
      <c r="F889" s="1">
        <f>_xlfn.NUMBERVALUE(MID(aoc_02_input[[#This Row],[InputNumbers]],aoc_02_input[[#This Row],[PosDash]]+1,5))</f>
        <v>7</v>
      </c>
      <c r="G889" s="1" t="str">
        <f>LEFT(aoc_02_input[[#This Row],[InputChar]],1)</f>
        <v>v</v>
      </c>
      <c r="H889" s="1" cm="1">
        <f t="array" ref="H889">CountChar(aoc_02_input[[#This Row],[Password]],aoc_02_input[[#This Row],[Char]])</f>
        <v>6</v>
      </c>
      <c r="I889" s="1">
        <f>IF(AND(aoc_02_input[[#This Row],[Int1]]&lt;=aoc_02_input[[#This Row],[CountOfChar]],aoc_02_input[[#This Row],[CountOfChar]]&lt;=aoc_02_input[[#This Row],[Int2]]),1,0)</f>
        <v>1</v>
      </c>
      <c r="J889" s="1" t="str">
        <f>MID(aoc_02_input[[#This Row],[Password]],aoc_02_input[[#This Row],[Int1]],1)</f>
        <v>v</v>
      </c>
      <c r="K889" s="1">
        <f>IF(aoc_02_input[[#This Row],[Pos1]]=aoc_02_input[[#This Row],[Char]],1,0)</f>
        <v>1</v>
      </c>
      <c r="L889" s="1" t="str">
        <f>MID(aoc_02_input[[#This Row],[Password]],aoc_02_input[[#This Row],[Int2]],1)</f>
        <v>h</v>
      </c>
      <c r="M889" s="1">
        <f>IF(aoc_02_input[[#This Row],[Pos2]]=aoc_02_input[[#This Row],[Char]],1,0)</f>
        <v>0</v>
      </c>
      <c r="N889" s="1">
        <f>IF(aoc_02_input[[#This Row],[Pos1Valid]]&lt;&gt;aoc_02_input[[#This Row],[Pos2Valid]],1,0)</f>
        <v>1</v>
      </c>
    </row>
    <row r="890" spans="1:14" x14ac:dyDescent="0.45">
      <c r="A890" s="1" t="s">
        <v>394</v>
      </c>
      <c r="B890" s="1" t="s">
        <v>207</v>
      </c>
      <c r="C890" s="1" t="s">
        <v>1256</v>
      </c>
      <c r="D890" s="1">
        <f>FIND("-",aoc_02_input[[#This Row],[InputNumbers]])</f>
        <v>2</v>
      </c>
      <c r="E890" s="1">
        <f>_xlfn.NUMBERVALUE(LEFT(aoc_02_input[[#This Row],[InputNumbers]],aoc_02_input[[#This Row],[PosDash]]-1))</f>
        <v>4</v>
      </c>
      <c r="F890" s="1">
        <f>_xlfn.NUMBERVALUE(MID(aoc_02_input[[#This Row],[InputNumbers]],aoc_02_input[[#This Row],[PosDash]]+1,5))</f>
        <v>7</v>
      </c>
      <c r="G890" s="1" t="str">
        <f>LEFT(aoc_02_input[[#This Row],[InputChar]],1)</f>
        <v>b</v>
      </c>
      <c r="H890" s="1" cm="1">
        <f t="array" ref="H890">CountChar(aoc_02_input[[#This Row],[Password]],aoc_02_input[[#This Row],[Char]])</f>
        <v>4</v>
      </c>
      <c r="I890" s="1">
        <f>IF(AND(aoc_02_input[[#This Row],[Int1]]&lt;=aoc_02_input[[#This Row],[CountOfChar]],aoc_02_input[[#This Row],[CountOfChar]]&lt;=aoc_02_input[[#This Row],[Int2]]),1,0)</f>
        <v>1</v>
      </c>
      <c r="J890" s="1" t="str">
        <f>MID(aoc_02_input[[#This Row],[Password]],aoc_02_input[[#This Row],[Int1]],1)</f>
        <v>p</v>
      </c>
      <c r="K890" s="1">
        <f>IF(aoc_02_input[[#This Row],[Pos1]]=aoc_02_input[[#This Row],[Char]],1,0)</f>
        <v>0</v>
      </c>
      <c r="L890" s="1" t="str">
        <f>MID(aoc_02_input[[#This Row],[Password]],aoc_02_input[[#This Row],[Int2]],1)</f>
        <v>b</v>
      </c>
      <c r="M890" s="1">
        <f>IF(aoc_02_input[[#This Row],[Pos2]]=aoc_02_input[[#This Row],[Char]],1,0)</f>
        <v>1</v>
      </c>
      <c r="N890" s="1">
        <f>IF(aoc_02_input[[#This Row],[Pos1Valid]]&lt;&gt;aoc_02_input[[#This Row],[Pos2Valid]],1,0)</f>
        <v>1</v>
      </c>
    </row>
    <row r="891" spans="1:14" x14ac:dyDescent="0.45">
      <c r="A891" s="1" t="s">
        <v>273</v>
      </c>
      <c r="B891" s="1" t="s">
        <v>207</v>
      </c>
      <c r="C891" s="1" t="s">
        <v>1257</v>
      </c>
      <c r="D891" s="1">
        <f>FIND("-",aoc_02_input[[#This Row],[InputNumbers]])</f>
        <v>2</v>
      </c>
      <c r="E891" s="1">
        <f>_xlfn.NUMBERVALUE(LEFT(aoc_02_input[[#This Row],[InputNumbers]],aoc_02_input[[#This Row],[PosDash]]-1))</f>
        <v>6</v>
      </c>
      <c r="F891" s="1">
        <f>_xlfn.NUMBERVALUE(MID(aoc_02_input[[#This Row],[InputNumbers]],aoc_02_input[[#This Row],[PosDash]]+1,5))</f>
        <v>11</v>
      </c>
      <c r="G891" s="1" t="str">
        <f>LEFT(aoc_02_input[[#This Row],[InputChar]],1)</f>
        <v>b</v>
      </c>
      <c r="H891" s="1" cm="1">
        <f t="array" ref="H891">CountChar(aoc_02_input[[#This Row],[Password]],aoc_02_input[[#This Row],[Char]])</f>
        <v>6</v>
      </c>
      <c r="I891" s="1">
        <f>IF(AND(aoc_02_input[[#This Row],[Int1]]&lt;=aoc_02_input[[#This Row],[CountOfChar]],aoc_02_input[[#This Row],[CountOfChar]]&lt;=aoc_02_input[[#This Row],[Int2]]),1,0)</f>
        <v>1</v>
      </c>
      <c r="J891" s="1" t="str">
        <f>MID(aoc_02_input[[#This Row],[Password]],aoc_02_input[[#This Row],[Int1]],1)</f>
        <v>p</v>
      </c>
      <c r="K891" s="1">
        <f>IF(aoc_02_input[[#This Row],[Pos1]]=aoc_02_input[[#This Row],[Char]],1,0)</f>
        <v>0</v>
      </c>
      <c r="L891" s="1" t="str">
        <f>MID(aoc_02_input[[#This Row],[Password]],aoc_02_input[[#This Row],[Int2]],1)</f>
        <v>b</v>
      </c>
      <c r="M891" s="1">
        <f>IF(aoc_02_input[[#This Row],[Pos2]]=aoc_02_input[[#This Row],[Char]],1,0)</f>
        <v>1</v>
      </c>
      <c r="N891" s="1">
        <f>IF(aoc_02_input[[#This Row],[Pos1Valid]]&lt;&gt;aoc_02_input[[#This Row],[Pos2Valid]],1,0)</f>
        <v>1</v>
      </c>
    </row>
    <row r="892" spans="1:14" x14ac:dyDescent="0.45">
      <c r="A892" s="1" t="s">
        <v>357</v>
      </c>
      <c r="B892" s="1" t="s">
        <v>246</v>
      </c>
      <c r="C892" s="1" t="s">
        <v>1258</v>
      </c>
      <c r="D892" s="1">
        <f>FIND("-",aoc_02_input[[#This Row],[InputNumbers]])</f>
        <v>3</v>
      </c>
      <c r="E892" s="1">
        <f>_xlfn.NUMBERVALUE(LEFT(aoc_02_input[[#This Row],[InputNumbers]],aoc_02_input[[#This Row],[PosDash]]-1))</f>
        <v>13</v>
      </c>
      <c r="F892" s="1">
        <f>_xlfn.NUMBERVALUE(MID(aoc_02_input[[#This Row],[InputNumbers]],aoc_02_input[[#This Row],[PosDash]]+1,5))</f>
        <v>15</v>
      </c>
      <c r="G892" s="1" t="str">
        <f>LEFT(aoc_02_input[[#This Row],[InputChar]],1)</f>
        <v>n</v>
      </c>
      <c r="H892" s="1" cm="1">
        <f t="array" ref="H892">CountChar(aoc_02_input[[#This Row],[Password]],aoc_02_input[[#This Row],[Char]])</f>
        <v>13</v>
      </c>
      <c r="I892" s="1">
        <f>IF(AND(aoc_02_input[[#This Row],[Int1]]&lt;=aoc_02_input[[#This Row],[CountOfChar]],aoc_02_input[[#This Row],[CountOfChar]]&lt;=aoc_02_input[[#This Row],[Int2]]),1,0)</f>
        <v>1</v>
      </c>
      <c r="J892" s="1" t="str">
        <f>MID(aoc_02_input[[#This Row],[Password]],aoc_02_input[[#This Row],[Int1]],1)</f>
        <v>z</v>
      </c>
      <c r="K892" s="1">
        <f>IF(aoc_02_input[[#This Row],[Pos1]]=aoc_02_input[[#This Row],[Char]],1,0)</f>
        <v>0</v>
      </c>
      <c r="L892" s="1" t="str">
        <f>MID(aoc_02_input[[#This Row],[Password]],aoc_02_input[[#This Row],[Int2]],1)</f>
        <v>n</v>
      </c>
      <c r="M892" s="1">
        <f>IF(aoc_02_input[[#This Row],[Pos2]]=aoc_02_input[[#This Row],[Char]],1,0)</f>
        <v>1</v>
      </c>
      <c r="N892" s="1">
        <f>IF(aoc_02_input[[#This Row],[Pos1Valid]]&lt;&gt;aoc_02_input[[#This Row],[Pos2Valid]],1,0)</f>
        <v>1</v>
      </c>
    </row>
    <row r="893" spans="1:14" x14ac:dyDescent="0.45">
      <c r="A893" s="1" t="s">
        <v>299</v>
      </c>
      <c r="B893" s="1" t="s">
        <v>295</v>
      </c>
      <c r="C893" s="1" t="s">
        <v>1259</v>
      </c>
      <c r="D893" s="1">
        <f>FIND("-",aoc_02_input[[#This Row],[InputNumbers]])</f>
        <v>2</v>
      </c>
      <c r="E893" s="1">
        <f>_xlfn.NUMBERVALUE(LEFT(aoc_02_input[[#This Row],[InputNumbers]],aoc_02_input[[#This Row],[PosDash]]-1))</f>
        <v>1</v>
      </c>
      <c r="F893" s="1">
        <f>_xlfn.NUMBERVALUE(MID(aoc_02_input[[#This Row],[InputNumbers]],aoc_02_input[[#This Row],[PosDash]]+1,5))</f>
        <v>2</v>
      </c>
      <c r="G893" s="1" t="str">
        <f>LEFT(aoc_02_input[[#This Row],[InputChar]],1)</f>
        <v>c</v>
      </c>
      <c r="H893" s="1" cm="1">
        <f t="array" ref="H893">CountChar(aoc_02_input[[#This Row],[Password]],aoc_02_input[[#This Row],[Char]])</f>
        <v>5</v>
      </c>
      <c r="I893" s="1">
        <f>IF(AND(aoc_02_input[[#This Row],[Int1]]&lt;=aoc_02_input[[#This Row],[CountOfChar]],aoc_02_input[[#This Row],[CountOfChar]]&lt;=aoc_02_input[[#This Row],[Int2]]),1,0)</f>
        <v>0</v>
      </c>
      <c r="J893" s="1" t="str">
        <f>MID(aoc_02_input[[#This Row],[Password]],aoc_02_input[[#This Row],[Int1]],1)</f>
        <v>c</v>
      </c>
      <c r="K893" s="1">
        <f>IF(aoc_02_input[[#This Row],[Pos1]]=aoc_02_input[[#This Row],[Char]],1,0)</f>
        <v>1</v>
      </c>
      <c r="L893" s="1" t="str">
        <f>MID(aoc_02_input[[#This Row],[Password]],aoc_02_input[[#This Row],[Int2]],1)</f>
        <v>t</v>
      </c>
      <c r="M893" s="1">
        <f>IF(aoc_02_input[[#This Row],[Pos2]]=aoc_02_input[[#This Row],[Char]],1,0)</f>
        <v>0</v>
      </c>
      <c r="N893" s="1">
        <f>IF(aoc_02_input[[#This Row],[Pos1Valid]]&lt;&gt;aoc_02_input[[#This Row],[Pos2Valid]],1,0)</f>
        <v>1</v>
      </c>
    </row>
    <row r="894" spans="1:14" x14ac:dyDescent="0.45">
      <c r="A894" s="1" t="s">
        <v>221</v>
      </c>
      <c r="B894" s="1" t="s">
        <v>252</v>
      </c>
      <c r="C894" s="1" t="s">
        <v>1260</v>
      </c>
      <c r="D894" s="1">
        <f>FIND("-",aoc_02_input[[#This Row],[InputNumbers]])</f>
        <v>2</v>
      </c>
      <c r="E894" s="1">
        <f>_xlfn.NUMBERVALUE(LEFT(aoc_02_input[[#This Row],[InputNumbers]],aoc_02_input[[#This Row],[PosDash]]-1))</f>
        <v>2</v>
      </c>
      <c r="F894" s="1">
        <f>_xlfn.NUMBERVALUE(MID(aoc_02_input[[#This Row],[InputNumbers]],aoc_02_input[[#This Row],[PosDash]]+1,5))</f>
        <v>3</v>
      </c>
      <c r="G894" s="1" t="str">
        <f>LEFT(aoc_02_input[[#This Row],[InputChar]],1)</f>
        <v>p</v>
      </c>
      <c r="H894" s="1" cm="1">
        <f t="array" ref="H894">CountChar(aoc_02_input[[#This Row],[Password]],aoc_02_input[[#This Row],[Char]])</f>
        <v>6</v>
      </c>
      <c r="I894" s="1">
        <f>IF(AND(aoc_02_input[[#This Row],[Int1]]&lt;=aoc_02_input[[#This Row],[CountOfChar]],aoc_02_input[[#This Row],[CountOfChar]]&lt;=aoc_02_input[[#This Row],[Int2]]),1,0)</f>
        <v>0</v>
      </c>
      <c r="J894" s="1" t="str">
        <f>MID(aoc_02_input[[#This Row],[Password]],aoc_02_input[[#This Row],[Int1]],1)</f>
        <v>p</v>
      </c>
      <c r="K894" s="1">
        <f>IF(aoc_02_input[[#This Row],[Pos1]]=aoc_02_input[[#This Row],[Char]],1,0)</f>
        <v>1</v>
      </c>
      <c r="L894" s="1" t="str">
        <f>MID(aoc_02_input[[#This Row],[Password]],aoc_02_input[[#This Row],[Int2]],1)</f>
        <v>p</v>
      </c>
      <c r="M894" s="1">
        <f>IF(aoc_02_input[[#This Row],[Pos2]]=aoc_02_input[[#This Row],[Char]],1,0)</f>
        <v>1</v>
      </c>
      <c r="N894" s="1">
        <f>IF(aoc_02_input[[#This Row],[Pos1Valid]]&lt;&gt;aoc_02_input[[#This Row],[Pos2Valid]],1,0)</f>
        <v>0</v>
      </c>
    </row>
    <row r="895" spans="1:14" x14ac:dyDescent="0.45">
      <c r="A895" s="1" t="s">
        <v>221</v>
      </c>
      <c r="B895" s="1" t="s">
        <v>219</v>
      </c>
      <c r="C895" s="1" t="s">
        <v>1261</v>
      </c>
      <c r="D895" s="1">
        <f>FIND("-",aoc_02_input[[#This Row],[InputNumbers]])</f>
        <v>2</v>
      </c>
      <c r="E895" s="1">
        <f>_xlfn.NUMBERVALUE(LEFT(aoc_02_input[[#This Row],[InputNumbers]],aoc_02_input[[#This Row],[PosDash]]-1))</f>
        <v>2</v>
      </c>
      <c r="F895" s="1">
        <f>_xlfn.NUMBERVALUE(MID(aoc_02_input[[#This Row],[InputNumbers]],aoc_02_input[[#This Row],[PosDash]]+1,5))</f>
        <v>3</v>
      </c>
      <c r="G895" s="1" t="str">
        <f>LEFT(aoc_02_input[[#This Row],[InputChar]],1)</f>
        <v>g</v>
      </c>
      <c r="H895" s="1" cm="1">
        <f t="array" ref="H895">CountChar(aoc_02_input[[#This Row],[Password]],aoc_02_input[[#This Row],[Char]])</f>
        <v>3</v>
      </c>
      <c r="I895" s="1">
        <f>IF(AND(aoc_02_input[[#This Row],[Int1]]&lt;=aoc_02_input[[#This Row],[CountOfChar]],aoc_02_input[[#This Row],[CountOfChar]]&lt;=aoc_02_input[[#This Row],[Int2]]),1,0)</f>
        <v>1</v>
      </c>
      <c r="J895" s="1" t="str">
        <f>MID(aoc_02_input[[#This Row],[Password]],aoc_02_input[[#This Row],[Int1]],1)</f>
        <v>g</v>
      </c>
      <c r="K895" s="1">
        <f>IF(aoc_02_input[[#This Row],[Pos1]]=aoc_02_input[[#This Row],[Char]],1,0)</f>
        <v>1</v>
      </c>
      <c r="L895" s="1" t="str">
        <f>MID(aoc_02_input[[#This Row],[Password]],aoc_02_input[[#This Row],[Int2]],1)</f>
        <v>g</v>
      </c>
      <c r="M895" s="1">
        <f>IF(aoc_02_input[[#This Row],[Pos2]]=aoc_02_input[[#This Row],[Char]],1,0)</f>
        <v>1</v>
      </c>
      <c r="N895" s="1">
        <f>IF(aoc_02_input[[#This Row],[Pos1Valid]]&lt;&gt;aoc_02_input[[#This Row],[Pos2Valid]],1,0)</f>
        <v>0</v>
      </c>
    </row>
    <row r="896" spans="1:14" x14ac:dyDescent="0.45">
      <c r="A896" s="1" t="s">
        <v>227</v>
      </c>
      <c r="B896" s="1" t="s">
        <v>252</v>
      </c>
      <c r="C896" s="1" t="s">
        <v>1262</v>
      </c>
      <c r="D896" s="1">
        <f>FIND("-",aoc_02_input[[#This Row],[InputNumbers]])</f>
        <v>2</v>
      </c>
      <c r="E896" s="1">
        <f>_xlfn.NUMBERVALUE(LEFT(aoc_02_input[[#This Row],[InputNumbers]],aoc_02_input[[#This Row],[PosDash]]-1))</f>
        <v>4</v>
      </c>
      <c r="F896" s="1">
        <f>_xlfn.NUMBERVALUE(MID(aoc_02_input[[#This Row],[InputNumbers]],aoc_02_input[[#This Row],[PosDash]]+1,5))</f>
        <v>5</v>
      </c>
      <c r="G896" s="1" t="str">
        <f>LEFT(aoc_02_input[[#This Row],[InputChar]],1)</f>
        <v>p</v>
      </c>
      <c r="H896" s="1" cm="1">
        <f t="array" ref="H896">CountChar(aoc_02_input[[#This Row],[Password]],aoc_02_input[[#This Row],[Char]])</f>
        <v>3</v>
      </c>
      <c r="I896" s="1">
        <f>IF(AND(aoc_02_input[[#This Row],[Int1]]&lt;=aoc_02_input[[#This Row],[CountOfChar]],aoc_02_input[[#This Row],[CountOfChar]]&lt;=aoc_02_input[[#This Row],[Int2]]),1,0)</f>
        <v>0</v>
      </c>
      <c r="J896" s="1" t="str">
        <f>MID(aoc_02_input[[#This Row],[Password]],aoc_02_input[[#This Row],[Int1]],1)</f>
        <v>p</v>
      </c>
      <c r="K896" s="1">
        <f>IF(aoc_02_input[[#This Row],[Pos1]]=aoc_02_input[[#This Row],[Char]],1,0)</f>
        <v>1</v>
      </c>
      <c r="L896" s="1" t="str">
        <f>MID(aoc_02_input[[#This Row],[Password]],aoc_02_input[[#This Row],[Int2]],1)</f>
        <v>x</v>
      </c>
      <c r="M896" s="1">
        <f>IF(aoc_02_input[[#This Row],[Pos2]]=aoc_02_input[[#This Row],[Char]],1,0)</f>
        <v>0</v>
      </c>
      <c r="N896" s="1">
        <f>IF(aoc_02_input[[#This Row],[Pos1Valid]]&lt;&gt;aoc_02_input[[#This Row],[Pos2Valid]],1,0)</f>
        <v>1</v>
      </c>
    </row>
    <row r="897" spans="1:14" x14ac:dyDescent="0.45">
      <c r="A897" s="1" t="s">
        <v>232</v>
      </c>
      <c r="B897" s="1" t="s">
        <v>252</v>
      </c>
      <c r="C897" s="1" t="s">
        <v>1263</v>
      </c>
      <c r="D897" s="1">
        <f>FIND("-",aoc_02_input[[#This Row],[InputNumbers]])</f>
        <v>2</v>
      </c>
      <c r="E897" s="1">
        <f>_xlfn.NUMBERVALUE(LEFT(aoc_02_input[[#This Row],[InputNumbers]],aoc_02_input[[#This Row],[PosDash]]-1))</f>
        <v>4</v>
      </c>
      <c r="F897" s="1">
        <f>_xlfn.NUMBERVALUE(MID(aoc_02_input[[#This Row],[InputNumbers]],aoc_02_input[[#This Row],[PosDash]]+1,5))</f>
        <v>6</v>
      </c>
      <c r="G897" s="1" t="str">
        <f>LEFT(aoc_02_input[[#This Row],[InputChar]],1)</f>
        <v>p</v>
      </c>
      <c r="H897" s="1" cm="1">
        <f t="array" ref="H897">CountChar(aoc_02_input[[#This Row],[Password]],aoc_02_input[[#This Row],[Char]])</f>
        <v>6</v>
      </c>
      <c r="I897" s="1">
        <f>IF(AND(aoc_02_input[[#This Row],[Int1]]&lt;=aoc_02_input[[#This Row],[CountOfChar]],aoc_02_input[[#This Row],[CountOfChar]]&lt;=aoc_02_input[[#This Row],[Int2]]),1,0)</f>
        <v>1</v>
      </c>
      <c r="J897" s="1" t="str">
        <f>MID(aoc_02_input[[#This Row],[Password]],aoc_02_input[[#This Row],[Int1]],1)</f>
        <v>p</v>
      </c>
      <c r="K897" s="1">
        <f>IF(aoc_02_input[[#This Row],[Pos1]]=aoc_02_input[[#This Row],[Char]],1,0)</f>
        <v>1</v>
      </c>
      <c r="L897" s="1" t="str">
        <f>MID(aoc_02_input[[#This Row],[Password]],aoc_02_input[[#This Row],[Int2]],1)</f>
        <v>t</v>
      </c>
      <c r="M897" s="1">
        <f>IF(aoc_02_input[[#This Row],[Pos2]]=aoc_02_input[[#This Row],[Char]],1,0)</f>
        <v>0</v>
      </c>
      <c r="N897" s="1">
        <f>IF(aoc_02_input[[#This Row],[Pos1Valid]]&lt;&gt;aoc_02_input[[#This Row],[Pos2Valid]],1,0)</f>
        <v>1</v>
      </c>
    </row>
    <row r="898" spans="1:14" x14ac:dyDescent="0.45">
      <c r="A898" s="1" t="s">
        <v>361</v>
      </c>
      <c r="B898" s="1" t="s">
        <v>305</v>
      </c>
      <c r="C898" s="1" t="s">
        <v>1264</v>
      </c>
      <c r="D898" s="1">
        <f>FIND("-",aoc_02_input[[#This Row],[InputNumbers]])</f>
        <v>2</v>
      </c>
      <c r="E898" s="1">
        <f>_xlfn.NUMBERVALUE(LEFT(aoc_02_input[[#This Row],[InputNumbers]],aoc_02_input[[#This Row],[PosDash]]-1))</f>
        <v>2</v>
      </c>
      <c r="F898" s="1">
        <f>_xlfn.NUMBERVALUE(MID(aoc_02_input[[#This Row],[InputNumbers]],aoc_02_input[[#This Row],[PosDash]]+1,5))</f>
        <v>7</v>
      </c>
      <c r="G898" s="1" t="str">
        <f>LEFT(aoc_02_input[[#This Row],[InputChar]],1)</f>
        <v>s</v>
      </c>
      <c r="H898" s="1" cm="1">
        <f t="array" ref="H898">CountChar(aoc_02_input[[#This Row],[Password]],aoc_02_input[[#This Row],[Char]])</f>
        <v>6</v>
      </c>
      <c r="I898" s="1">
        <f>IF(AND(aoc_02_input[[#This Row],[Int1]]&lt;=aoc_02_input[[#This Row],[CountOfChar]],aoc_02_input[[#This Row],[CountOfChar]]&lt;=aoc_02_input[[#This Row],[Int2]]),1,0)</f>
        <v>1</v>
      </c>
      <c r="J898" s="1" t="str">
        <f>MID(aoc_02_input[[#This Row],[Password]],aoc_02_input[[#This Row],[Int1]],1)</f>
        <v>t</v>
      </c>
      <c r="K898" s="1">
        <f>IF(aoc_02_input[[#This Row],[Pos1]]=aoc_02_input[[#This Row],[Char]],1,0)</f>
        <v>0</v>
      </c>
      <c r="L898" s="1" t="str">
        <f>MID(aoc_02_input[[#This Row],[Password]],aoc_02_input[[#This Row],[Int2]],1)</f>
        <v>p</v>
      </c>
      <c r="M898" s="1">
        <f>IF(aoc_02_input[[#This Row],[Pos2]]=aoc_02_input[[#This Row],[Char]],1,0)</f>
        <v>0</v>
      </c>
      <c r="N898" s="1">
        <f>IF(aoc_02_input[[#This Row],[Pos1Valid]]&lt;&gt;aoc_02_input[[#This Row],[Pos2Valid]],1,0)</f>
        <v>0</v>
      </c>
    </row>
    <row r="899" spans="1:14" x14ac:dyDescent="0.45">
      <c r="A899" s="1" t="s">
        <v>365</v>
      </c>
      <c r="B899" s="1" t="s">
        <v>278</v>
      </c>
      <c r="C899" s="1" t="s">
        <v>1265</v>
      </c>
      <c r="D899" s="1">
        <f>FIND("-",aoc_02_input[[#This Row],[InputNumbers]])</f>
        <v>2</v>
      </c>
      <c r="E899" s="1">
        <f>_xlfn.NUMBERVALUE(LEFT(aoc_02_input[[#This Row],[InputNumbers]],aoc_02_input[[#This Row],[PosDash]]-1))</f>
        <v>6</v>
      </c>
      <c r="F899" s="1">
        <f>_xlfn.NUMBERVALUE(MID(aoc_02_input[[#This Row],[InputNumbers]],aoc_02_input[[#This Row],[PosDash]]+1,5))</f>
        <v>9</v>
      </c>
      <c r="G899" s="1" t="str">
        <f>LEFT(aoc_02_input[[#This Row],[InputChar]],1)</f>
        <v>x</v>
      </c>
      <c r="H899" s="1" cm="1">
        <f t="array" ref="H899">CountChar(aoc_02_input[[#This Row],[Password]],aoc_02_input[[#This Row],[Char]])</f>
        <v>7</v>
      </c>
      <c r="I899" s="1">
        <f>IF(AND(aoc_02_input[[#This Row],[Int1]]&lt;=aoc_02_input[[#This Row],[CountOfChar]],aoc_02_input[[#This Row],[CountOfChar]]&lt;=aoc_02_input[[#This Row],[Int2]]),1,0)</f>
        <v>1</v>
      </c>
      <c r="J899" s="1" t="str">
        <f>MID(aoc_02_input[[#This Row],[Password]],aoc_02_input[[#This Row],[Int1]],1)</f>
        <v>x</v>
      </c>
      <c r="K899" s="1">
        <f>IF(aoc_02_input[[#This Row],[Pos1]]=aoc_02_input[[#This Row],[Char]],1,0)</f>
        <v>1</v>
      </c>
      <c r="L899" s="1" t="str">
        <f>MID(aoc_02_input[[#This Row],[Password]],aoc_02_input[[#This Row],[Int2]],1)</f>
        <v>x</v>
      </c>
      <c r="M899" s="1">
        <f>IF(aoc_02_input[[#This Row],[Pos2]]=aoc_02_input[[#This Row],[Char]],1,0)</f>
        <v>1</v>
      </c>
      <c r="N899" s="1">
        <f>IF(aoc_02_input[[#This Row],[Pos1Valid]]&lt;&gt;aoc_02_input[[#This Row],[Pos2Valid]],1,0)</f>
        <v>0</v>
      </c>
    </row>
    <row r="900" spans="1:14" x14ac:dyDescent="0.45">
      <c r="A900" s="1" t="s">
        <v>534</v>
      </c>
      <c r="B900" s="1" t="s">
        <v>222</v>
      </c>
      <c r="C900" s="1" t="s">
        <v>1266</v>
      </c>
      <c r="D900" s="1">
        <f>FIND("-",aoc_02_input[[#This Row],[InputNumbers]])</f>
        <v>3</v>
      </c>
      <c r="E900" s="1">
        <f>_xlfn.NUMBERVALUE(LEFT(aoc_02_input[[#This Row],[InputNumbers]],aoc_02_input[[#This Row],[PosDash]]-1))</f>
        <v>10</v>
      </c>
      <c r="F900" s="1">
        <f>_xlfn.NUMBERVALUE(MID(aoc_02_input[[#This Row],[InputNumbers]],aoc_02_input[[#This Row],[PosDash]]+1,5))</f>
        <v>14</v>
      </c>
      <c r="G900" s="1" t="str">
        <f>LEFT(aoc_02_input[[#This Row],[InputChar]],1)</f>
        <v>l</v>
      </c>
      <c r="H900" s="1" cm="1">
        <f t="array" ref="H900">CountChar(aoc_02_input[[#This Row],[Password]],aoc_02_input[[#This Row],[Char]])</f>
        <v>10</v>
      </c>
      <c r="I900" s="1">
        <f>IF(AND(aoc_02_input[[#This Row],[Int1]]&lt;=aoc_02_input[[#This Row],[CountOfChar]],aoc_02_input[[#This Row],[CountOfChar]]&lt;=aoc_02_input[[#This Row],[Int2]]),1,0)</f>
        <v>1</v>
      </c>
      <c r="J900" s="1" t="str">
        <f>MID(aoc_02_input[[#This Row],[Password]],aoc_02_input[[#This Row],[Int1]],1)</f>
        <v>r</v>
      </c>
      <c r="K900" s="1">
        <f>IF(aoc_02_input[[#This Row],[Pos1]]=aoc_02_input[[#This Row],[Char]],1,0)</f>
        <v>0</v>
      </c>
      <c r="L900" s="1" t="str">
        <f>MID(aoc_02_input[[#This Row],[Password]],aoc_02_input[[#This Row],[Int2]],1)</f>
        <v>l</v>
      </c>
      <c r="M900" s="1">
        <f>IF(aoc_02_input[[#This Row],[Pos2]]=aoc_02_input[[#This Row],[Char]],1,0)</f>
        <v>1</v>
      </c>
      <c r="N900" s="1">
        <f>IF(aoc_02_input[[#This Row],[Pos1Valid]]&lt;&gt;aoc_02_input[[#This Row],[Pos2Valid]],1,0)</f>
        <v>1</v>
      </c>
    </row>
    <row r="901" spans="1:14" x14ac:dyDescent="0.45">
      <c r="A901" s="1" t="s">
        <v>333</v>
      </c>
      <c r="B901" s="1" t="s">
        <v>213</v>
      </c>
      <c r="C901" s="1" t="s">
        <v>1267</v>
      </c>
      <c r="D901" s="1">
        <f>FIND("-",aoc_02_input[[#This Row],[InputNumbers]])</f>
        <v>2</v>
      </c>
      <c r="E901" s="1">
        <f>_xlfn.NUMBERVALUE(LEFT(aoc_02_input[[#This Row],[InputNumbers]],aoc_02_input[[#This Row],[PosDash]]-1))</f>
        <v>1</v>
      </c>
      <c r="F901" s="1">
        <f>_xlfn.NUMBERVALUE(MID(aoc_02_input[[#This Row],[InputNumbers]],aoc_02_input[[#This Row],[PosDash]]+1,5))</f>
        <v>8</v>
      </c>
      <c r="G901" s="1" t="str">
        <f>LEFT(aoc_02_input[[#This Row],[InputChar]],1)</f>
        <v>m</v>
      </c>
      <c r="H901" s="1" cm="1">
        <f t="array" ref="H901">CountChar(aoc_02_input[[#This Row],[Password]],aoc_02_input[[#This Row],[Char]])</f>
        <v>4</v>
      </c>
      <c r="I901" s="1">
        <f>IF(AND(aoc_02_input[[#This Row],[Int1]]&lt;=aoc_02_input[[#This Row],[CountOfChar]],aoc_02_input[[#This Row],[CountOfChar]]&lt;=aoc_02_input[[#This Row],[Int2]]),1,0)</f>
        <v>1</v>
      </c>
      <c r="J901" s="1" t="str">
        <f>MID(aoc_02_input[[#This Row],[Password]],aoc_02_input[[#This Row],[Int1]],1)</f>
        <v>p</v>
      </c>
      <c r="K901" s="1">
        <f>IF(aoc_02_input[[#This Row],[Pos1]]=aoc_02_input[[#This Row],[Char]],1,0)</f>
        <v>0</v>
      </c>
      <c r="L901" s="1" t="str">
        <f>MID(aoc_02_input[[#This Row],[Password]],aoc_02_input[[#This Row],[Int2]],1)</f>
        <v>m</v>
      </c>
      <c r="M901" s="1">
        <f>IF(aoc_02_input[[#This Row],[Pos2]]=aoc_02_input[[#This Row],[Char]],1,0)</f>
        <v>1</v>
      </c>
      <c r="N901" s="1">
        <f>IF(aoc_02_input[[#This Row],[Pos1Valid]]&lt;&gt;aoc_02_input[[#This Row],[Pos2Valid]],1,0)</f>
        <v>1</v>
      </c>
    </row>
    <row r="902" spans="1:14" x14ac:dyDescent="0.45">
      <c r="A902" s="1" t="s">
        <v>640</v>
      </c>
      <c r="B902" s="1" t="s">
        <v>305</v>
      </c>
      <c r="C902" s="1" t="s">
        <v>1268</v>
      </c>
      <c r="D902" s="1">
        <f>FIND("-",aoc_02_input[[#This Row],[InputNumbers]])</f>
        <v>3</v>
      </c>
      <c r="E902" s="1">
        <f>_xlfn.NUMBERVALUE(LEFT(aoc_02_input[[#This Row],[InputNumbers]],aoc_02_input[[#This Row],[PosDash]]-1))</f>
        <v>12</v>
      </c>
      <c r="F902" s="1">
        <f>_xlfn.NUMBERVALUE(MID(aoc_02_input[[#This Row],[InputNumbers]],aoc_02_input[[#This Row],[PosDash]]+1,5))</f>
        <v>15</v>
      </c>
      <c r="G902" s="1" t="str">
        <f>LEFT(aoc_02_input[[#This Row],[InputChar]],1)</f>
        <v>s</v>
      </c>
      <c r="H902" s="1" cm="1">
        <f t="array" ref="H902">CountChar(aoc_02_input[[#This Row],[Password]],aoc_02_input[[#This Row],[Char]])</f>
        <v>14</v>
      </c>
      <c r="I902" s="1">
        <f>IF(AND(aoc_02_input[[#This Row],[Int1]]&lt;=aoc_02_input[[#This Row],[CountOfChar]],aoc_02_input[[#This Row],[CountOfChar]]&lt;=aoc_02_input[[#This Row],[Int2]]),1,0)</f>
        <v>1</v>
      </c>
      <c r="J902" s="1" t="str">
        <f>MID(aoc_02_input[[#This Row],[Password]],aoc_02_input[[#This Row],[Int1]],1)</f>
        <v>s</v>
      </c>
      <c r="K902" s="1">
        <f>IF(aoc_02_input[[#This Row],[Pos1]]=aoc_02_input[[#This Row],[Char]],1,0)</f>
        <v>1</v>
      </c>
      <c r="L902" s="1" t="str">
        <f>MID(aoc_02_input[[#This Row],[Password]],aoc_02_input[[#This Row],[Int2]],1)</f>
        <v>s</v>
      </c>
      <c r="M902" s="1">
        <f>IF(aoc_02_input[[#This Row],[Pos2]]=aoc_02_input[[#This Row],[Char]],1,0)</f>
        <v>1</v>
      </c>
      <c r="N902" s="1">
        <f>IF(aoc_02_input[[#This Row],[Pos1Valid]]&lt;&gt;aoc_02_input[[#This Row],[Pos2Valid]],1,0)</f>
        <v>0</v>
      </c>
    </row>
    <row r="903" spans="1:14" x14ac:dyDescent="0.45">
      <c r="A903" s="1" t="s">
        <v>326</v>
      </c>
      <c r="B903" s="1" t="s">
        <v>254</v>
      </c>
      <c r="C903" s="1" t="s">
        <v>1269</v>
      </c>
      <c r="D903" s="1">
        <f>FIND("-",aoc_02_input[[#This Row],[InputNumbers]])</f>
        <v>3</v>
      </c>
      <c r="E903" s="1">
        <f>_xlfn.NUMBERVALUE(LEFT(aoc_02_input[[#This Row],[InputNumbers]],aoc_02_input[[#This Row],[PosDash]]-1))</f>
        <v>10</v>
      </c>
      <c r="F903" s="1">
        <f>_xlfn.NUMBERVALUE(MID(aoc_02_input[[#This Row],[InputNumbers]],aoc_02_input[[#This Row],[PosDash]]+1,5))</f>
        <v>12</v>
      </c>
      <c r="G903" s="1" t="str">
        <f>LEFT(aoc_02_input[[#This Row],[InputChar]],1)</f>
        <v>k</v>
      </c>
      <c r="H903" s="1" cm="1">
        <f t="array" ref="H903">CountChar(aoc_02_input[[#This Row],[Password]],aoc_02_input[[#This Row],[Char]])</f>
        <v>11</v>
      </c>
      <c r="I903" s="1">
        <f>IF(AND(aoc_02_input[[#This Row],[Int1]]&lt;=aoc_02_input[[#This Row],[CountOfChar]],aoc_02_input[[#This Row],[CountOfChar]]&lt;=aoc_02_input[[#This Row],[Int2]]),1,0)</f>
        <v>1</v>
      </c>
      <c r="J903" s="1" t="str">
        <f>MID(aoc_02_input[[#This Row],[Password]],aoc_02_input[[#This Row],[Int1]],1)</f>
        <v>k</v>
      </c>
      <c r="K903" s="1">
        <f>IF(aoc_02_input[[#This Row],[Pos1]]=aoc_02_input[[#This Row],[Char]],1,0)</f>
        <v>1</v>
      </c>
      <c r="L903" s="1" t="str">
        <f>MID(aoc_02_input[[#This Row],[Password]],aoc_02_input[[#This Row],[Int2]],1)</f>
        <v>q</v>
      </c>
      <c r="M903" s="1">
        <f>IF(aoc_02_input[[#This Row],[Pos2]]=aoc_02_input[[#This Row],[Char]],1,0)</f>
        <v>0</v>
      </c>
      <c r="N903" s="1">
        <f>IF(aoc_02_input[[#This Row],[Pos1Valid]]&lt;&gt;aoc_02_input[[#This Row],[Pos2Valid]],1,0)</f>
        <v>1</v>
      </c>
    </row>
    <row r="904" spans="1:14" x14ac:dyDescent="0.45">
      <c r="A904" s="1" t="s">
        <v>290</v>
      </c>
      <c r="B904" s="1" t="s">
        <v>235</v>
      </c>
      <c r="C904" s="1" t="s">
        <v>1270</v>
      </c>
      <c r="D904" s="1">
        <f>FIND("-",aoc_02_input[[#This Row],[InputNumbers]])</f>
        <v>2</v>
      </c>
      <c r="E904" s="1">
        <f>_xlfn.NUMBERVALUE(LEFT(aoc_02_input[[#This Row],[InputNumbers]],aoc_02_input[[#This Row],[PosDash]]-1))</f>
        <v>8</v>
      </c>
      <c r="F904" s="1">
        <f>_xlfn.NUMBERVALUE(MID(aoc_02_input[[#This Row],[InputNumbers]],aoc_02_input[[#This Row],[PosDash]]+1,5))</f>
        <v>10</v>
      </c>
      <c r="G904" s="1" t="str">
        <f>LEFT(aoc_02_input[[#This Row],[InputChar]],1)</f>
        <v>d</v>
      </c>
      <c r="H904" s="1" cm="1">
        <f t="array" ref="H904">CountChar(aoc_02_input[[#This Row],[Password]],aoc_02_input[[#This Row],[Char]])</f>
        <v>8</v>
      </c>
      <c r="I904" s="1">
        <f>IF(AND(aoc_02_input[[#This Row],[Int1]]&lt;=aoc_02_input[[#This Row],[CountOfChar]],aoc_02_input[[#This Row],[CountOfChar]]&lt;=aoc_02_input[[#This Row],[Int2]]),1,0)</f>
        <v>1</v>
      </c>
      <c r="J904" s="1" t="str">
        <f>MID(aoc_02_input[[#This Row],[Password]],aoc_02_input[[#This Row],[Int1]],1)</f>
        <v>d</v>
      </c>
      <c r="K904" s="1">
        <f>IF(aoc_02_input[[#This Row],[Pos1]]=aoc_02_input[[#This Row],[Char]],1,0)</f>
        <v>1</v>
      </c>
      <c r="L904" s="1" t="str">
        <f>MID(aoc_02_input[[#This Row],[Password]],aoc_02_input[[#This Row],[Int2]],1)</f>
        <v>j</v>
      </c>
      <c r="M904" s="1">
        <f>IF(aoc_02_input[[#This Row],[Pos2]]=aoc_02_input[[#This Row],[Char]],1,0)</f>
        <v>0</v>
      </c>
      <c r="N904" s="1">
        <f>IF(aoc_02_input[[#This Row],[Pos1Valid]]&lt;&gt;aoc_02_input[[#This Row],[Pos2Valid]],1,0)</f>
        <v>1</v>
      </c>
    </row>
    <row r="905" spans="1:14" x14ac:dyDescent="0.45">
      <c r="A905" s="1" t="s">
        <v>221</v>
      </c>
      <c r="B905" s="1" t="s">
        <v>235</v>
      </c>
      <c r="C905" s="1" t="s">
        <v>1271</v>
      </c>
      <c r="D905" s="1">
        <f>FIND("-",aoc_02_input[[#This Row],[InputNumbers]])</f>
        <v>2</v>
      </c>
      <c r="E905" s="1">
        <f>_xlfn.NUMBERVALUE(LEFT(aoc_02_input[[#This Row],[InputNumbers]],aoc_02_input[[#This Row],[PosDash]]-1))</f>
        <v>2</v>
      </c>
      <c r="F905" s="1">
        <f>_xlfn.NUMBERVALUE(MID(aoc_02_input[[#This Row],[InputNumbers]],aoc_02_input[[#This Row],[PosDash]]+1,5))</f>
        <v>3</v>
      </c>
      <c r="G905" s="1" t="str">
        <f>LEFT(aoc_02_input[[#This Row],[InputChar]],1)</f>
        <v>d</v>
      </c>
      <c r="H905" s="1" cm="1">
        <f t="array" ref="H905">CountChar(aoc_02_input[[#This Row],[Password]],aoc_02_input[[#This Row],[Char]])</f>
        <v>2</v>
      </c>
      <c r="I905" s="1">
        <f>IF(AND(aoc_02_input[[#This Row],[Int1]]&lt;=aoc_02_input[[#This Row],[CountOfChar]],aoc_02_input[[#This Row],[CountOfChar]]&lt;=aoc_02_input[[#This Row],[Int2]]),1,0)</f>
        <v>1</v>
      </c>
      <c r="J905" s="1" t="str">
        <f>MID(aoc_02_input[[#This Row],[Password]],aoc_02_input[[#This Row],[Int1]],1)</f>
        <v>g</v>
      </c>
      <c r="K905" s="1">
        <f>IF(aoc_02_input[[#This Row],[Pos1]]=aoc_02_input[[#This Row],[Char]],1,0)</f>
        <v>0</v>
      </c>
      <c r="L905" s="1" t="str">
        <f>MID(aoc_02_input[[#This Row],[Password]],aoc_02_input[[#This Row],[Int2]],1)</f>
        <v>m</v>
      </c>
      <c r="M905" s="1">
        <f>IF(aoc_02_input[[#This Row],[Pos2]]=aoc_02_input[[#This Row],[Char]],1,0)</f>
        <v>0</v>
      </c>
      <c r="N905" s="1">
        <f>IF(aoc_02_input[[#This Row],[Pos1Valid]]&lt;&gt;aoc_02_input[[#This Row],[Pos2Valid]],1,0)</f>
        <v>0</v>
      </c>
    </row>
    <row r="906" spans="1:14" x14ac:dyDescent="0.45">
      <c r="A906" s="1" t="s">
        <v>1272</v>
      </c>
      <c r="B906" s="1" t="s">
        <v>254</v>
      </c>
      <c r="C906" s="1" t="s">
        <v>1273</v>
      </c>
      <c r="D906" s="1">
        <f>FIND("-",aoc_02_input[[#This Row],[InputNumbers]])</f>
        <v>2</v>
      </c>
      <c r="E906" s="1">
        <f>_xlfn.NUMBERVALUE(LEFT(aoc_02_input[[#This Row],[InputNumbers]],aoc_02_input[[#This Row],[PosDash]]-1))</f>
        <v>1</v>
      </c>
      <c r="F906" s="1">
        <f>_xlfn.NUMBERVALUE(MID(aoc_02_input[[#This Row],[InputNumbers]],aoc_02_input[[#This Row],[PosDash]]+1,5))</f>
        <v>18</v>
      </c>
      <c r="G906" s="1" t="str">
        <f>LEFT(aoc_02_input[[#This Row],[InputChar]],1)</f>
        <v>k</v>
      </c>
      <c r="H906" s="1" cm="1">
        <f t="array" ref="H906">CountChar(aoc_02_input[[#This Row],[Password]],aoc_02_input[[#This Row],[Char]])</f>
        <v>12</v>
      </c>
      <c r="I906" s="1">
        <f>IF(AND(aoc_02_input[[#This Row],[Int1]]&lt;=aoc_02_input[[#This Row],[CountOfChar]],aoc_02_input[[#This Row],[CountOfChar]]&lt;=aoc_02_input[[#This Row],[Int2]]),1,0)</f>
        <v>1</v>
      </c>
      <c r="J906" s="1" t="str">
        <f>MID(aoc_02_input[[#This Row],[Password]],aoc_02_input[[#This Row],[Int1]],1)</f>
        <v>k</v>
      </c>
      <c r="K906" s="1">
        <f>IF(aoc_02_input[[#This Row],[Pos1]]=aoc_02_input[[#This Row],[Char]],1,0)</f>
        <v>1</v>
      </c>
      <c r="L906" s="1" t="str">
        <f>MID(aoc_02_input[[#This Row],[Password]],aoc_02_input[[#This Row],[Int2]],1)</f>
        <v>d</v>
      </c>
      <c r="M906" s="1">
        <f>IF(aoc_02_input[[#This Row],[Pos2]]=aoc_02_input[[#This Row],[Char]],1,0)</f>
        <v>0</v>
      </c>
      <c r="N906" s="1">
        <f>IF(aoc_02_input[[#This Row],[Pos1Valid]]&lt;&gt;aoc_02_input[[#This Row],[Pos2Valid]],1,0)</f>
        <v>1</v>
      </c>
    </row>
    <row r="907" spans="1:14" x14ac:dyDescent="0.45">
      <c r="A907" s="1" t="s">
        <v>380</v>
      </c>
      <c r="B907" s="1" t="s">
        <v>235</v>
      </c>
      <c r="C907" s="1" t="s">
        <v>1274</v>
      </c>
      <c r="D907" s="1">
        <f>FIND("-",aoc_02_input[[#This Row],[InputNumbers]])</f>
        <v>2</v>
      </c>
      <c r="E907" s="1">
        <f>_xlfn.NUMBERVALUE(LEFT(aoc_02_input[[#This Row],[InputNumbers]],aoc_02_input[[#This Row],[PosDash]]-1))</f>
        <v>3</v>
      </c>
      <c r="F907" s="1">
        <f>_xlfn.NUMBERVALUE(MID(aoc_02_input[[#This Row],[InputNumbers]],aoc_02_input[[#This Row],[PosDash]]+1,5))</f>
        <v>7</v>
      </c>
      <c r="G907" s="1" t="str">
        <f>LEFT(aoc_02_input[[#This Row],[InputChar]],1)</f>
        <v>d</v>
      </c>
      <c r="H907" s="1" cm="1">
        <f t="array" ref="H907">CountChar(aoc_02_input[[#This Row],[Password]],aoc_02_input[[#This Row],[Char]])</f>
        <v>3</v>
      </c>
      <c r="I907" s="1">
        <f>IF(AND(aoc_02_input[[#This Row],[Int1]]&lt;=aoc_02_input[[#This Row],[CountOfChar]],aoc_02_input[[#This Row],[CountOfChar]]&lt;=aoc_02_input[[#This Row],[Int2]]),1,0)</f>
        <v>1</v>
      </c>
      <c r="J907" s="1" t="str">
        <f>MID(aoc_02_input[[#This Row],[Password]],aoc_02_input[[#This Row],[Int1]],1)</f>
        <v>d</v>
      </c>
      <c r="K907" s="1">
        <f>IF(aoc_02_input[[#This Row],[Pos1]]=aoc_02_input[[#This Row],[Char]],1,0)</f>
        <v>1</v>
      </c>
      <c r="L907" s="1" t="str">
        <f>MID(aoc_02_input[[#This Row],[Password]],aoc_02_input[[#This Row],[Int2]],1)</f>
        <v>d</v>
      </c>
      <c r="M907" s="1">
        <f>IF(aoc_02_input[[#This Row],[Pos2]]=aoc_02_input[[#This Row],[Char]],1,0)</f>
        <v>1</v>
      </c>
      <c r="N907" s="1">
        <f>IF(aoc_02_input[[#This Row],[Pos1Valid]]&lt;&gt;aoc_02_input[[#This Row],[Pos2Valid]],1,0)</f>
        <v>0</v>
      </c>
    </row>
    <row r="908" spans="1:14" x14ac:dyDescent="0.45">
      <c r="A908" s="1" t="s">
        <v>392</v>
      </c>
      <c r="B908" s="1" t="s">
        <v>216</v>
      </c>
      <c r="C908" s="1" t="s">
        <v>1275</v>
      </c>
      <c r="D908" s="1">
        <f>FIND("-",aoc_02_input[[#This Row],[InputNumbers]])</f>
        <v>2</v>
      </c>
      <c r="E908" s="1">
        <f>_xlfn.NUMBERVALUE(LEFT(aoc_02_input[[#This Row],[InputNumbers]],aoc_02_input[[#This Row],[PosDash]]-1))</f>
        <v>8</v>
      </c>
      <c r="F908" s="1">
        <f>_xlfn.NUMBERVALUE(MID(aoc_02_input[[#This Row],[InputNumbers]],aoc_02_input[[#This Row],[PosDash]]+1,5))</f>
        <v>9</v>
      </c>
      <c r="G908" s="1" t="str">
        <f>LEFT(aoc_02_input[[#This Row],[InputChar]],1)</f>
        <v>z</v>
      </c>
      <c r="H908" s="1" cm="1">
        <f t="array" ref="H908">CountChar(aoc_02_input[[#This Row],[Password]],aoc_02_input[[#This Row],[Char]])</f>
        <v>3</v>
      </c>
      <c r="I908" s="1">
        <f>IF(AND(aoc_02_input[[#This Row],[Int1]]&lt;=aoc_02_input[[#This Row],[CountOfChar]],aoc_02_input[[#This Row],[CountOfChar]]&lt;=aoc_02_input[[#This Row],[Int2]]),1,0)</f>
        <v>0</v>
      </c>
      <c r="J908" s="1" t="str">
        <f>MID(aoc_02_input[[#This Row],[Password]],aoc_02_input[[#This Row],[Int1]],1)</f>
        <v>z</v>
      </c>
      <c r="K908" s="1">
        <f>IF(aoc_02_input[[#This Row],[Pos1]]=aoc_02_input[[#This Row],[Char]],1,0)</f>
        <v>1</v>
      </c>
      <c r="L908" s="1" t="str">
        <f>MID(aoc_02_input[[#This Row],[Password]],aoc_02_input[[#This Row],[Int2]],1)</f>
        <v>m</v>
      </c>
      <c r="M908" s="1">
        <f>IF(aoc_02_input[[#This Row],[Pos2]]=aoc_02_input[[#This Row],[Char]],1,0)</f>
        <v>0</v>
      </c>
      <c r="N908" s="1">
        <f>IF(aoc_02_input[[#This Row],[Pos1Valid]]&lt;&gt;aoc_02_input[[#This Row],[Pos2Valid]],1,0)</f>
        <v>1</v>
      </c>
    </row>
    <row r="909" spans="1:14" x14ac:dyDescent="0.45">
      <c r="A909" s="1" t="s">
        <v>313</v>
      </c>
      <c r="B909" s="1" t="s">
        <v>265</v>
      </c>
      <c r="C909" s="1" t="s">
        <v>1276</v>
      </c>
      <c r="D909" s="1">
        <f>FIND("-",aoc_02_input[[#This Row],[InputNumbers]])</f>
        <v>2</v>
      </c>
      <c r="E909" s="1">
        <f>_xlfn.NUMBERVALUE(LEFT(aoc_02_input[[#This Row],[InputNumbers]],aoc_02_input[[#This Row],[PosDash]]-1))</f>
        <v>8</v>
      </c>
      <c r="F909" s="1">
        <f>_xlfn.NUMBERVALUE(MID(aoc_02_input[[#This Row],[InputNumbers]],aoc_02_input[[#This Row],[PosDash]]+1,5))</f>
        <v>17</v>
      </c>
      <c r="G909" s="1" t="str">
        <f>LEFT(aoc_02_input[[#This Row],[InputChar]],1)</f>
        <v>r</v>
      </c>
      <c r="H909" s="1" cm="1">
        <f t="array" ref="H909">CountChar(aoc_02_input[[#This Row],[Password]],aoc_02_input[[#This Row],[Char]])</f>
        <v>13</v>
      </c>
      <c r="I909" s="1">
        <f>IF(AND(aoc_02_input[[#This Row],[Int1]]&lt;=aoc_02_input[[#This Row],[CountOfChar]],aoc_02_input[[#This Row],[CountOfChar]]&lt;=aoc_02_input[[#This Row],[Int2]]),1,0)</f>
        <v>1</v>
      </c>
      <c r="J909" s="1" t="str">
        <f>MID(aoc_02_input[[#This Row],[Password]],aoc_02_input[[#This Row],[Int1]],1)</f>
        <v>z</v>
      </c>
      <c r="K909" s="1">
        <f>IF(aoc_02_input[[#This Row],[Pos1]]=aoc_02_input[[#This Row],[Char]],1,0)</f>
        <v>0</v>
      </c>
      <c r="L909" s="1" t="str">
        <f>MID(aoc_02_input[[#This Row],[Password]],aoc_02_input[[#This Row],[Int2]],1)</f>
        <v>r</v>
      </c>
      <c r="M909" s="1">
        <f>IF(aoc_02_input[[#This Row],[Pos2]]=aoc_02_input[[#This Row],[Char]],1,0)</f>
        <v>1</v>
      </c>
      <c r="N909" s="1">
        <f>IF(aoc_02_input[[#This Row],[Pos1Valid]]&lt;&gt;aoc_02_input[[#This Row],[Pos2Valid]],1,0)</f>
        <v>1</v>
      </c>
    </row>
    <row r="910" spans="1:14" x14ac:dyDescent="0.45">
      <c r="A910" s="1" t="s">
        <v>588</v>
      </c>
      <c r="B910" s="1" t="s">
        <v>216</v>
      </c>
      <c r="C910" s="1" t="s">
        <v>1277</v>
      </c>
      <c r="D910" s="1">
        <f>FIND("-",aoc_02_input[[#This Row],[InputNumbers]])</f>
        <v>2</v>
      </c>
      <c r="E910" s="1">
        <f>_xlfn.NUMBERVALUE(LEFT(aoc_02_input[[#This Row],[InputNumbers]],aoc_02_input[[#This Row],[PosDash]]-1))</f>
        <v>7</v>
      </c>
      <c r="F910" s="1">
        <f>_xlfn.NUMBERVALUE(MID(aoc_02_input[[#This Row],[InputNumbers]],aoc_02_input[[#This Row],[PosDash]]+1,5))</f>
        <v>13</v>
      </c>
      <c r="G910" s="1" t="str">
        <f>LEFT(aoc_02_input[[#This Row],[InputChar]],1)</f>
        <v>z</v>
      </c>
      <c r="H910" s="1" cm="1">
        <f t="array" ref="H910">CountChar(aoc_02_input[[#This Row],[Password]],aoc_02_input[[#This Row],[Char]])</f>
        <v>6</v>
      </c>
      <c r="I910" s="1">
        <f>IF(AND(aoc_02_input[[#This Row],[Int1]]&lt;=aoc_02_input[[#This Row],[CountOfChar]],aoc_02_input[[#This Row],[CountOfChar]]&lt;=aoc_02_input[[#This Row],[Int2]]),1,0)</f>
        <v>0</v>
      </c>
      <c r="J910" s="1" t="str">
        <f>MID(aoc_02_input[[#This Row],[Password]],aoc_02_input[[#This Row],[Int1]],1)</f>
        <v>b</v>
      </c>
      <c r="K910" s="1">
        <f>IF(aoc_02_input[[#This Row],[Pos1]]=aoc_02_input[[#This Row],[Char]],1,0)</f>
        <v>0</v>
      </c>
      <c r="L910" s="1" t="str">
        <f>MID(aoc_02_input[[#This Row],[Password]],aoc_02_input[[#This Row],[Int2]],1)</f>
        <v>z</v>
      </c>
      <c r="M910" s="1">
        <f>IF(aoc_02_input[[#This Row],[Pos2]]=aoc_02_input[[#This Row],[Char]],1,0)</f>
        <v>1</v>
      </c>
      <c r="N910" s="1">
        <f>IF(aoc_02_input[[#This Row],[Pos1Valid]]&lt;&gt;aoc_02_input[[#This Row],[Pos2Valid]],1,0)</f>
        <v>1</v>
      </c>
    </row>
    <row r="911" spans="1:14" x14ac:dyDescent="0.45">
      <c r="A911" s="1" t="s">
        <v>654</v>
      </c>
      <c r="B911" s="1" t="s">
        <v>238</v>
      </c>
      <c r="C911" s="1" t="s">
        <v>1278</v>
      </c>
      <c r="D911" s="1">
        <f>FIND("-",aoc_02_input[[#This Row],[InputNumbers]])</f>
        <v>2</v>
      </c>
      <c r="E911" s="1">
        <f>_xlfn.NUMBERVALUE(LEFT(aoc_02_input[[#This Row],[InputNumbers]],aoc_02_input[[#This Row],[PosDash]]-1))</f>
        <v>2</v>
      </c>
      <c r="F911" s="1">
        <f>_xlfn.NUMBERVALUE(MID(aoc_02_input[[#This Row],[InputNumbers]],aoc_02_input[[#This Row],[PosDash]]+1,5))</f>
        <v>9</v>
      </c>
      <c r="G911" s="1" t="str">
        <f>LEFT(aoc_02_input[[#This Row],[InputChar]],1)</f>
        <v>w</v>
      </c>
      <c r="H911" s="1" cm="1">
        <f t="array" ref="H911">CountChar(aoc_02_input[[#This Row],[Password]],aoc_02_input[[#This Row],[Char]])</f>
        <v>13</v>
      </c>
      <c r="I911" s="1">
        <f>IF(AND(aoc_02_input[[#This Row],[Int1]]&lt;=aoc_02_input[[#This Row],[CountOfChar]],aoc_02_input[[#This Row],[CountOfChar]]&lt;=aoc_02_input[[#This Row],[Int2]]),1,0)</f>
        <v>0</v>
      </c>
      <c r="J911" s="1" t="str">
        <f>MID(aoc_02_input[[#This Row],[Password]],aoc_02_input[[#This Row],[Int1]],1)</f>
        <v>b</v>
      </c>
      <c r="K911" s="1">
        <f>IF(aoc_02_input[[#This Row],[Pos1]]=aoc_02_input[[#This Row],[Char]],1,0)</f>
        <v>0</v>
      </c>
      <c r="L911" s="1" t="str">
        <f>MID(aoc_02_input[[#This Row],[Password]],aoc_02_input[[#This Row],[Int2]],1)</f>
        <v>w</v>
      </c>
      <c r="M911" s="1">
        <f>IF(aoc_02_input[[#This Row],[Pos2]]=aoc_02_input[[#This Row],[Char]],1,0)</f>
        <v>1</v>
      </c>
      <c r="N911" s="1">
        <f>IF(aoc_02_input[[#This Row],[Pos1Valid]]&lt;&gt;aoc_02_input[[#This Row],[Pos2Valid]],1,0)</f>
        <v>1</v>
      </c>
    </row>
    <row r="912" spans="1:14" x14ac:dyDescent="0.45">
      <c r="A912" s="1" t="s">
        <v>766</v>
      </c>
      <c r="B912" s="1" t="s">
        <v>249</v>
      </c>
      <c r="C912" s="1" t="s">
        <v>1279</v>
      </c>
      <c r="D912" s="1">
        <f>FIND("-",aoc_02_input[[#This Row],[InputNumbers]])</f>
        <v>2</v>
      </c>
      <c r="E912" s="1">
        <f>_xlfn.NUMBERVALUE(LEFT(aoc_02_input[[#This Row],[InputNumbers]],aoc_02_input[[#This Row],[PosDash]]-1))</f>
        <v>9</v>
      </c>
      <c r="F912" s="1">
        <f>_xlfn.NUMBERVALUE(MID(aoc_02_input[[#This Row],[InputNumbers]],aoc_02_input[[#This Row],[PosDash]]+1,5))</f>
        <v>13</v>
      </c>
      <c r="G912" s="1" t="str">
        <f>LEFT(aoc_02_input[[#This Row],[InputChar]],1)</f>
        <v>q</v>
      </c>
      <c r="H912" s="1" cm="1">
        <f t="array" ref="H912">CountChar(aoc_02_input[[#This Row],[Password]],aoc_02_input[[#This Row],[Char]])</f>
        <v>3</v>
      </c>
      <c r="I912" s="1">
        <f>IF(AND(aoc_02_input[[#This Row],[Int1]]&lt;=aoc_02_input[[#This Row],[CountOfChar]],aoc_02_input[[#This Row],[CountOfChar]]&lt;=aoc_02_input[[#This Row],[Int2]]),1,0)</f>
        <v>0</v>
      </c>
      <c r="J912" s="1" t="str">
        <f>MID(aoc_02_input[[#This Row],[Password]],aoc_02_input[[#This Row],[Int1]],1)</f>
        <v>q</v>
      </c>
      <c r="K912" s="1">
        <f>IF(aoc_02_input[[#This Row],[Pos1]]=aoc_02_input[[#This Row],[Char]],1,0)</f>
        <v>1</v>
      </c>
      <c r="L912" s="1" t="str">
        <f>MID(aoc_02_input[[#This Row],[Password]],aoc_02_input[[#This Row],[Int2]],1)</f>
        <v>w</v>
      </c>
      <c r="M912" s="1">
        <f>IF(aoc_02_input[[#This Row],[Pos2]]=aoc_02_input[[#This Row],[Char]],1,0)</f>
        <v>0</v>
      </c>
      <c r="N912" s="1">
        <f>IF(aoc_02_input[[#This Row],[Pos1Valid]]&lt;&gt;aoc_02_input[[#This Row],[Pos2Valid]],1,0)</f>
        <v>1</v>
      </c>
    </row>
    <row r="913" spans="1:14" x14ac:dyDescent="0.45">
      <c r="A913" s="1" t="s">
        <v>747</v>
      </c>
      <c r="B913" s="1" t="s">
        <v>219</v>
      </c>
      <c r="C913" s="1" t="s">
        <v>1280</v>
      </c>
      <c r="D913" s="1">
        <f>FIND("-",aoc_02_input[[#This Row],[InputNumbers]])</f>
        <v>2</v>
      </c>
      <c r="E913" s="1">
        <f>_xlfn.NUMBERVALUE(LEFT(aoc_02_input[[#This Row],[InputNumbers]],aoc_02_input[[#This Row],[PosDash]]-1))</f>
        <v>5</v>
      </c>
      <c r="F913" s="1">
        <f>_xlfn.NUMBERVALUE(MID(aoc_02_input[[#This Row],[InputNumbers]],aoc_02_input[[#This Row],[PosDash]]+1,5))</f>
        <v>11</v>
      </c>
      <c r="G913" s="1" t="str">
        <f>LEFT(aoc_02_input[[#This Row],[InputChar]],1)</f>
        <v>g</v>
      </c>
      <c r="H913" s="1" cm="1">
        <f t="array" ref="H913">CountChar(aoc_02_input[[#This Row],[Password]],aoc_02_input[[#This Row],[Char]])</f>
        <v>8</v>
      </c>
      <c r="I913" s="1">
        <f>IF(AND(aoc_02_input[[#This Row],[Int1]]&lt;=aoc_02_input[[#This Row],[CountOfChar]],aoc_02_input[[#This Row],[CountOfChar]]&lt;=aoc_02_input[[#This Row],[Int2]]),1,0)</f>
        <v>1</v>
      </c>
      <c r="J913" s="1" t="str">
        <f>MID(aoc_02_input[[#This Row],[Password]],aoc_02_input[[#This Row],[Int1]],1)</f>
        <v>g</v>
      </c>
      <c r="K913" s="1">
        <f>IF(aoc_02_input[[#This Row],[Pos1]]=aoc_02_input[[#This Row],[Char]],1,0)</f>
        <v>1</v>
      </c>
      <c r="L913" s="1" t="str">
        <f>MID(aoc_02_input[[#This Row],[Password]],aoc_02_input[[#This Row],[Int2]],1)</f>
        <v>g</v>
      </c>
      <c r="M913" s="1">
        <f>IF(aoc_02_input[[#This Row],[Pos2]]=aoc_02_input[[#This Row],[Char]],1,0)</f>
        <v>1</v>
      </c>
      <c r="N913" s="1">
        <f>IF(aoc_02_input[[#This Row],[Pos1Valid]]&lt;&gt;aoc_02_input[[#This Row],[Pos2Valid]],1,0)</f>
        <v>0</v>
      </c>
    </row>
    <row r="914" spans="1:14" x14ac:dyDescent="0.45">
      <c r="A914" s="1" t="s">
        <v>232</v>
      </c>
      <c r="B914" s="1" t="s">
        <v>249</v>
      </c>
      <c r="C914" s="1" t="s">
        <v>1281</v>
      </c>
      <c r="D914" s="1">
        <f>FIND("-",aoc_02_input[[#This Row],[InputNumbers]])</f>
        <v>2</v>
      </c>
      <c r="E914" s="1">
        <f>_xlfn.NUMBERVALUE(LEFT(aoc_02_input[[#This Row],[InputNumbers]],aoc_02_input[[#This Row],[PosDash]]-1))</f>
        <v>4</v>
      </c>
      <c r="F914" s="1">
        <f>_xlfn.NUMBERVALUE(MID(aoc_02_input[[#This Row],[InputNumbers]],aoc_02_input[[#This Row],[PosDash]]+1,5))</f>
        <v>6</v>
      </c>
      <c r="G914" s="1" t="str">
        <f>LEFT(aoc_02_input[[#This Row],[InputChar]],1)</f>
        <v>q</v>
      </c>
      <c r="H914" s="1" cm="1">
        <f t="array" ref="H914">CountChar(aoc_02_input[[#This Row],[Password]],aoc_02_input[[#This Row],[Char]])</f>
        <v>6</v>
      </c>
      <c r="I914" s="1">
        <f>IF(AND(aoc_02_input[[#This Row],[Int1]]&lt;=aoc_02_input[[#This Row],[CountOfChar]],aoc_02_input[[#This Row],[CountOfChar]]&lt;=aoc_02_input[[#This Row],[Int2]]),1,0)</f>
        <v>1</v>
      </c>
      <c r="J914" s="1" t="str">
        <f>MID(aoc_02_input[[#This Row],[Password]],aoc_02_input[[#This Row],[Int1]],1)</f>
        <v>q</v>
      </c>
      <c r="K914" s="1">
        <f>IF(aoc_02_input[[#This Row],[Pos1]]=aoc_02_input[[#This Row],[Char]],1,0)</f>
        <v>1</v>
      </c>
      <c r="L914" s="1" t="str">
        <f>MID(aoc_02_input[[#This Row],[Password]],aoc_02_input[[#This Row],[Int2]],1)</f>
        <v>q</v>
      </c>
      <c r="M914" s="1">
        <f>IF(aoc_02_input[[#This Row],[Pos2]]=aoc_02_input[[#This Row],[Char]],1,0)</f>
        <v>1</v>
      </c>
      <c r="N914" s="1">
        <f>IF(aoc_02_input[[#This Row],[Pos1Valid]]&lt;&gt;aoc_02_input[[#This Row],[Pos2Valid]],1,0)</f>
        <v>0</v>
      </c>
    </row>
    <row r="915" spans="1:14" x14ac:dyDescent="0.45">
      <c r="A915" s="1" t="s">
        <v>271</v>
      </c>
      <c r="B915" s="1" t="s">
        <v>243</v>
      </c>
      <c r="C915" s="1" t="s">
        <v>1282</v>
      </c>
      <c r="D915" s="1">
        <f>FIND("-",aoc_02_input[[#This Row],[InputNumbers]])</f>
        <v>2</v>
      </c>
      <c r="E915" s="1">
        <f>_xlfn.NUMBERVALUE(LEFT(aoc_02_input[[#This Row],[InputNumbers]],aoc_02_input[[#This Row],[PosDash]]-1))</f>
        <v>9</v>
      </c>
      <c r="F915" s="1">
        <f>_xlfn.NUMBERVALUE(MID(aoc_02_input[[#This Row],[InputNumbers]],aoc_02_input[[#This Row],[PosDash]]+1,5))</f>
        <v>10</v>
      </c>
      <c r="G915" s="1" t="str">
        <f>LEFT(aoc_02_input[[#This Row],[InputChar]],1)</f>
        <v>f</v>
      </c>
      <c r="H915" s="1" cm="1">
        <f t="array" ref="H915">CountChar(aoc_02_input[[#This Row],[Password]],aoc_02_input[[#This Row],[Char]])</f>
        <v>10</v>
      </c>
      <c r="I915" s="1">
        <f>IF(AND(aoc_02_input[[#This Row],[Int1]]&lt;=aoc_02_input[[#This Row],[CountOfChar]],aoc_02_input[[#This Row],[CountOfChar]]&lt;=aoc_02_input[[#This Row],[Int2]]),1,0)</f>
        <v>1</v>
      </c>
      <c r="J915" s="1" t="str">
        <f>MID(aoc_02_input[[#This Row],[Password]],aoc_02_input[[#This Row],[Int1]],1)</f>
        <v>v</v>
      </c>
      <c r="K915" s="1">
        <f>IF(aoc_02_input[[#This Row],[Pos1]]=aoc_02_input[[#This Row],[Char]],1,0)</f>
        <v>0</v>
      </c>
      <c r="L915" s="1" t="str">
        <f>MID(aoc_02_input[[#This Row],[Password]],aoc_02_input[[#This Row],[Int2]],1)</f>
        <v>f</v>
      </c>
      <c r="M915" s="1">
        <f>IF(aoc_02_input[[#This Row],[Pos2]]=aoc_02_input[[#This Row],[Char]],1,0)</f>
        <v>1</v>
      </c>
      <c r="N915" s="1">
        <f>IF(aoc_02_input[[#This Row],[Pos1Valid]]&lt;&gt;aoc_02_input[[#This Row],[Pos2Valid]],1,0)</f>
        <v>1</v>
      </c>
    </row>
    <row r="916" spans="1:14" x14ac:dyDescent="0.45">
      <c r="A916" s="1" t="s">
        <v>380</v>
      </c>
      <c r="B916" s="1" t="s">
        <v>305</v>
      </c>
      <c r="C916" s="1" t="s">
        <v>1283</v>
      </c>
      <c r="D916" s="1">
        <f>FIND("-",aoc_02_input[[#This Row],[InputNumbers]])</f>
        <v>2</v>
      </c>
      <c r="E916" s="1">
        <f>_xlfn.NUMBERVALUE(LEFT(aoc_02_input[[#This Row],[InputNumbers]],aoc_02_input[[#This Row],[PosDash]]-1))</f>
        <v>3</v>
      </c>
      <c r="F916" s="1">
        <f>_xlfn.NUMBERVALUE(MID(aoc_02_input[[#This Row],[InputNumbers]],aoc_02_input[[#This Row],[PosDash]]+1,5))</f>
        <v>7</v>
      </c>
      <c r="G916" s="1" t="str">
        <f>LEFT(aoc_02_input[[#This Row],[InputChar]],1)</f>
        <v>s</v>
      </c>
      <c r="H916" s="1" cm="1">
        <f t="array" ref="H916">CountChar(aoc_02_input[[#This Row],[Password]],aoc_02_input[[#This Row],[Char]])</f>
        <v>10</v>
      </c>
      <c r="I916" s="1">
        <f>IF(AND(aoc_02_input[[#This Row],[Int1]]&lt;=aoc_02_input[[#This Row],[CountOfChar]],aoc_02_input[[#This Row],[CountOfChar]]&lt;=aoc_02_input[[#This Row],[Int2]]),1,0)</f>
        <v>0</v>
      </c>
      <c r="J916" s="1" t="str">
        <f>MID(aoc_02_input[[#This Row],[Password]],aoc_02_input[[#This Row],[Int1]],1)</f>
        <v>s</v>
      </c>
      <c r="K916" s="1">
        <f>IF(aoc_02_input[[#This Row],[Pos1]]=aoc_02_input[[#This Row],[Char]],1,0)</f>
        <v>1</v>
      </c>
      <c r="L916" s="1" t="str">
        <f>MID(aoc_02_input[[#This Row],[Password]],aoc_02_input[[#This Row],[Int2]],1)</f>
        <v>s</v>
      </c>
      <c r="M916" s="1">
        <f>IF(aoc_02_input[[#This Row],[Pos2]]=aoc_02_input[[#This Row],[Char]],1,0)</f>
        <v>1</v>
      </c>
      <c r="N916" s="1">
        <f>IF(aoc_02_input[[#This Row],[Pos1Valid]]&lt;&gt;aoc_02_input[[#This Row],[Pos2Valid]],1,0)</f>
        <v>0</v>
      </c>
    </row>
    <row r="917" spans="1:14" x14ac:dyDescent="0.45">
      <c r="A917" s="1" t="s">
        <v>489</v>
      </c>
      <c r="B917" s="1" t="s">
        <v>213</v>
      </c>
      <c r="C917" s="1" t="s">
        <v>1284</v>
      </c>
      <c r="D917" s="1">
        <f>FIND("-",aoc_02_input[[#This Row],[InputNumbers]])</f>
        <v>2</v>
      </c>
      <c r="E917" s="1">
        <f>_xlfn.NUMBERVALUE(LEFT(aoc_02_input[[#This Row],[InputNumbers]],aoc_02_input[[#This Row],[PosDash]]-1))</f>
        <v>3</v>
      </c>
      <c r="F917" s="1">
        <f>_xlfn.NUMBERVALUE(MID(aoc_02_input[[#This Row],[InputNumbers]],aoc_02_input[[#This Row],[PosDash]]+1,5))</f>
        <v>11</v>
      </c>
      <c r="G917" s="1" t="str">
        <f>LEFT(aoc_02_input[[#This Row],[InputChar]],1)</f>
        <v>m</v>
      </c>
      <c r="H917" s="1" cm="1">
        <f t="array" ref="H917">CountChar(aoc_02_input[[#This Row],[Password]],aoc_02_input[[#This Row],[Char]])</f>
        <v>2</v>
      </c>
      <c r="I917" s="1">
        <f>IF(AND(aoc_02_input[[#This Row],[Int1]]&lt;=aoc_02_input[[#This Row],[CountOfChar]],aoc_02_input[[#This Row],[CountOfChar]]&lt;=aoc_02_input[[#This Row],[Int2]]),1,0)</f>
        <v>0</v>
      </c>
      <c r="J917" s="1" t="str">
        <f>MID(aoc_02_input[[#This Row],[Password]],aoc_02_input[[#This Row],[Int1]],1)</f>
        <v>q</v>
      </c>
      <c r="K917" s="1">
        <f>IF(aoc_02_input[[#This Row],[Pos1]]=aoc_02_input[[#This Row],[Char]],1,0)</f>
        <v>0</v>
      </c>
      <c r="L917" s="1" t="str">
        <f>MID(aoc_02_input[[#This Row],[Password]],aoc_02_input[[#This Row],[Int2]],1)</f>
        <v>m</v>
      </c>
      <c r="M917" s="1">
        <f>IF(aoc_02_input[[#This Row],[Pos2]]=aoc_02_input[[#This Row],[Char]],1,0)</f>
        <v>1</v>
      </c>
      <c r="N917" s="1">
        <f>IF(aoc_02_input[[#This Row],[Pos1Valid]]&lt;&gt;aoc_02_input[[#This Row],[Pos2Valid]],1,0)</f>
        <v>1</v>
      </c>
    </row>
    <row r="918" spans="1:14" x14ac:dyDescent="0.45">
      <c r="A918" s="1" t="s">
        <v>1285</v>
      </c>
      <c r="B918" s="1" t="s">
        <v>225</v>
      </c>
      <c r="C918" s="1" t="s">
        <v>1286</v>
      </c>
      <c r="D918" s="1">
        <f>FIND("-",aoc_02_input[[#This Row],[InputNumbers]])</f>
        <v>2</v>
      </c>
      <c r="E918" s="1">
        <f>_xlfn.NUMBERVALUE(LEFT(aoc_02_input[[#This Row],[InputNumbers]],aoc_02_input[[#This Row],[PosDash]]-1))</f>
        <v>8</v>
      </c>
      <c r="F918" s="1">
        <f>_xlfn.NUMBERVALUE(MID(aoc_02_input[[#This Row],[InputNumbers]],aoc_02_input[[#This Row],[PosDash]]+1,5))</f>
        <v>19</v>
      </c>
      <c r="G918" s="1" t="str">
        <f>LEFT(aoc_02_input[[#This Row],[InputChar]],1)</f>
        <v>j</v>
      </c>
      <c r="H918" s="1" cm="1">
        <f t="array" ref="H918">CountChar(aoc_02_input[[#This Row],[Password]],aoc_02_input[[#This Row],[Char]])</f>
        <v>17</v>
      </c>
      <c r="I918" s="1">
        <f>IF(AND(aoc_02_input[[#This Row],[Int1]]&lt;=aoc_02_input[[#This Row],[CountOfChar]],aoc_02_input[[#This Row],[CountOfChar]]&lt;=aoc_02_input[[#This Row],[Int2]]),1,0)</f>
        <v>1</v>
      </c>
      <c r="J918" s="1" t="str">
        <f>MID(aoc_02_input[[#This Row],[Password]],aoc_02_input[[#This Row],[Int1]],1)</f>
        <v>j</v>
      </c>
      <c r="K918" s="1">
        <f>IF(aoc_02_input[[#This Row],[Pos1]]=aoc_02_input[[#This Row],[Char]],1,0)</f>
        <v>1</v>
      </c>
      <c r="L918" s="1" t="str">
        <f>MID(aoc_02_input[[#This Row],[Password]],aoc_02_input[[#This Row],[Int2]],1)</f>
        <v>c</v>
      </c>
      <c r="M918" s="1">
        <f>IF(aoc_02_input[[#This Row],[Pos2]]=aoc_02_input[[#This Row],[Char]],1,0)</f>
        <v>0</v>
      </c>
      <c r="N918" s="1">
        <f>IF(aoc_02_input[[#This Row],[Pos1Valid]]&lt;&gt;aoc_02_input[[#This Row],[Pos2Valid]],1,0)</f>
        <v>1</v>
      </c>
    </row>
    <row r="919" spans="1:14" x14ac:dyDescent="0.45">
      <c r="A919" s="1" t="s">
        <v>417</v>
      </c>
      <c r="B919" s="1" t="s">
        <v>238</v>
      </c>
      <c r="C919" s="1" t="s">
        <v>1287</v>
      </c>
      <c r="D919" s="1">
        <f>FIND("-",aoc_02_input[[#This Row],[InputNumbers]])</f>
        <v>3</v>
      </c>
      <c r="E919" s="1">
        <f>_xlfn.NUMBERVALUE(LEFT(aoc_02_input[[#This Row],[InputNumbers]],aoc_02_input[[#This Row],[PosDash]]-1))</f>
        <v>12</v>
      </c>
      <c r="F919" s="1">
        <f>_xlfn.NUMBERVALUE(MID(aoc_02_input[[#This Row],[InputNumbers]],aoc_02_input[[#This Row],[PosDash]]+1,5))</f>
        <v>13</v>
      </c>
      <c r="G919" s="1" t="str">
        <f>LEFT(aoc_02_input[[#This Row],[InputChar]],1)</f>
        <v>w</v>
      </c>
      <c r="H919" s="1" cm="1">
        <f t="array" ref="H919">CountChar(aoc_02_input[[#This Row],[Password]],aoc_02_input[[#This Row],[Char]])</f>
        <v>4</v>
      </c>
      <c r="I919" s="1">
        <f>IF(AND(aoc_02_input[[#This Row],[Int1]]&lt;=aoc_02_input[[#This Row],[CountOfChar]],aoc_02_input[[#This Row],[CountOfChar]]&lt;=aoc_02_input[[#This Row],[Int2]]),1,0)</f>
        <v>0</v>
      </c>
      <c r="J919" s="1" t="str">
        <f>MID(aoc_02_input[[#This Row],[Password]],aoc_02_input[[#This Row],[Int1]],1)</f>
        <v>w</v>
      </c>
      <c r="K919" s="1">
        <f>IF(aoc_02_input[[#This Row],[Pos1]]=aoc_02_input[[#This Row],[Char]],1,0)</f>
        <v>1</v>
      </c>
      <c r="L919" s="1" t="str">
        <f>MID(aoc_02_input[[#This Row],[Password]],aoc_02_input[[#This Row],[Int2]],1)</f>
        <v>w</v>
      </c>
      <c r="M919" s="1">
        <f>IF(aoc_02_input[[#This Row],[Pos2]]=aoc_02_input[[#This Row],[Char]],1,0)</f>
        <v>1</v>
      </c>
      <c r="N919" s="1">
        <f>IF(aoc_02_input[[#This Row],[Pos1Valid]]&lt;&gt;aoc_02_input[[#This Row],[Pos2Valid]],1,0)</f>
        <v>0</v>
      </c>
    </row>
    <row r="920" spans="1:14" x14ac:dyDescent="0.45">
      <c r="A920" s="1" t="s">
        <v>283</v>
      </c>
      <c r="B920" s="1" t="s">
        <v>278</v>
      </c>
      <c r="C920" s="1" t="s">
        <v>1288</v>
      </c>
      <c r="D920" s="1">
        <f>FIND("-",aoc_02_input[[#This Row],[InputNumbers]])</f>
        <v>2</v>
      </c>
      <c r="E920" s="1">
        <f>_xlfn.NUMBERVALUE(LEFT(aoc_02_input[[#This Row],[InputNumbers]],aoc_02_input[[#This Row],[PosDash]]-1))</f>
        <v>3</v>
      </c>
      <c r="F920" s="1">
        <f>_xlfn.NUMBERVALUE(MID(aoc_02_input[[#This Row],[InputNumbers]],aoc_02_input[[#This Row],[PosDash]]+1,5))</f>
        <v>4</v>
      </c>
      <c r="G920" s="1" t="str">
        <f>LEFT(aoc_02_input[[#This Row],[InputChar]],1)</f>
        <v>x</v>
      </c>
      <c r="H920" s="1" cm="1">
        <f t="array" ref="H920">CountChar(aoc_02_input[[#This Row],[Password]],aoc_02_input[[#This Row],[Char]])</f>
        <v>4</v>
      </c>
      <c r="I920" s="1">
        <f>IF(AND(aoc_02_input[[#This Row],[Int1]]&lt;=aoc_02_input[[#This Row],[CountOfChar]],aoc_02_input[[#This Row],[CountOfChar]]&lt;=aoc_02_input[[#This Row],[Int2]]),1,0)</f>
        <v>1</v>
      </c>
      <c r="J920" s="1" t="str">
        <f>MID(aoc_02_input[[#This Row],[Password]],aoc_02_input[[#This Row],[Int1]],1)</f>
        <v>x</v>
      </c>
      <c r="K920" s="1">
        <f>IF(aoc_02_input[[#This Row],[Pos1]]=aoc_02_input[[#This Row],[Char]],1,0)</f>
        <v>1</v>
      </c>
      <c r="L920" s="1" t="str">
        <f>MID(aoc_02_input[[#This Row],[Password]],aoc_02_input[[#This Row],[Int2]],1)</f>
        <v>x</v>
      </c>
      <c r="M920" s="1">
        <f>IF(aoc_02_input[[#This Row],[Pos2]]=aoc_02_input[[#This Row],[Char]],1,0)</f>
        <v>1</v>
      </c>
      <c r="N920" s="1">
        <f>IF(aoc_02_input[[#This Row],[Pos1Valid]]&lt;&gt;aoc_02_input[[#This Row],[Pos2Valid]],1,0)</f>
        <v>0</v>
      </c>
    </row>
    <row r="921" spans="1:14" x14ac:dyDescent="0.45">
      <c r="A921" s="1" t="s">
        <v>248</v>
      </c>
      <c r="B921" s="1" t="s">
        <v>314</v>
      </c>
      <c r="C921" s="1" t="s">
        <v>1289</v>
      </c>
      <c r="D921" s="1">
        <f>FIND("-",aoc_02_input[[#This Row],[InputNumbers]])</f>
        <v>3</v>
      </c>
      <c r="E921" s="1">
        <f>_xlfn.NUMBERVALUE(LEFT(aoc_02_input[[#This Row],[InputNumbers]],aoc_02_input[[#This Row],[PosDash]]-1))</f>
        <v>11</v>
      </c>
      <c r="F921" s="1">
        <f>_xlfn.NUMBERVALUE(MID(aoc_02_input[[#This Row],[InputNumbers]],aoc_02_input[[#This Row],[PosDash]]+1,5))</f>
        <v>12</v>
      </c>
      <c r="G921" s="1" t="str">
        <f>LEFT(aoc_02_input[[#This Row],[InputChar]],1)</f>
        <v>h</v>
      </c>
      <c r="H921" s="1" cm="1">
        <f t="array" ref="H921">CountChar(aoc_02_input[[#This Row],[Password]],aoc_02_input[[#This Row],[Char]])</f>
        <v>11</v>
      </c>
      <c r="I921" s="1">
        <f>IF(AND(aoc_02_input[[#This Row],[Int1]]&lt;=aoc_02_input[[#This Row],[CountOfChar]],aoc_02_input[[#This Row],[CountOfChar]]&lt;=aoc_02_input[[#This Row],[Int2]]),1,0)</f>
        <v>1</v>
      </c>
      <c r="J921" s="1" t="str">
        <f>MID(aoc_02_input[[#This Row],[Password]],aoc_02_input[[#This Row],[Int1]],1)</f>
        <v>h</v>
      </c>
      <c r="K921" s="1">
        <f>IF(aoc_02_input[[#This Row],[Pos1]]=aoc_02_input[[#This Row],[Char]],1,0)</f>
        <v>1</v>
      </c>
      <c r="L921" s="1" t="str">
        <f>MID(aoc_02_input[[#This Row],[Password]],aoc_02_input[[#This Row],[Int2]],1)</f>
        <v>x</v>
      </c>
      <c r="M921" s="1">
        <f>IF(aoc_02_input[[#This Row],[Pos2]]=aoc_02_input[[#This Row],[Char]],1,0)</f>
        <v>0</v>
      </c>
      <c r="N921" s="1">
        <f>IF(aoc_02_input[[#This Row],[Pos1Valid]]&lt;&gt;aoc_02_input[[#This Row],[Pos2Valid]],1,0)</f>
        <v>1</v>
      </c>
    </row>
    <row r="922" spans="1:14" x14ac:dyDescent="0.45">
      <c r="A922" s="1" t="s">
        <v>240</v>
      </c>
      <c r="B922" s="1" t="s">
        <v>254</v>
      </c>
      <c r="C922" s="1" t="s">
        <v>1290</v>
      </c>
      <c r="D922" s="1">
        <f>FIND("-",aoc_02_input[[#This Row],[InputNumbers]])</f>
        <v>3</v>
      </c>
      <c r="E922" s="1">
        <f>_xlfn.NUMBERVALUE(LEFT(aoc_02_input[[#This Row],[InputNumbers]],aoc_02_input[[#This Row],[PosDash]]-1))</f>
        <v>12</v>
      </c>
      <c r="F922" s="1">
        <f>_xlfn.NUMBERVALUE(MID(aoc_02_input[[#This Row],[InputNumbers]],aoc_02_input[[#This Row],[PosDash]]+1,5))</f>
        <v>16</v>
      </c>
      <c r="G922" s="1" t="str">
        <f>LEFT(aoc_02_input[[#This Row],[InputChar]],1)</f>
        <v>k</v>
      </c>
      <c r="H922" s="1" cm="1">
        <f t="array" ref="H922">CountChar(aoc_02_input[[#This Row],[Password]],aoc_02_input[[#This Row],[Char]])</f>
        <v>15</v>
      </c>
      <c r="I922" s="1">
        <f>IF(AND(aoc_02_input[[#This Row],[Int1]]&lt;=aoc_02_input[[#This Row],[CountOfChar]],aoc_02_input[[#This Row],[CountOfChar]]&lt;=aoc_02_input[[#This Row],[Int2]]),1,0)</f>
        <v>1</v>
      </c>
      <c r="J922" s="1" t="str">
        <f>MID(aoc_02_input[[#This Row],[Password]],aoc_02_input[[#This Row],[Int1]],1)</f>
        <v>q</v>
      </c>
      <c r="K922" s="1">
        <f>IF(aoc_02_input[[#This Row],[Pos1]]=aoc_02_input[[#This Row],[Char]],1,0)</f>
        <v>0</v>
      </c>
      <c r="L922" s="1" t="str">
        <f>MID(aoc_02_input[[#This Row],[Password]],aoc_02_input[[#This Row],[Int2]],1)</f>
        <v>k</v>
      </c>
      <c r="M922" s="1">
        <f>IF(aoc_02_input[[#This Row],[Pos2]]=aoc_02_input[[#This Row],[Char]],1,0)</f>
        <v>1</v>
      </c>
      <c r="N922" s="1">
        <f>IF(aoc_02_input[[#This Row],[Pos1Valid]]&lt;&gt;aoc_02_input[[#This Row],[Pos2Valid]],1,0)</f>
        <v>1</v>
      </c>
    </row>
    <row r="923" spans="1:14" x14ac:dyDescent="0.45">
      <c r="A923" s="1" t="s">
        <v>311</v>
      </c>
      <c r="B923" s="1" t="s">
        <v>216</v>
      </c>
      <c r="C923" s="1" t="s">
        <v>1291</v>
      </c>
      <c r="D923" s="1">
        <f>FIND("-",aoc_02_input[[#This Row],[InputNumbers]])</f>
        <v>2</v>
      </c>
      <c r="E923" s="1">
        <f>_xlfn.NUMBERVALUE(LEFT(aoc_02_input[[#This Row],[InputNumbers]],aoc_02_input[[#This Row],[PosDash]]-1))</f>
        <v>3</v>
      </c>
      <c r="F923" s="1">
        <f>_xlfn.NUMBERVALUE(MID(aoc_02_input[[#This Row],[InputNumbers]],aoc_02_input[[#This Row],[PosDash]]+1,5))</f>
        <v>6</v>
      </c>
      <c r="G923" s="1" t="str">
        <f>LEFT(aoc_02_input[[#This Row],[InputChar]],1)</f>
        <v>z</v>
      </c>
      <c r="H923" s="1" cm="1">
        <f t="array" ref="H923">CountChar(aoc_02_input[[#This Row],[Password]],aoc_02_input[[#This Row],[Char]])</f>
        <v>5</v>
      </c>
      <c r="I923" s="1">
        <f>IF(AND(aoc_02_input[[#This Row],[Int1]]&lt;=aoc_02_input[[#This Row],[CountOfChar]],aoc_02_input[[#This Row],[CountOfChar]]&lt;=aoc_02_input[[#This Row],[Int2]]),1,0)</f>
        <v>1</v>
      </c>
      <c r="J923" s="1" t="str">
        <f>MID(aoc_02_input[[#This Row],[Password]],aoc_02_input[[#This Row],[Int1]],1)</f>
        <v>x</v>
      </c>
      <c r="K923" s="1">
        <f>IF(aoc_02_input[[#This Row],[Pos1]]=aoc_02_input[[#This Row],[Char]],1,0)</f>
        <v>0</v>
      </c>
      <c r="L923" s="1" t="str">
        <f>MID(aoc_02_input[[#This Row],[Password]],aoc_02_input[[#This Row],[Int2]],1)</f>
        <v>n</v>
      </c>
      <c r="M923" s="1">
        <f>IF(aoc_02_input[[#This Row],[Pos2]]=aoc_02_input[[#This Row],[Char]],1,0)</f>
        <v>0</v>
      </c>
      <c r="N923" s="1">
        <f>IF(aoc_02_input[[#This Row],[Pos1Valid]]&lt;&gt;aoc_02_input[[#This Row],[Pos2Valid]],1,0)</f>
        <v>0</v>
      </c>
    </row>
    <row r="924" spans="1:14" x14ac:dyDescent="0.45">
      <c r="A924" s="1" t="s">
        <v>468</v>
      </c>
      <c r="B924" s="1" t="s">
        <v>222</v>
      </c>
      <c r="C924" s="1" t="s">
        <v>1292</v>
      </c>
      <c r="D924" s="1">
        <f>FIND("-",aoc_02_input[[#This Row],[InputNumbers]])</f>
        <v>3</v>
      </c>
      <c r="E924" s="1">
        <f>_xlfn.NUMBERVALUE(LEFT(aoc_02_input[[#This Row],[InputNumbers]],aoc_02_input[[#This Row],[PosDash]]-1))</f>
        <v>14</v>
      </c>
      <c r="F924" s="1">
        <f>_xlfn.NUMBERVALUE(MID(aoc_02_input[[#This Row],[InputNumbers]],aoc_02_input[[#This Row],[PosDash]]+1,5))</f>
        <v>16</v>
      </c>
      <c r="G924" s="1" t="str">
        <f>LEFT(aoc_02_input[[#This Row],[InputChar]],1)</f>
        <v>l</v>
      </c>
      <c r="H924" s="1" cm="1">
        <f t="array" ref="H924">CountChar(aoc_02_input[[#This Row],[Password]],aoc_02_input[[#This Row],[Char]])</f>
        <v>14</v>
      </c>
      <c r="I924" s="1">
        <f>IF(AND(aoc_02_input[[#This Row],[Int1]]&lt;=aoc_02_input[[#This Row],[CountOfChar]],aoc_02_input[[#This Row],[CountOfChar]]&lt;=aoc_02_input[[#This Row],[Int2]]),1,0)</f>
        <v>1</v>
      </c>
      <c r="J924" s="1" t="str">
        <f>MID(aoc_02_input[[#This Row],[Password]],aoc_02_input[[#This Row],[Int1]],1)</f>
        <v>f</v>
      </c>
      <c r="K924" s="1">
        <f>IF(aoc_02_input[[#This Row],[Pos1]]=aoc_02_input[[#This Row],[Char]],1,0)</f>
        <v>0</v>
      </c>
      <c r="L924" s="1" t="str">
        <f>MID(aoc_02_input[[#This Row],[Password]],aoc_02_input[[#This Row],[Int2]],1)</f>
        <v>l</v>
      </c>
      <c r="M924" s="1">
        <f>IF(aoc_02_input[[#This Row],[Pos2]]=aoc_02_input[[#This Row],[Char]],1,0)</f>
        <v>1</v>
      </c>
      <c r="N924" s="1">
        <f>IF(aoc_02_input[[#This Row],[Pos1Valid]]&lt;&gt;aoc_02_input[[#This Row],[Pos2Valid]],1,0)</f>
        <v>1</v>
      </c>
    </row>
    <row r="925" spans="1:14" x14ac:dyDescent="0.45">
      <c r="A925" s="1" t="s">
        <v>555</v>
      </c>
      <c r="B925" s="1" t="s">
        <v>295</v>
      </c>
      <c r="C925" s="1" t="s">
        <v>1293</v>
      </c>
      <c r="D925" s="1">
        <f>FIND("-",aoc_02_input[[#This Row],[InputNumbers]])</f>
        <v>2</v>
      </c>
      <c r="E925" s="1">
        <f>_xlfn.NUMBERVALUE(LEFT(aoc_02_input[[#This Row],[InputNumbers]],aoc_02_input[[#This Row],[PosDash]]-1))</f>
        <v>1</v>
      </c>
      <c r="F925" s="1">
        <f>_xlfn.NUMBERVALUE(MID(aoc_02_input[[#This Row],[InputNumbers]],aoc_02_input[[#This Row],[PosDash]]+1,5))</f>
        <v>10</v>
      </c>
      <c r="G925" s="1" t="str">
        <f>LEFT(aoc_02_input[[#This Row],[InputChar]],1)</f>
        <v>c</v>
      </c>
      <c r="H925" s="1" cm="1">
        <f t="array" ref="H925">CountChar(aoc_02_input[[#This Row],[Password]],aoc_02_input[[#This Row],[Char]])</f>
        <v>12</v>
      </c>
      <c r="I925" s="1">
        <f>IF(AND(aoc_02_input[[#This Row],[Int1]]&lt;=aoc_02_input[[#This Row],[CountOfChar]],aoc_02_input[[#This Row],[CountOfChar]]&lt;=aoc_02_input[[#This Row],[Int2]]),1,0)</f>
        <v>0</v>
      </c>
      <c r="J925" s="1" t="str">
        <f>MID(aoc_02_input[[#This Row],[Password]],aoc_02_input[[#This Row],[Int1]],1)</f>
        <v>c</v>
      </c>
      <c r="K925" s="1">
        <f>IF(aoc_02_input[[#This Row],[Pos1]]=aoc_02_input[[#This Row],[Char]],1,0)</f>
        <v>1</v>
      </c>
      <c r="L925" s="1" t="str">
        <f>MID(aoc_02_input[[#This Row],[Password]],aoc_02_input[[#This Row],[Int2]],1)</f>
        <v>d</v>
      </c>
      <c r="M925" s="1">
        <f>IF(aoc_02_input[[#This Row],[Pos2]]=aoc_02_input[[#This Row],[Char]],1,0)</f>
        <v>0</v>
      </c>
      <c r="N925" s="1">
        <f>IF(aoc_02_input[[#This Row],[Pos1Valid]]&lt;&gt;aoc_02_input[[#This Row],[Pos2Valid]],1,0)</f>
        <v>1</v>
      </c>
    </row>
    <row r="926" spans="1:14" x14ac:dyDescent="0.45">
      <c r="A926" s="1" t="s">
        <v>392</v>
      </c>
      <c r="B926" s="1" t="s">
        <v>305</v>
      </c>
      <c r="C926" s="1" t="s">
        <v>1294</v>
      </c>
      <c r="D926" s="1">
        <f>FIND("-",aoc_02_input[[#This Row],[InputNumbers]])</f>
        <v>2</v>
      </c>
      <c r="E926" s="1">
        <f>_xlfn.NUMBERVALUE(LEFT(aoc_02_input[[#This Row],[InputNumbers]],aoc_02_input[[#This Row],[PosDash]]-1))</f>
        <v>8</v>
      </c>
      <c r="F926" s="1">
        <f>_xlfn.NUMBERVALUE(MID(aoc_02_input[[#This Row],[InputNumbers]],aoc_02_input[[#This Row],[PosDash]]+1,5))</f>
        <v>9</v>
      </c>
      <c r="G926" s="1" t="str">
        <f>LEFT(aoc_02_input[[#This Row],[InputChar]],1)</f>
        <v>s</v>
      </c>
      <c r="H926" s="1" cm="1">
        <f t="array" ref="H926">CountChar(aoc_02_input[[#This Row],[Password]],aoc_02_input[[#This Row],[Char]])</f>
        <v>9</v>
      </c>
      <c r="I926" s="1">
        <f>IF(AND(aoc_02_input[[#This Row],[Int1]]&lt;=aoc_02_input[[#This Row],[CountOfChar]],aoc_02_input[[#This Row],[CountOfChar]]&lt;=aoc_02_input[[#This Row],[Int2]]),1,0)</f>
        <v>1</v>
      </c>
      <c r="J926" s="1" t="str">
        <f>MID(aoc_02_input[[#This Row],[Password]],aoc_02_input[[#This Row],[Int1]],1)</f>
        <v>g</v>
      </c>
      <c r="K926" s="1">
        <f>IF(aoc_02_input[[#This Row],[Pos1]]=aoc_02_input[[#This Row],[Char]],1,0)</f>
        <v>0</v>
      </c>
      <c r="L926" s="1" t="str">
        <f>MID(aoc_02_input[[#This Row],[Password]],aoc_02_input[[#This Row],[Int2]],1)</f>
        <v>s</v>
      </c>
      <c r="M926" s="1">
        <f>IF(aoc_02_input[[#This Row],[Pos2]]=aoc_02_input[[#This Row],[Char]],1,0)</f>
        <v>1</v>
      </c>
      <c r="N926" s="1">
        <f>IF(aoc_02_input[[#This Row],[Pos1Valid]]&lt;&gt;aoc_02_input[[#This Row],[Pos2Valid]],1,0)</f>
        <v>1</v>
      </c>
    </row>
    <row r="927" spans="1:14" x14ac:dyDescent="0.45">
      <c r="A927" s="1" t="s">
        <v>230</v>
      </c>
      <c r="B927" s="1" t="s">
        <v>246</v>
      </c>
      <c r="C927" s="1" t="s">
        <v>1295</v>
      </c>
      <c r="D927" s="1">
        <f>FIND("-",aoc_02_input[[#This Row],[InputNumbers]])</f>
        <v>2</v>
      </c>
      <c r="E927" s="1">
        <f>_xlfn.NUMBERVALUE(LEFT(aoc_02_input[[#This Row],[InputNumbers]],aoc_02_input[[#This Row],[PosDash]]-1))</f>
        <v>2</v>
      </c>
      <c r="F927" s="1">
        <f>_xlfn.NUMBERVALUE(MID(aoc_02_input[[#This Row],[InputNumbers]],aoc_02_input[[#This Row],[PosDash]]+1,5))</f>
        <v>4</v>
      </c>
      <c r="G927" s="1" t="str">
        <f>LEFT(aoc_02_input[[#This Row],[InputChar]],1)</f>
        <v>n</v>
      </c>
      <c r="H927" s="1" cm="1">
        <f t="array" ref="H927">CountChar(aoc_02_input[[#This Row],[Password]],aoc_02_input[[#This Row],[Char]])</f>
        <v>1</v>
      </c>
      <c r="I927" s="1">
        <f>IF(AND(aoc_02_input[[#This Row],[Int1]]&lt;=aoc_02_input[[#This Row],[CountOfChar]],aoc_02_input[[#This Row],[CountOfChar]]&lt;=aoc_02_input[[#This Row],[Int2]]),1,0)</f>
        <v>0</v>
      </c>
      <c r="J927" s="1" t="str">
        <f>MID(aoc_02_input[[#This Row],[Password]],aoc_02_input[[#This Row],[Int1]],1)</f>
        <v>p</v>
      </c>
      <c r="K927" s="1">
        <f>IF(aoc_02_input[[#This Row],[Pos1]]=aoc_02_input[[#This Row],[Char]],1,0)</f>
        <v>0</v>
      </c>
      <c r="L927" s="1" t="str">
        <f>MID(aoc_02_input[[#This Row],[Password]],aoc_02_input[[#This Row],[Int2]],1)</f>
        <v>t</v>
      </c>
      <c r="M927" s="1">
        <f>IF(aoc_02_input[[#This Row],[Pos2]]=aoc_02_input[[#This Row],[Char]],1,0)</f>
        <v>0</v>
      </c>
      <c r="N927" s="1">
        <f>IF(aoc_02_input[[#This Row],[Pos1Valid]]&lt;&gt;aoc_02_input[[#This Row],[Pos2Valid]],1,0)</f>
        <v>0</v>
      </c>
    </row>
    <row r="928" spans="1:14" x14ac:dyDescent="0.45">
      <c r="A928" s="1" t="s">
        <v>657</v>
      </c>
      <c r="B928" s="1" t="s">
        <v>278</v>
      </c>
      <c r="C928" s="1" t="s">
        <v>1296</v>
      </c>
      <c r="D928" s="1">
        <f>FIND("-",aoc_02_input[[#This Row],[InputNumbers]])</f>
        <v>2</v>
      </c>
      <c r="E928" s="1">
        <f>_xlfn.NUMBERVALUE(LEFT(aoc_02_input[[#This Row],[InputNumbers]],aoc_02_input[[#This Row],[PosDash]]-1))</f>
        <v>2</v>
      </c>
      <c r="F928" s="1">
        <f>_xlfn.NUMBERVALUE(MID(aoc_02_input[[#This Row],[InputNumbers]],aoc_02_input[[#This Row],[PosDash]]+1,5))</f>
        <v>14</v>
      </c>
      <c r="G928" s="1" t="str">
        <f>LEFT(aoc_02_input[[#This Row],[InputChar]],1)</f>
        <v>x</v>
      </c>
      <c r="H928" s="1" cm="1">
        <f t="array" ref="H928">CountChar(aoc_02_input[[#This Row],[Password]],aoc_02_input[[#This Row],[Char]])</f>
        <v>10</v>
      </c>
      <c r="I928" s="1">
        <f>IF(AND(aoc_02_input[[#This Row],[Int1]]&lt;=aoc_02_input[[#This Row],[CountOfChar]],aoc_02_input[[#This Row],[CountOfChar]]&lt;=aoc_02_input[[#This Row],[Int2]]),1,0)</f>
        <v>1</v>
      </c>
      <c r="J928" s="1" t="str">
        <f>MID(aoc_02_input[[#This Row],[Password]],aoc_02_input[[#This Row],[Int1]],1)</f>
        <v>m</v>
      </c>
      <c r="K928" s="1">
        <f>IF(aoc_02_input[[#This Row],[Pos1]]=aoc_02_input[[#This Row],[Char]],1,0)</f>
        <v>0</v>
      </c>
      <c r="L928" s="1" t="str">
        <f>MID(aoc_02_input[[#This Row],[Password]],aoc_02_input[[#This Row],[Int2]],1)</f>
        <v>x</v>
      </c>
      <c r="M928" s="1">
        <f>IF(aoc_02_input[[#This Row],[Pos2]]=aoc_02_input[[#This Row],[Char]],1,0)</f>
        <v>1</v>
      </c>
      <c r="N928" s="1">
        <f>IF(aoc_02_input[[#This Row],[Pos1Valid]]&lt;&gt;aoc_02_input[[#This Row],[Pos2Valid]],1,0)</f>
        <v>1</v>
      </c>
    </row>
    <row r="929" spans="1:14" x14ac:dyDescent="0.45">
      <c r="A929" s="1" t="s">
        <v>1297</v>
      </c>
      <c r="B929" s="1" t="s">
        <v>254</v>
      </c>
      <c r="C929" s="1" t="s">
        <v>1298</v>
      </c>
      <c r="D929" s="1">
        <f>FIND("-",aoc_02_input[[#This Row],[InputNumbers]])</f>
        <v>2</v>
      </c>
      <c r="E929" s="1">
        <f>_xlfn.NUMBERVALUE(LEFT(aoc_02_input[[#This Row],[InputNumbers]],aoc_02_input[[#This Row],[PosDash]]-1))</f>
        <v>3</v>
      </c>
      <c r="F929" s="1">
        <f>_xlfn.NUMBERVALUE(MID(aoc_02_input[[#This Row],[InputNumbers]],aoc_02_input[[#This Row],[PosDash]]+1,5))</f>
        <v>12</v>
      </c>
      <c r="G929" s="1" t="str">
        <f>LEFT(aoc_02_input[[#This Row],[InputChar]],1)</f>
        <v>k</v>
      </c>
      <c r="H929" s="1" cm="1">
        <f t="array" ref="H929">CountChar(aoc_02_input[[#This Row],[Password]],aoc_02_input[[#This Row],[Char]])</f>
        <v>6</v>
      </c>
      <c r="I929" s="1">
        <f>IF(AND(aoc_02_input[[#This Row],[Int1]]&lt;=aoc_02_input[[#This Row],[CountOfChar]],aoc_02_input[[#This Row],[CountOfChar]]&lt;=aoc_02_input[[#This Row],[Int2]]),1,0)</f>
        <v>1</v>
      </c>
      <c r="J929" s="1" t="str">
        <f>MID(aoc_02_input[[#This Row],[Password]],aoc_02_input[[#This Row],[Int1]],1)</f>
        <v>f</v>
      </c>
      <c r="K929" s="1">
        <f>IF(aoc_02_input[[#This Row],[Pos1]]=aoc_02_input[[#This Row],[Char]],1,0)</f>
        <v>0</v>
      </c>
      <c r="L929" s="1" t="str">
        <f>MID(aoc_02_input[[#This Row],[Password]],aoc_02_input[[#This Row],[Int2]],1)</f>
        <v>w</v>
      </c>
      <c r="M929" s="1">
        <f>IF(aoc_02_input[[#This Row],[Pos2]]=aoc_02_input[[#This Row],[Char]],1,0)</f>
        <v>0</v>
      </c>
      <c r="N929" s="1">
        <f>IF(aoc_02_input[[#This Row],[Pos1Valid]]&lt;&gt;aoc_02_input[[#This Row],[Pos2Valid]],1,0)</f>
        <v>0</v>
      </c>
    </row>
    <row r="930" spans="1:14" x14ac:dyDescent="0.45">
      <c r="A930" s="1" t="s">
        <v>271</v>
      </c>
      <c r="B930" s="1" t="s">
        <v>249</v>
      </c>
      <c r="C930" s="1" t="s">
        <v>1299</v>
      </c>
      <c r="D930" s="1">
        <f>FIND("-",aoc_02_input[[#This Row],[InputNumbers]])</f>
        <v>2</v>
      </c>
      <c r="E930" s="1">
        <f>_xlfn.NUMBERVALUE(LEFT(aoc_02_input[[#This Row],[InputNumbers]],aoc_02_input[[#This Row],[PosDash]]-1))</f>
        <v>9</v>
      </c>
      <c r="F930" s="1">
        <f>_xlfn.NUMBERVALUE(MID(aoc_02_input[[#This Row],[InputNumbers]],aoc_02_input[[#This Row],[PosDash]]+1,5))</f>
        <v>10</v>
      </c>
      <c r="G930" s="1" t="str">
        <f>LEFT(aoc_02_input[[#This Row],[InputChar]],1)</f>
        <v>q</v>
      </c>
      <c r="H930" s="1" cm="1">
        <f t="array" ref="H930">CountChar(aoc_02_input[[#This Row],[Password]],aoc_02_input[[#This Row],[Char]])</f>
        <v>9</v>
      </c>
      <c r="I930" s="1">
        <f>IF(AND(aoc_02_input[[#This Row],[Int1]]&lt;=aoc_02_input[[#This Row],[CountOfChar]],aoc_02_input[[#This Row],[CountOfChar]]&lt;=aoc_02_input[[#This Row],[Int2]]),1,0)</f>
        <v>1</v>
      </c>
      <c r="J930" s="1" t="str">
        <f>MID(aoc_02_input[[#This Row],[Password]],aoc_02_input[[#This Row],[Int1]],1)</f>
        <v>q</v>
      </c>
      <c r="K930" s="1">
        <f>IF(aoc_02_input[[#This Row],[Pos1]]=aoc_02_input[[#This Row],[Char]],1,0)</f>
        <v>1</v>
      </c>
      <c r="L930" s="1" t="str">
        <f>MID(aoc_02_input[[#This Row],[Password]],aoc_02_input[[#This Row],[Int2]],1)</f>
        <v>q</v>
      </c>
      <c r="M930" s="1">
        <f>IF(aoc_02_input[[#This Row],[Pos2]]=aoc_02_input[[#This Row],[Char]],1,0)</f>
        <v>1</v>
      </c>
      <c r="N930" s="1">
        <f>IF(aoc_02_input[[#This Row],[Pos1Valid]]&lt;&gt;aoc_02_input[[#This Row],[Pos2Valid]],1,0)</f>
        <v>0</v>
      </c>
    </row>
    <row r="931" spans="1:14" x14ac:dyDescent="0.45">
      <c r="A931" s="1" t="s">
        <v>640</v>
      </c>
      <c r="B931" s="1" t="s">
        <v>278</v>
      </c>
      <c r="C931" s="1" t="s">
        <v>1300</v>
      </c>
      <c r="D931" s="1">
        <f>FIND("-",aoc_02_input[[#This Row],[InputNumbers]])</f>
        <v>3</v>
      </c>
      <c r="E931" s="1">
        <f>_xlfn.NUMBERVALUE(LEFT(aoc_02_input[[#This Row],[InputNumbers]],aoc_02_input[[#This Row],[PosDash]]-1))</f>
        <v>12</v>
      </c>
      <c r="F931" s="1">
        <f>_xlfn.NUMBERVALUE(MID(aoc_02_input[[#This Row],[InputNumbers]],aoc_02_input[[#This Row],[PosDash]]+1,5))</f>
        <v>15</v>
      </c>
      <c r="G931" s="1" t="str">
        <f>LEFT(aoc_02_input[[#This Row],[InputChar]],1)</f>
        <v>x</v>
      </c>
      <c r="H931" s="1" cm="1">
        <f t="array" ref="H931">CountChar(aoc_02_input[[#This Row],[Password]],aoc_02_input[[#This Row],[Char]])</f>
        <v>11</v>
      </c>
      <c r="I931" s="1">
        <f>IF(AND(aoc_02_input[[#This Row],[Int1]]&lt;=aoc_02_input[[#This Row],[CountOfChar]],aoc_02_input[[#This Row],[CountOfChar]]&lt;=aoc_02_input[[#This Row],[Int2]]),1,0)</f>
        <v>0</v>
      </c>
      <c r="J931" s="1" t="str">
        <f>MID(aoc_02_input[[#This Row],[Password]],aoc_02_input[[#This Row],[Int1]],1)</f>
        <v>g</v>
      </c>
      <c r="K931" s="1">
        <f>IF(aoc_02_input[[#This Row],[Pos1]]=aoc_02_input[[#This Row],[Char]],1,0)</f>
        <v>0</v>
      </c>
      <c r="L931" s="1" t="str">
        <f>MID(aoc_02_input[[#This Row],[Password]],aoc_02_input[[#This Row],[Int2]],1)</f>
        <v>x</v>
      </c>
      <c r="M931" s="1">
        <f>IF(aoc_02_input[[#This Row],[Pos2]]=aoc_02_input[[#This Row],[Char]],1,0)</f>
        <v>1</v>
      </c>
      <c r="N931" s="1">
        <f>IF(aoc_02_input[[#This Row],[Pos1Valid]]&lt;&gt;aoc_02_input[[#This Row],[Pos2Valid]],1,0)</f>
        <v>1</v>
      </c>
    </row>
    <row r="932" spans="1:14" x14ac:dyDescent="0.45">
      <c r="A932" s="1" t="s">
        <v>452</v>
      </c>
      <c r="B932" s="1" t="s">
        <v>210</v>
      </c>
      <c r="C932" s="1" t="s">
        <v>1301</v>
      </c>
      <c r="D932" s="1">
        <f>FIND("-",aoc_02_input[[#This Row],[InputNumbers]])</f>
        <v>3</v>
      </c>
      <c r="E932" s="1">
        <f>_xlfn.NUMBERVALUE(LEFT(aoc_02_input[[#This Row],[InputNumbers]],aoc_02_input[[#This Row],[PosDash]]-1))</f>
        <v>14</v>
      </c>
      <c r="F932" s="1">
        <f>_xlfn.NUMBERVALUE(MID(aoc_02_input[[#This Row],[InputNumbers]],aoc_02_input[[#This Row],[PosDash]]+1,5))</f>
        <v>15</v>
      </c>
      <c r="G932" s="1" t="str">
        <f>LEFT(aoc_02_input[[#This Row],[InputChar]],1)</f>
        <v>v</v>
      </c>
      <c r="H932" s="1" cm="1">
        <f t="array" ref="H932">CountChar(aoc_02_input[[#This Row],[Password]],aoc_02_input[[#This Row],[Char]])</f>
        <v>14</v>
      </c>
      <c r="I932" s="1">
        <f>IF(AND(aoc_02_input[[#This Row],[Int1]]&lt;=aoc_02_input[[#This Row],[CountOfChar]],aoc_02_input[[#This Row],[CountOfChar]]&lt;=aoc_02_input[[#This Row],[Int2]]),1,0)</f>
        <v>1</v>
      </c>
      <c r="J932" s="1" t="str">
        <f>MID(aoc_02_input[[#This Row],[Password]],aoc_02_input[[#This Row],[Int1]],1)</f>
        <v>v</v>
      </c>
      <c r="K932" s="1">
        <f>IF(aoc_02_input[[#This Row],[Pos1]]=aoc_02_input[[#This Row],[Char]],1,0)</f>
        <v>1</v>
      </c>
      <c r="L932" s="1" t="str">
        <f>MID(aoc_02_input[[#This Row],[Password]],aoc_02_input[[#This Row],[Int2]],1)</f>
        <v>x</v>
      </c>
      <c r="M932" s="1">
        <f>IF(aoc_02_input[[#This Row],[Pos2]]=aoc_02_input[[#This Row],[Char]],1,0)</f>
        <v>0</v>
      </c>
      <c r="N932" s="1">
        <f>IF(aoc_02_input[[#This Row],[Pos1Valid]]&lt;&gt;aoc_02_input[[#This Row],[Pos2Valid]],1,0)</f>
        <v>1</v>
      </c>
    </row>
    <row r="933" spans="1:14" x14ac:dyDescent="0.45">
      <c r="A933" s="1" t="s">
        <v>269</v>
      </c>
      <c r="B933" s="1" t="s">
        <v>265</v>
      </c>
      <c r="C933" s="1" t="s">
        <v>1302</v>
      </c>
      <c r="D933" s="1">
        <f>FIND("-",aoc_02_input[[#This Row],[InputNumbers]])</f>
        <v>2</v>
      </c>
      <c r="E933" s="1">
        <f>_xlfn.NUMBERVALUE(LEFT(aoc_02_input[[#This Row],[InputNumbers]],aoc_02_input[[#This Row],[PosDash]]-1))</f>
        <v>4</v>
      </c>
      <c r="F933" s="1">
        <f>_xlfn.NUMBERVALUE(MID(aoc_02_input[[#This Row],[InputNumbers]],aoc_02_input[[#This Row],[PosDash]]+1,5))</f>
        <v>9</v>
      </c>
      <c r="G933" s="1" t="str">
        <f>LEFT(aoc_02_input[[#This Row],[InputChar]],1)</f>
        <v>r</v>
      </c>
      <c r="H933" s="1" cm="1">
        <f t="array" ref="H933">CountChar(aoc_02_input[[#This Row],[Password]],aoc_02_input[[#This Row],[Char]])</f>
        <v>12</v>
      </c>
      <c r="I933" s="1">
        <f>IF(AND(aoc_02_input[[#This Row],[Int1]]&lt;=aoc_02_input[[#This Row],[CountOfChar]],aoc_02_input[[#This Row],[CountOfChar]]&lt;=aoc_02_input[[#This Row],[Int2]]),1,0)</f>
        <v>0</v>
      </c>
      <c r="J933" s="1" t="str">
        <f>MID(aoc_02_input[[#This Row],[Password]],aoc_02_input[[#This Row],[Int1]],1)</f>
        <v>r</v>
      </c>
      <c r="K933" s="1">
        <f>IF(aoc_02_input[[#This Row],[Pos1]]=aoc_02_input[[#This Row],[Char]],1,0)</f>
        <v>1</v>
      </c>
      <c r="L933" s="1" t="str">
        <f>MID(aoc_02_input[[#This Row],[Password]],aoc_02_input[[#This Row],[Int2]],1)</f>
        <v>r</v>
      </c>
      <c r="M933" s="1">
        <f>IF(aoc_02_input[[#This Row],[Pos2]]=aoc_02_input[[#This Row],[Char]],1,0)</f>
        <v>1</v>
      </c>
      <c r="N933" s="1">
        <f>IF(aoc_02_input[[#This Row],[Pos1Valid]]&lt;&gt;aoc_02_input[[#This Row],[Pos2Valid]],1,0)</f>
        <v>0</v>
      </c>
    </row>
    <row r="934" spans="1:14" x14ac:dyDescent="0.45">
      <c r="A934" s="1" t="s">
        <v>230</v>
      </c>
      <c r="B934" s="1" t="s">
        <v>210</v>
      </c>
      <c r="C934" s="1" t="s">
        <v>1303</v>
      </c>
      <c r="D934" s="1">
        <f>FIND("-",aoc_02_input[[#This Row],[InputNumbers]])</f>
        <v>2</v>
      </c>
      <c r="E934" s="1">
        <f>_xlfn.NUMBERVALUE(LEFT(aoc_02_input[[#This Row],[InputNumbers]],aoc_02_input[[#This Row],[PosDash]]-1))</f>
        <v>2</v>
      </c>
      <c r="F934" s="1">
        <f>_xlfn.NUMBERVALUE(MID(aoc_02_input[[#This Row],[InputNumbers]],aoc_02_input[[#This Row],[PosDash]]+1,5))</f>
        <v>4</v>
      </c>
      <c r="G934" s="1" t="str">
        <f>LEFT(aoc_02_input[[#This Row],[InputChar]],1)</f>
        <v>v</v>
      </c>
      <c r="H934" s="1" cm="1">
        <f t="array" ref="H934">CountChar(aoc_02_input[[#This Row],[Password]],aoc_02_input[[#This Row],[Char]])</f>
        <v>3</v>
      </c>
      <c r="I934" s="1">
        <f>IF(AND(aoc_02_input[[#This Row],[Int1]]&lt;=aoc_02_input[[#This Row],[CountOfChar]],aoc_02_input[[#This Row],[CountOfChar]]&lt;=aoc_02_input[[#This Row],[Int2]]),1,0)</f>
        <v>1</v>
      </c>
      <c r="J934" s="1" t="str">
        <f>MID(aoc_02_input[[#This Row],[Password]],aoc_02_input[[#This Row],[Int1]],1)</f>
        <v>v</v>
      </c>
      <c r="K934" s="1">
        <f>IF(aoc_02_input[[#This Row],[Pos1]]=aoc_02_input[[#This Row],[Char]],1,0)</f>
        <v>1</v>
      </c>
      <c r="L934" s="1" t="str">
        <f>MID(aoc_02_input[[#This Row],[Password]],aoc_02_input[[#This Row],[Int2]],1)</f>
        <v>x</v>
      </c>
      <c r="M934" s="1">
        <f>IF(aoc_02_input[[#This Row],[Pos2]]=aoc_02_input[[#This Row],[Char]],1,0)</f>
        <v>0</v>
      </c>
      <c r="N934" s="1">
        <f>IF(aoc_02_input[[#This Row],[Pos1Valid]]&lt;&gt;aoc_02_input[[#This Row],[Pos2Valid]],1,0)</f>
        <v>1</v>
      </c>
    </row>
    <row r="935" spans="1:14" x14ac:dyDescent="0.45">
      <c r="A935" s="1" t="s">
        <v>227</v>
      </c>
      <c r="B935" s="1" t="s">
        <v>225</v>
      </c>
      <c r="C935" s="1" t="s">
        <v>1304</v>
      </c>
      <c r="D935" s="1">
        <f>FIND("-",aoc_02_input[[#This Row],[InputNumbers]])</f>
        <v>2</v>
      </c>
      <c r="E935" s="1">
        <f>_xlfn.NUMBERVALUE(LEFT(aoc_02_input[[#This Row],[InputNumbers]],aoc_02_input[[#This Row],[PosDash]]-1))</f>
        <v>4</v>
      </c>
      <c r="F935" s="1">
        <f>_xlfn.NUMBERVALUE(MID(aoc_02_input[[#This Row],[InputNumbers]],aoc_02_input[[#This Row],[PosDash]]+1,5))</f>
        <v>5</v>
      </c>
      <c r="G935" s="1" t="str">
        <f>LEFT(aoc_02_input[[#This Row],[InputChar]],1)</f>
        <v>j</v>
      </c>
      <c r="H935" s="1" cm="1">
        <f t="array" ref="H935">CountChar(aoc_02_input[[#This Row],[Password]],aoc_02_input[[#This Row],[Char]])</f>
        <v>4</v>
      </c>
      <c r="I935" s="1">
        <f>IF(AND(aoc_02_input[[#This Row],[Int1]]&lt;=aoc_02_input[[#This Row],[CountOfChar]],aoc_02_input[[#This Row],[CountOfChar]]&lt;=aoc_02_input[[#This Row],[Int2]]),1,0)</f>
        <v>1</v>
      </c>
      <c r="J935" s="1" t="str">
        <f>MID(aoc_02_input[[#This Row],[Password]],aoc_02_input[[#This Row],[Int1]],1)</f>
        <v>j</v>
      </c>
      <c r="K935" s="1">
        <f>IF(aoc_02_input[[#This Row],[Pos1]]=aoc_02_input[[#This Row],[Char]],1,0)</f>
        <v>1</v>
      </c>
      <c r="L935" s="1" t="str">
        <f>MID(aoc_02_input[[#This Row],[Password]],aoc_02_input[[#This Row],[Int2]],1)</f>
        <v>c</v>
      </c>
      <c r="M935" s="1">
        <f>IF(aoc_02_input[[#This Row],[Pos2]]=aoc_02_input[[#This Row],[Char]],1,0)</f>
        <v>0</v>
      </c>
      <c r="N935" s="1">
        <f>IF(aoc_02_input[[#This Row],[Pos1Valid]]&lt;&gt;aoc_02_input[[#This Row],[Pos2Valid]],1,0)</f>
        <v>1</v>
      </c>
    </row>
    <row r="936" spans="1:14" x14ac:dyDescent="0.45">
      <c r="A936" s="1" t="s">
        <v>392</v>
      </c>
      <c r="B936" s="1" t="s">
        <v>295</v>
      </c>
      <c r="C936" s="1" t="s">
        <v>1305</v>
      </c>
      <c r="D936" s="1">
        <f>FIND("-",aoc_02_input[[#This Row],[InputNumbers]])</f>
        <v>2</v>
      </c>
      <c r="E936" s="1">
        <f>_xlfn.NUMBERVALUE(LEFT(aoc_02_input[[#This Row],[InputNumbers]],aoc_02_input[[#This Row],[PosDash]]-1))</f>
        <v>8</v>
      </c>
      <c r="F936" s="1">
        <f>_xlfn.NUMBERVALUE(MID(aoc_02_input[[#This Row],[InputNumbers]],aoc_02_input[[#This Row],[PosDash]]+1,5))</f>
        <v>9</v>
      </c>
      <c r="G936" s="1" t="str">
        <f>LEFT(aoc_02_input[[#This Row],[InputChar]],1)</f>
        <v>c</v>
      </c>
      <c r="H936" s="1" cm="1">
        <f t="array" ref="H936">CountChar(aoc_02_input[[#This Row],[Password]],aoc_02_input[[#This Row],[Char]])</f>
        <v>9</v>
      </c>
      <c r="I936" s="1">
        <f>IF(AND(aoc_02_input[[#This Row],[Int1]]&lt;=aoc_02_input[[#This Row],[CountOfChar]],aoc_02_input[[#This Row],[CountOfChar]]&lt;=aoc_02_input[[#This Row],[Int2]]),1,0)</f>
        <v>1</v>
      </c>
      <c r="J936" s="1" t="str">
        <f>MID(aoc_02_input[[#This Row],[Password]],aoc_02_input[[#This Row],[Int1]],1)</f>
        <v>c</v>
      </c>
      <c r="K936" s="1">
        <f>IF(aoc_02_input[[#This Row],[Pos1]]=aoc_02_input[[#This Row],[Char]],1,0)</f>
        <v>1</v>
      </c>
      <c r="L936" s="1" t="str">
        <f>MID(aoc_02_input[[#This Row],[Password]],aoc_02_input[[#This Row],[Int2]],1)</f>
        <v>c</v>
      </c>
      <c r="M936" s="1">
        <f>IF(aoc_02_input[[#This Row],[Pos2]]=aoc_02_input[[#This Row],[Char]],1,0)</f>
        <v>1</v>
      </c>
      <c r="N936" s="1">
        <f>IF(aoc_02_input[[#This Row],[Pos1Valid]]&lt;&gt;aoc_02_input[[#This Row],[Pos2Valid]],1,0)</f>
        <v>0</v>
      </c>
    </row>
    <row r="937" spans="1:14" x14ac:dyDescent="0.45">
      <c r="A937" s="1" t="s">
        <v>494</v>
      </c>
      <c r="B937" s="1" t="s">
        <v>228</v>
      </c>
      <c r="C937" s="1" t="s">
        <v>1306</v>
      </c>
      <c r="D937" s="1">
        <f>FIND("-",aoc_02_input[[#This Row],[InputNumbers]])</f>
        <v>2</v>
      </c>
      <c r="E937" s="1">
        <f>_xlfn.NUMBERVALUE(LEFT(aoc_02_input[[#This Row],[InputNumbers]],aoc_02_input[[#This Row],[PosDash]]-1))</f>
        <v>7</v>
      </c>
      <c r="F937" s="1">
        <f>_xlfn.NUMBERVALUE(MID(aoc_02_input[[#This Row],[InputNumbers]],aoc_02_input[[#This Row],[PosDash]]+1,5))</f>
        <v>10</v>
      </c>
      <c r="G937" s="1" t="str">
        <f>LEFT(aoc_02_input[[#This Row],[InputChar]],1)</f>
        <v>t</v>
      </c>
      <c r="H937" s="1" cm="1">
        <f t="array" ref="H937">CountChar(aoc_02_input[[#This Row],[Password]],aoc_02_input[[#This Row],[Char]])</f>
        <v>5</v>
      </c>
      <c r="I937" s="1">
        <f>IF(AND(aoc_02_input[[#This Row],[Int1]]&lt;=aoc_02_input[[#This Row],[CountOfChar]],aoc_02_input[[#This Row],[CountOfChar]]&lt;=aoc_02_input[[#This Row],[Int2]]),1,0)</f>
        <v>0</v>
      </c>
      <c r="J937" s="1" t="str">
        <f>MID(aoc_02_input[[#This Row],[Password]],aoc_02_input[[#This Row],[Int1]],1)</f>
        <v>t</v>
      </c>
      <c r="K937" s="1">
        <f>IF(aoc_02_input[[#This Row],[Pos1]]=aoc_02_input[[#This Row],[Char]],1,0)</f>
        <v>1</v>
      </c>
      <c r="L937" s="1" t="str">
        <f>MID(aoc_02_input[[#This Row],[Password]],aoc_02_input[[#This Row],[Int2]],1)</f>
        <v>h</v>
      </c>
      <c r="M937" s="1">
        <f>IF(aoc_02_input[[#This Row],[Pos2]]=aoc_02_input[[#This Row],[Char]],1,0)</f>
        <v>0</v>
      </c>
      <c r="N937" s="1">
        <f>IF(aoc_02_input[[#This Row],[Pos1Valid]]&lt;&gt;aoc_02_input[[#This Row],[Pos2Valid]],1,0)</f>
        <v>1</v>
      </c>
    </row>
    <row r="938" spans="1:14" x14ac:dyDescent="0.45">
      <c r="A938" s="1" t="s">
        <v>468</v>
      </c>
      <c r="B938" s="1" t="s">
        <v>243</v>
      </c>
      <c r="C938" s="1" t="s">
        <v>1307</v>
      </c>
      <c r="D938" s="1">
        <f>FIND("-",aoc_02_input[[#This Row],[InputNumbers]])</f>
        <v>3</v>
      </c>
      <c r="E938" s="1">
        <f>_xlfn.NUMBERVALUE(LEFT(aoc_02_input[[#This Row],[InputNumbers]],aoc_02_input[[#This Row],[PosDash]]-1))</f>
        <v>14</v>
      </c>
      <c r="F938" s="1">
        <f>_xlfn.NUMBERVALUE(MID(aoc_02_input[[#This Row],[InputNumbers]],aoc_02_input[[#This Row],[PosDash]]+1,5))</f>
        <v>16</v>
      </c>
      <c r="G938" s="1" t="str">
        <f>LEFT(aoc_02_input[[#This Row],[InputChar]],1)</f>
        <v>f</v>
      </c>
      <c r="H938" s="1" cm="1">
        <f t="array" ref="H938">CountChar(aoc_02_input[[#This Row],[Password]],aoc_02_input[[#This Row],[Char]])</f>
        <v>13</v>
      </c>
      <c r="I938" s="1">
        <f>IF(AND(aoc_02_input[[#This Row],[Int1]]&lt;=aoc_02_input[[#This Row],[CountOfChar]],aoc_02_input[[#This Row],[CountOfChar]]&lt;=aoc_02_input[[#This Row],[Int2]]),1,0)</f>
        <v>0</v>
      </c>
      <c r="J938" s="1" t="str">
        <f>MID(aoc_02_input[[#This Row],[Password]],aoc_02_input[[#This Row],[Int1]],1)</f>
        <v>g</v>
      </c>
      <c r="K938" s="1">
        <f>IF(aoc_02_input[[#This Row],[Pos1]]=aoc_02_input[[#This Row],[Char]],1,0)</f>
        <v>0</v>
      </c>
      <c r="L938" s="1" t="str">
        <f>MID(aoc_02_input[[#This Row],[Password]],aoc_02_input[[#This Row],[Int2]],1)</f>
        <v>f</v>
      </c>
      <c r="M938" s="1">
        <f>IF(aoc_02_input[[#This Row],[Pos2]]=aoc_02_input[[#This Row],[Char]],1,0)</f>
        <v>1</v>
      </c>
      <c r="N938" s="1">
        <f>IF(aoc_02_input[[#This Row],[Pos1Valid]]&lt;&gt;aoc_02_input[[#This Row],[Pos2Valid]],1,0)</f>
        <v>1</v>
      </c>
    </row>
    <row r="939" spans="1:14" x14ac:dyDescent="0.45">
      <c r="A939" s="1" t="s">
        <v>646</v>
      </c>
      <c r="B939" s="1" t="s">
        <v>216</v>
      </c>
      <c r="C939" s="1" t="s">
        <v>1308</v>
      </c>
      <c r="D939" s="1">
        <f>FIND("-",aoc_02_input[[#This Row],[InputNumbers]])</f>
        <v>3</v>
      </c>
      <c r="E939" s="1">
        <f>_xlfn.NUMBERVALUE(LEFT(aoc_02_input[[#This Row],[InputNumbers]],aoc_02_input[[#This Row],[PosDash]]-1))</f>
        <v>13</v>
      </c>
      <c r="F939" s="1">
        <f>_xlfn.NUMBERVALUE(MID(aoc_02_input[[#This Row],[InputNumbers]],aoc_02_input[[#This Row],[PosDash]]+1,5))</f>
        <v>16</v>
      </c>
      <c r="G939" s="1" t="str">
        <f>LEFT(aoc_02_input[[#This Row],[InputChar]],1)</f>
        <v>z</v>
      </c>
      <c r="H939" s="1" cm="1">
        <f t="array" ref="H939">CountChar(aoc_02_input[[#This Row],[Password]],aoc_02_input[[#This Row],[Char]])</f>
        <v>11</v>
      </c>
      <c r="I939" s="1">
        <f>IF(AND(aoc_02_input[[#This Row],[Int1]]&lt;=aoc_02_input[[#This Row],[CountOfChar]],aoc_02_input[[#This Row],[CountOfChar]]&lt;=aoc_02_input[[#This Row],[Int2]]),1,0)</f>
        <v>0</v>
      </c>
      <c r="J939" s="1" t="str">
        <f>MID(aoc_02_input[[#This Row],[Password]],aoc_02_input[[#This Row],[Int1]],1)</f>
        <v>m</v>
      </c>
      <c r="K939" s="1">
        <f>IF(aoc_02_input[[#This Row],[Pos1]]=aoc_02_input[[#This Row],[Char]],1,0)</f>
        <v>0</v>
      </c>
      <c r="L939" s="1" t="str">
        <f>MID(aoc_02_input[[#This Row],[Password]],aoc_02_input[[#This Row],[Int2]],1)</f>
        <v>n</v>
      </c>
      <c r="M939" s="1">
        <f>IF(aoc_02_input[[#This Row],[Pos2]]=aoc_02_input[[#This Row],[Char]],1,0)</f>
        <v>0</v>
      </c>
      <c r="N939" s="1">
        <f>IF(aoc_02_input[[#This Row],[Pos1Valid]]&lt;&gt;aoc_02_input[[#This Row],[Pos2Valid]],1,0)</f>
        <v>0</v>
      </c>
    </row>
    <row r="940" spans="1:14" x14ac:dyDescent="0.45">
      <c r="A940" s="1" t="s">
        <v>640</v>
      </c>
      <c r="B940" s="1" t="s">
        <v>254</v>
      </c>
      <c r="C940" s="1" t="s">
        <v>1309</v>
      </c>
      <c r="D940" s="1">
        <f>FIND("-",aoc_02_input[[#This Row],[InputNumbers]])</f>
        <v>3</v>
      </c>
      <c r="E940" s="1">
        <f>_xlfn.NUMBERVALUE(LEFT(aoc_02_input[[#This Row],[InputNumbers]],aoc_02_input[[#This Row],[PosDash]]-1))</f>
        <v>12</v>
      </c>
      <c r="F940" s="1">
        <f>_xlfn.NUMBERVALUE(MID(aoc_02_input[[#This Row],[InputNumbers]],aoc_02_input[[#This Row],[PosDash]]+1,5))</f>
        <v>15</v>
      </c>
      <c r="G940" s="1" t="str">
        <f>LEFT(aoc_02_input[[#This Row],[InputChar]],1)</f>
        <v>k</v>
      </c>
      <c r="H940" s="1" cm="1">
        <f t="array" ref="H940">CountChar(aoc_02_input[[#This Row],[Password]],aoc_02_input[[#This Row],[Char]])</f>
        <v>4</v>
      </c>
      <c r="I940" s="1">
        <f>IF(AND(aoc_02_input[[#This Row],[Int1]]&lt;=aoc_02_input[[#This Row],[CountOfChar]],aoc_02_input[[#This Row],[CountOfChar]]&lt;=aoc_02_input[[#This Row],[Int2]]),1,0)</f>
        <v>0</v>
      </c>
      <c r="J940" s="1" t="str">
        <f>MID(aoc_02_input[[#This Row],[Password]],aoc_02_input[[#This Row],[Int1]],1)</f>
        <v>d</v>
      </c>
      <c r="K940" s="1">
        <f>IF(aoc_02_input[[#This Row],[Pos1]]=aoc_02_input[[#This Row],[Char]],1,0)</f>
        <v>0</v>
      </c>
      <c r="L940" s="1" t="str">
        <f>MID(aoc_02_input[[#This Row],[Password]],aoc_02_input[[#This Row],[Int2]],1)</f>
        <v>s</v>
      </c>
      <c r="M940" s="1">
        <f>IF(aoc_02_input[[#This Row],[Pos2]]=aoc_02_input[[#This Row],[Char]],1,0)</f>
        <v>0</v>
      </c>
      <c r="N940" s="1">
        <f>IF(aoc_02_input[[#This Row],[Pos1Valid]]&lt;&gt;aoc_02_input[[#This Row],[Pos2Valid]],1,0)</f>
        <v>0</v>
      </c>
    </row>
    <row r="941" spans="1:14" x14ac:dyDescent="0.45">
      <c r="A941" s="1" t="s">
        <v>283</v>
      </c>
      <c r="B941" s="1" t="s">
        <v>305</v>
      </c>
      <c r="C941" s="1" t="s">
        <v>1310</v>
      </c>
      <c r="D941" s="1">
        <f>FIND("-",aoc_02_input[[#This Row],[InputNumbers]])</f>
        <v>2</v>
      </c>
      <c r="E941" s="1">
        <f>_xlfn.NUMBERVALUE(LEFT(aoc_02_input[[#This Row],[InputNumbers]],aoc_02_input[[#This Row],[PosDash]]-1))</f>
        <v>3</v>
      </c>
      <c r="F941" s="1">
        <f>_xlfn.NUMBERVALUE(MID(aoc_02_input[[#This Row],[InputNumbers]],aoc_02_input[[#This Row],[PosDash]]+1,5))</f>
        <v>4</v>
      </c>
      <c r="G941" s="1" t="str">
        <f>LEFT(aoc_02_input[[#This Row],[InputChar]],1)</f>
        <v>s</v>
      </c>
      <c r="H941" s="1" cm="1">
        <f t="array" ref="H941">CountChar(aoc_02_input[[#This Row],[Password]],aoc_02_input[[#This Row],[Char]])</f>
        <v>2</v>
      </c>
      <c r="I941" s="1">
        <f>IF(AND(aoc_02_input[[#This Row],[Int1]]&lt;=aoc_02_input[[#This Row],[CountOfChar]],aoc_02_input[[#This Row],[CountOfChar]]&lt;=aoc_02_input[[#This Row],[Int2]]),1,0)</f>
        <v>0</v>
      </c>
      <c r="J941" s="1" t="str">
        <f>MID(aoc_02_input[[#This Row],[Password]],aoc_02_input[[#This Row],[Int1]],1)</f>
        <v>k</v>
      </c>
      <c r="K941" s="1">
        <f>IF(aoc_02_input[[#This Row],[Pos1]]=aoc_02_input[[#This Row],[Char]],1,0)</f>
        <v>0</v>
      </c>
      <c r="L941" s="1" t="str">
        <f>MID(aoc_02_input[[#This Row],[Password]],aoc_02_input[[#This Row],[Int2]],1)</f>
        <v>b</v>
      </c>
      <c r="M941" s="1">
        <f>IF(aoc_02_input[[#This Row],[Pos2]]=aoc_02_input[[#This Row],[Char]],1,0)</f>
        <v>0</v>
      </c>
      <c r="N941" s="1">
        <f>IF(aoc_02_input[[#This Row],[Pos1Valid]]&lt;&gt;aoc_02_input[[#This Row],[Pos2Valid]],1,0)</f>
        <v>0</v>
      </c>
    </row>
    <row r="942" spans="1:14" x14ac:dyDescent="0.45">
      <c r="A942" s="1" t="s">
        <v>500</v>
      </c>
      <c r="B942" s="1" t="s">
        <v>219</v>
      </c>
      <c r="C942" s="1" t="s">
        <v>1311</v>
      </c>
      <c r="D942" s="1">
        <f>FIND("-",aoc_02_input[[#This Row],[InputNumbers]])</f>
        <v>3</v>
      </c>
      <c r="E942" s="1">
        <f>_xlfn.NUMBERVALUE(LEFT(aoc_02_input[[#This Row],[InputNumbers]],aoc_02_input[[#This Row],[PosDash]]-1))</f>
        <v>14</v>
      </c>
      <c r="F942" s="1">
        <f>_xlfn.NUMBERVALUE(MID(aoc_02_input[[#This Row],[InputNumbers]],aoc_02_input[[#This Row],[PosDash]]+1,5))</f>
        <v>17</v>
      </c>
      <c r="G942" s="1" t="str">
        <f>LEFT(aoc_02_input[[#This Row],[InputChar]],1)</f>
        <v>g</v>
      </c>
      <c r="H942" s="1" cm="1">
        <f t="array" ref="H942">CountChar(aoc_02_input[[#This Row],[Password]],aoc_02_input[[#This Row],[Char]])</f>
        <v>16</v>
      </c>
      <c r="I942" s="1">
        <f>IF(AND(aoc_02_input[[#This Row],[Int1]]&lt;=aoc_02_input[[#This Row],[CountOfChar]],aoc_02_input[[#This Row],[CountOfChar]]&lt;=aoc_02_input[[#This Row],[Int2]]),1,0)</f>
        <v>1</v>
      </c>
      <c r="J942" s="1" t="str">
        <f>MID(aoc_02_input[[#This Row],[Password]],aoc_02_input[[#This Row],[Int1]],1)</f>
        <v>g</v>
      </c>
      <c r="K942" s="1">
        <f>IF(aoc_02_input[[#This Row],[Pos1]]=aoc_02_input[[#This Row],[Char]],1,0)</f>
        <v>1</v>
      </c>
      <c r="L942" s="1" t="str">
        <f>MID(aoc_02_input[[#This Row],[Password]],aoc_02_input[[#This Row],[Int2]],1)</f>
        <v>s</v>
      </c>
      <c r="M942" s="1">
        <f>IF(aoc_02_input[[#This Row],[Pos2]]=aoc_02_input[[#This Row],[Char]],1,0)</f>
        <v>0</v>
      </c>
      <c r="N942" s="1">
        <f>IF(aoc_02_input[[#This Row],[Pos1Valid]]&lt;&gt;aoc_02_input[[#This Row],[Pos2Valid]],1,0)</f>
        <v>1</v>
      </c>
    </row>
    <row r="943" spans="1:14" x14ac:dyDescent="0.45">
      <c r="A943" s="1" t="s">
        <v>417</v>
      </c>
      <c r="B943" s="1" t="s">
        <v>265</v>
      </c>
      <c r="C943" s="1" t="s">
        <v>1312</v>
      </c>
      <c r="D943" s="1">
        <f>FIND("-",aoc_02_input[[#This Row],[InputNumbers]])</f>
        <v>3</v>
      </c>
      <c r="E943" s="1">
        <f>_xlfn.NUMBERVALUE(LEFT(aoc_02_input[[#This Row],[InputNumbers]],aoc_02_input[[#This Row],[PosDash]]-1))</f>
        <v>12</v>
      </c>
      <c r="F943" s="1">
        <f>_xlfn.NUMBERVALUE(MID(aoc_02_input[[#This Row],[InputNumbers]],aoc_02_input[[#This Row],[PosDash]]+1,5))</f>
        <v>13</v>
      </c>
      <c r="G943" s="1" t="str">
        <f>LEFT(aoc_02_input[[#This Row],[InputChar]],1)</f>
        <v>r</v>
      </c>
      <c r="H943" s="1" cm="1">
        <f t="array" ref="H943">CountChar(aoc_02_input[[#This Row],[Password]],aoc_02_input[[#This Row],[Char]])</f>
        <v>14</v>
      </c>
      <c r="I943" s="1">
        <f>IF(AND(aoc_02_input[[#This Row],[Int1]]&lt;=aoc_02_input[[#This Row],[CountOfChar]],aoc_02_input[[#This Row],[CountOfChar]]&lt;=aoc_02_input[[#This Row],[Int2]]),1,0)</f>
        <v>0</v>
      </c>
      <c r="J943" s="1" t="str">
        <f>MID(aoc_02_input[[#This Row],[Password]],aoc_02_input[[#This Row],[Int1]],1)</f>
        <v>r</v>
      </c>
      <c r="K943" s="1">
        <f>IF(aoc_02_input[[#This Row],[Pos1]]=aoc_02_input[[#This Row],[Char]],1,0)</f>
        <v>1</v>
      </c>
      <c r="L943" s="1" t="str">
        <f>MID(aoc_02_input[[#This Row],[Password]],aoc_02_input[[#This Row],[Int2]],1)</f>
        <v>r</v>
      </c>
      <c r="M943" s="1">
        <f>IF(aoc_02_input[[#This Row],[Pos2]]=aoc_02_input[[#This Row],[Char]],1,0)</f>
        <v>1</v>
      </c>
      <c r="N943" s="1">
        <f>IF(aoc_02_input[[#This Row],[Pos1Valid]]&lt;&gt;aoc_02_input[[#This Row],[Pos2Valid]],1,0)</f>
        <v>0</v>
      </c>
    </row>
    <row r="944" spans="1:14" x14ac:dyDescent="0.45">
      <c r="A944" s="1" t="s">
        <v>206</v>
      </c>
      <c r="B944" s="1" t="s">
        <v>222</v>
      </c>
      <c r="C944" s="1" t="s">
        <v>1313</v>
      </c>
      <c r="D944" s="1">
        <f>FIND("-",aoc_02_input[[#This Row],[InputNumbers]])</f>
        <v>2</v>
      </c>
      <c r="E944" s="1">
        <f>_xlfn.NUMBERVALUE(LEFT(aoc_02_input[[#This Row],[InputNumbers]],aoc_02_input[[#This Row],[PosDash]]-1))</f>
        <v>1</v>
      </c>
      <c r="F944" s="1">
        <f>_xlfn.NUMBERVALUE(MID(aoc_02_input[[#This Row],[InputNumbers]],aoc_02_input[[#This Row],[PosDash]]+1,5))</f>
        <v>14</v>
      </c>
      <c r="G944" s="1" t="str">
        <f>LEFT(aoc_02_input[[#This Row],[InputChar]],1)</f>
        <v>l</v>
      </c>
      <c r="H944" s="1" cm="1">
        <f t="array" ref="H944">CountChar(aoc_02_input[[#This Row],[Password]],aoc_02_input[[#This Row],[Char]])</f>
        <v>8</v>
      </c>
      <c r="I944" s="1">
        <f>IF(AND(aoc_02_input[[#This Row],[Int1]]&lt;=aoc_02_input[[#This Row],[CountOfChar]],aoc_02_input[[#This Row],[CountOfChar]]&lt;=aoc_02_input[[#This Row],[Int2]]),1,0)</f>
        <v>1</v>
      </c>
      <c r="J944" s="1" t="str">
        <f>MID(aoc_02_input[[#This Row],[Password]],aoc_02_input[[#This Row],[Int1]],1)</f>
        <v>j</v>
      </c>
      <c r="K944" s="1">
        <f>IF(aoc_02_input[[#This Row],[Pos1]]=aoc_02_input[[#This Row],[Char]],1,0)</f>
        <v>0</v>
      </c>
      <c r="L944" s="1" t="str">
        <f>MID(aoc_02_input[[#This Row],[Password]],aoc_02_input[[#This Row],[Int2]],1)</f>
        <v>l</v>
      </c>
      <c r="M944" s="1">
        <f>IF(aoc_02_input[[#This Row],[Pos2]]=aoc_02_input[[#This Row],[Char]],1,0)</f>
        <v>1</v>
      </c>
      <c r="N944" s="1">
        <f>IF(aoc_02_input[[#This Row],[Pos1Valid]]&lt;&gt;aoc_02_input[[#This Row],[Pos2Valid]],1,0)</f>
        <v>1</v>
      </c>
    </row>
    <row r="945" spans="1:14" x14ac:dyDescent="0.45">
      <c r="A945" s="1" t="s">
        <v>452</v>
      </c>
      <c r="B945" s="1" t="s">
        <v>238</v>
      </c>
      <c r="C945" s="1" t="s">
        <v>1314</v>
      </c>
      <c r="D945" s="1">
        <f>FIND("-",aoc_02_input[[#This Row],[InputNumbers]])</f>
        <v>3</v>
      </c>
      <c r="E945" s="1">
        <f>_xlfn.NUMBERVALUE(LEFT(aoc_02_input[[#This Row],[InputNumbers]],aoc_02_input[[#This Row],[PosDash]]-1))</f>
        <v>14</v>
      </c>
      <c r="F945" s="1">
        <f>_xlfn.NUMBERVALUE(MID(aoc_02_input[[#This Row],[InputNumbers]],aoc_02_input[[#This Row],[PosDash]]+1,5))</f>
        <v>15</v>
      </c>
      <c r="G945" s="1" t="str">
        <f>LEFT(aoc_02_input[[#This Row],[InputChar]],1)</f>
        <v>w</v>
      </c>
      <c r="H945" s="1" cm="1">
        <f t="array" ref="H945">CountChar(aoc_02_input[[#This Row],[Password]],aoc_02_input[[#This Row],[Char]])</f>
        <v>2</v>
      </c>
      <c r="I945" s="1">
        <f>IF(AND(aoc_02_input[[#This Row],[Int1]]&lt;=aoc_02_input[[#This Row],[CountOfChar]],aoc_02_input[[#This Row],[CountOfChar]]&lt;=aoc_02_input[[#This Row],[Int2]]),1,0)</f>
        <v>0</v>
      </c>
      <c r="J945" s="1" t="str">
        <f>MID(aoc_02_input[[#This Row],[Password]],aoc_02_input[[#This Row],[Int1]],1)</f>
        <v>m</v>
      </c>
      <c r="K945" s="1">
        <f>IF(aoc_02_input[[#This Row],[Pos1]]=aoc_02_input[[#This Row],[Char]],1,0)</f>
        <v>0</v>
      </c>
      <c r="L945" s="1" t="str">
        <f>MID(aoc_02_input[[#This Row],[Password]],aoc_02_input[[#This Row],[Int2]],1)</f>
        <v>c</v>
      </c>
      <c r="M945" s="1">
        <f>IF(aoc_02_input[[#This Row],[Pos2]]=aoc_02_input[[#This Row],[Char]],1,0)</f>
        <v>0</v>
      </c>
      <c r="N945" s="1">
        <f>IF(aoc_02_input[[#This Row],[Pos1Valid]]&lt;&gt;aoc_02_input[[#This Row],[Pos2Valid]],1,0)</f>
        <v>0</v>
      </c>
    </row>
    <row r="946" spans="1:14" x14ac:dyDescent="0.45">
      <c r="A946" s="1" t="s">
        <v>326</v>
      </c>
      <c r="B946" s="1" t="s">
        <v>222</v>
      </c>
      <c r="C946" s="1" t="s">
        <v>1315</v>
      </c>
      <c r="D946" s="1">
        <f>FIND("-",aoc_02_input[[#This Row],[InputNumbers]])</f>
        <v>3</v>
      </c>
      <c r="E946" s="1">
        <f>_xlfn.NUMBERVALUE(LEFT(aoc_02_input[[#This Row],[InputNumbers]],aoc_02_input[[#This Row],[PosDash]]-1))</f>
        <v>10</v>
      </c>
      <c r="F946" s="1">
        <f>_xlfn.NUMBERVALUE(MID(aoc_02_input[[#This Row],[InputNumbers]],aoc_02_input[[#This Row],[PosDash]]+1,5))</f>
        <v>12</v>
      </c>
      <c r="G946" s="1" t="str">
        <f>LEFT(aoc_02_input[[#This Row],[InputChar]],1)</f>
        <v>l</v>
      </c>
      <c r="H946" s="1" cm="1">
        <f t="array" ref="H946">CountChar(aoc_02_input[[#This Row],[Password]],aoc_02_input[[#This Row],[Char]])</f>
        <v>7</v>
      </c>
      <c r="I946" s="1">
        <f>IF(AND(aoc_02_input[[#This Row],[Int1]]&lt;=aoc_02_input[[#This Row],[CountOfChar]],aoc_02_input[[#This Row],[CountOfChar]]&lt;=aoc_02_input[[#This Row],[Int2]]),1,0)</f>
        <v>0</v>
      </c>
      <c r="J946" s="1" t="str">
        <f>MID(aoc_02_input[[#This Row],[Password]],aoc_02_input[[#This Row],[Int1]],1)</f>
        <v>l</v>
      </c>
      <c r="K946" s="1">
        <f>IF(aoc_02_input[[#This Row],[Pos1]]=aoc_02_input[[#This Row],[Char]],1,0)</f>
        <v>1</v>
      </c>
      <c r="L946" s="1" t="str">
        <f>MID(aoc_02_input[[#This Row],[Password]],aoc_02_input[[#This Row],[Int2]],1)</f>
        <v>w</v>
      </c>
      <c r="M946" s="1">
        <f>IF(aoc_02_input[[#This Row],[Pos2]]=aoc_02_input[[#This Row],[Char]],1,0)</f>
        <v>0</v>
      </c>
      <c r="N946" s="1">
        <f>IF(aoc_02_input[[#This Row],[Pos1Valid]]&lt;&gt;aoc_02_input[[#This Row],[Pos2Valid]],1,0)</f>
        <v>1</v>
      </c>
    </row>
    <row r="947" spans="1:14" x14ac:dyDescent="0.45">
      <c r="A947" s="1" t="s">
        <v>522</v>
      </c>
      <c r="B947" s="1" t="s">
        <v>252</v>
      </c>
      <c r="C947" s="1" t="s">
        <v>1316</v>
      </c>
      <c r="D947" s="1">
        <f>FIND("-",aoc_02_input[[#This Row],[InputNumbers]])</f>
        <v>2</v>
      </c>
      <c r="E947" s="1">
        <f>_xlfn.NUMBERVALUE(LEFT(aoc_02_input[[#This Row],[InputNumbers]],aoc_02_input[[#This Row],[PosDash]]-1))</f>
        <v>9</v>
      </c>
      <c r="F947" s="1">
        <f>_xlfn.NUMBERVALUE(MID(aoc_02_input[[#This Row],[InputNumbers]],aoc_02_input[[#This Row],[PosDash]]+1,5))</f>
        <v>17</v>
      </c>
      <c r="G947" s="1" t="str">
        <f>LEFT(aoc_02_input[[#This Row],[InputChar]],1)</f>
        <v>p</v>
      </c>
      <c r="H947" s="1" cm="1">
        <f t="array" ref="H947">CountChar(aoc_02_input[[#This Row],[Password]],aoc_02_input[[#This Row],[Char]])</f>
        <v>2</v>
      </c>
      <c r="I947" s="1">
        <f>IF(AND(aoc_02_input[[#This Row],[Int1]]&lt;=aoc_02_input[[#This Row],[CountOfChar]],aoc_02_input[[#This Row],[CountOfChar]]&lt;=aoc_02_input[[#This Row],[Int2]]),1,0)</f>
        <v>0</v>
      </c>
      <c r="J947" s="1" t="str">
        <f>MID(aoc_02_input[[#This Row],[Password]],aoc_02_input[[#This Row],[Int1]],1)</f>
        <v>q</v>
      </c>
      <c r="K947" s="1">
        <f>IF(aoc_02_input[[#This Row],[Pos1]]=aoc_02_input[[#This Row],[Char]],1,0)</f>
        <v>0</v>
      </c>
      <c r="L947" s="1" t="str">
        <f>MID(aoc_02_input[[#This Row],[Password]],aoc_02_input[[#This Row],[Int2]],1)</f>
        <v>p</v>
      </c>
      <c r="M947" s="1">
        <f>IF(aoc_02_input[[#This Row],[Pos2]]=aoc_02_input[[#This Row],[Char]],1,0)</f>
        <v>1</v>
      </c>
      <c r="N947" s="1">
        <f>IF(aoc_02_input[[#This Row],[Pos1Valid]]&lt;&gt;aoc_02_input[[#This Row],[Pos2Valid]],1,0)</f>
        <v>1</v>
      </c>
    </row>
    <row r="948" spans="1:14" x14ac:dyDescent="0.45">
      <c r="A948" s="1" t="s">
        <v>1297</v>
      </c>
      <c r="B948" s="1" t="s">
        <v>249</v>
      </c>
      <c r="C948" s="1" t="s">
        <v>1317</v>
      </c>
      <c r="D948" s="1">
        <f>FIND("-",aoc_02_input[[#This Row],[InputNumbers]])</f>
        <v>2</v>
      </c>
      <c r="E948" s="1">
        <f>_xlfn.NUMBERVALUE(LEFT(aoc_02_input[[#This Row],[InputNumbers]],aoc_02_input[[#This Row],[PosDash]]-1))</f>
        <v>3</v>
      </c>
      <c r="F948" s="1">
        <f>_xlfn.NUMBERVALUE(MID(aoc_02_input[[#This Row],[InputNumbers]],aoc_02_input[[#This Row],[PosDash]]+1,5))</f>
        <v>12</v>
      </c>
      <c r="G948" s="1" t="str">
        <f>LEFT(aoc_02_input[[#This Row],[InputChar]],1)</f>
        <v>q</v>
      </c>
      <c r="H948" s="1" cm="1">
        <f t="array" ref="H948">CountChar(aoc_02_input[[#This Row],[Password]],aoc_02_input[[#This Row],[Char]])</f>
        <v>1</v>
      </c>
      <c r="I948" s="1">
        <f>IF(AND(aoc_02_input[[#This Row],[Int1]]&lt;=aoc_02_input[[#This Row],[CountOfChar]],aoc_02_input[[#This Row],[CountOfChar]]&lt;=aoc_02_input[[#This Row],[Int2]]),1,0)</f>
        <v>0</v>
      </c>
      <c r="J948" s="1" t="str">
        <f>MID(aoc_02_input[[#This Row],[Password]],aoc_02_input[[#This Row],[Int1]],1)</f>
        <v>r</v>
      </c>
      <c r="K948" s="1">
        <f>IF(aoc_02_input[[#This Row],[Pos1]]=aoc_02_input[[#This Row],[Char]],1,0)</f>
        <v>0</v>
      </c>
      <c r="L948" s="1" t="str">
        <f>MID(aoc_02_input[[#This Row],[Password]],aoc_02_input[[#This Row],[Int2]],1)</f>
        <v>q</v>
      </c>
      <c r="M948" s="1">
        <f>IF(aoc_02_input[[#This Row],[Pos2]]=aoc_02_input[[#This Row],[Char]],1,0)</f>
        <v>1</v>
      </c>
      <c r="N948" s="1">
        <f>IF(aoc_02_input[[#This Row],[Pos1Valid]]&lt;&gt;aoc_02_input[[#This Row],[Pos2Valid]],1,0)</f>
        <v>1</v>
      </c>
    </row>
    <row r="949" spans="1:14" x14ac:dyDescent="0.45">
      <c r="A949" s="1" t="s">
        <v>361</v>
      </c>
      <c r="B949" s="1" t="s">
        <v>278</v>
      </c>
      <c r="C949" s="1" t="s">
        <v>1318</v>
      </c>
      <c r="D949" s="1">
        <f>FIND("-",aoc_02_input[[#This Row],[InputNumbers]])</f>
        <v>2</v>
      </c>
      <c r="E949" s="1">
        <f>_xlfn.NUMBERVALUE(LEFT(aoc_02_input[[#This Row],[InputNumbers]],aoc_02_input[[#This Row],[PosDash]]-1))</f>
        <v>2</v>
      </c>
      <c r="F949" s="1">
        <f>_xlfn.NUMBERVALUE(MID(aoc_02_input[[#This Row],[InputNumbers]],aoc_02_input[[#This Row],[PosDash]]+1,5))</f>
        <v>7</v>
      </c>
      <c r="G949" s="1" t="str">
        <f>LEFT(aoc_02_input[[#This Row],[InputChar]],1)</f>
        <v>x</v>
      </c>
      <c r="H949" s="1" cm="1">
        <f t="array" ref="H949">CountChar(aoc_02_input[[#This Row],[Password]],aoc_02_input[[#This Row],[Char]])</f>
        <v>7</v>
      </c>
      <c r="I949" s="1">
        <f>IF(AND(aoc_02_input[[#This Row],[Int1]]&lt;=aoc_02_input[[#This Row],[CountOfChar]],aoc_02_input[[#This Row],[CountOfChar]]&lt;=aoc_02_input[[#This Row],[Int2]]),1,0)</f>
        <v>1</v>
      </c>
      <c r="J949" s="1" t="str">
        <f>MID(aoc_02_input[[#This Row],[Password]],aoc_02_input[[#This Row],[Int1]],1)</f>
        <v>x</v>
      </c>
      <c r="K949" s="1">
        <f>IF(aoc_02_input[[#This Row],[Pos1]]=aoc_02_input[[#This Row],[Char]],1,0)</f>
        <v>1</v>
      </c>
      <c r="L949" s="1" t="str">
        <f>MID(aoc_02_input[[#This Row],[Password]],aoc_02_input[[#This Row],[Int2]],1)</f>
        <v>b</v>
      </c>
      <c r="M949" s="1">
        <f>IF(aoc_02_input[[#This Row],[Pos2]]=aoc_02_input[[#This Row],[Char]],1,0)</f>
        <v>0</v>
      </c>
      <c r="N949" s="1">
        <f>IF(aoc_02_input[[#This Row],[Pos1Valid]]&lt;&gt;aoc_02_input[[#This Row],[Pos2Valid]],1,0)</f>
        <v>1</v>
      </c>
    </row>
    <row r="950" spans="1:14" x14ac:dyDescent="0.45">
      <c r="A950" s="1" t="s">
        <v>365</v>
      </c>
      <c r="B950" s="1" t="s">
        <v>278</v>
      </c>
      <c r="C950" s="1" t="s">
        <v>1319</v>
      </c>
      <c r="D950" s="1">
        <f>FIND("-",aoc_02_input[[#This Row],[InputNumbers]])</f>
        <v>2</v>
      </c>
      <c r="E950" s="1">
        <f>_xlfn.NUMBERVALUE(LEFT(aoc_02_input[[#This Row],[InputNumbers]],aoc_02_input[[#This Row],[PosDash]]-1))</f>
        <v>6</v>
      </c>
      <c r="F950" s="1">
        <f>_xlfn.NUMBERVALUE(MID(aoc_02_input[[#This Row],[InputNumbers]],aoc_02_input[[#This Row],[PosDash]]+1,5))</f>
        <v>9</v>
      </c>
      <c r="G950" s="1" t="str">
        <f>LEFT(aoc_02_input[[#This Row],[InputChar]],1)</f>
        <v>x</v>
      </c>
      <c r="H950" s="1" cm="1">
        <f t="array" ref="H950">CountChar(aoc_02_input[[#This Row],[Password]],aoc_02_input[[#This Row],[Char]])</f>
        <v>5</v>
      </c>
      <c r="I950" s="1">
        <f>IF(AND(aoc_02_input[[#This Row],[Int1]]&lt;=aoc_02_input[[#This Row],[CountOfChar]],aoc_02_input[[#This Row],[CountOfChar]]&lt;=aoc_02_input[[#This Row],[Int2]]),1,0)</f>
        <v>0</v>
      </c>
      <c r="J950" s="1" t="str">
        <f>MID(aoc_02_input[[#This Row],[Password]],aoc_02_input[[#This Row],[Int1]],1)</f>
        <v>b</v>
      </c>
      <c r="K950" s="1">
        <f>IF(aoc_02_input[[#This Row],[Pos1]]=aoc_02_input[[#This Row],[Char]],1,0)</f>
        <v>0</v>
      </c>
      <c r="L950" s="1" t="str">
        <f>MID(aoc_02_input[[#This Row],[Password]],aoc_02_input[[#This Row],[Int2]],1)</f>
        <v>q</v>
      </c>
      <c r="M950" s="1">
        <f>IF(aoc_02_input[[#This Row],[Pos2]]=aoc_02_input[[#This Row],[Char]],1,0)</f>
        <v>0</v>
      </c>
      <c r="N950" s="1">
        <f>IF(aoc_02_input[[#This Row],[Pos1Valid]]&lt;&gt;aoc_02_input[[#This Row],[Pos2Valid]],1,0)</f>
        <v>0</v>
      </c>
    </row>
    <row r="951" spans="1:14" x14ac:dyDescent="0.45">
      <c r="A951" s="1" t="s">
        <v>294</v>
      </c>
      <c r="B951" s="1" t="s">
        <v>254</v>
      </c>
      <c r="C951" s="1" t="s">
        <v>1320</v>
      </c>
      <c r="D951" s="1">
        <f>FIND("-",aoc_02_input[[#This Row],[InputNumbers]])</f>
        <v>2</v>
      </c>
      <c r="E951" s="1">
        <f>_xlfn.NUMBERVALUE(LEFT(aoc_02_input[[#This Row],[InputNumbers]],aoc_02_input[[#This Row],[PosDash]]-1))</f>
        <v>7</v>
      </c>
      <c r="F951" s="1">
        <f>_xlfn.NUMBERVALUE(MID(aoc_02_input[[#This Row],[InputNumbers]],aoc_02_input[[#This Row],[PosDash]]+1,5))</f>
        <v>11</v>
      </c>
      <c r="G951" s="1" t="str">
        <f>LEFT(aoc_02_input[[#This Row],[InputChar]],1)</f>
        <v>k</v>
      </c>
      <c r="H951" s="1" cm="1">
        <f t="array" ref="H951">CountChar(aoc_02_input[[#This Row],[Password]],aoc_02_input[[#This Row],[Char]])</f>
        <v>9</v>
      </c>
      <c r="I951" s="1">
        <f>IF(AND(aoc_02_input[[#This Row],[Int1]]&lt;=aoc_02_input[[#This Row],[CountOfChar]],aoc_02_input[[#This Row],[CountOfChar]]&lt;=aoc_02_input[[#This Row],[Int2]]),1,0)</f>
        <v>1</v>
      </c>
      <c r="J951" s="1" t="str">
        <f>MID(aoc_02_input[[#This Row],[Password]],aoc_02_input[[#This Row],[Int1]],1)</f>
        <v>b</v>
      </c>
      <c r="K951" s="1">
        <f>IF(aoc_02_input[[#This Row],[Pos1]]=aoc_02_input[[#This Row],[Char]],1,0)</f>
        <v>0</v>
      </c>
      <c r="L951" s="1" t="str">
        <f>MID(aoc_02_input[[#This Row],[Password]],aoc_02_input[[#This Row],[Int2]],1)</f>
        <v>s</v>
      </c>
      <c r="M951" s="1">
        <f>IF(aoc_02_input[[#This Row],[Pos2]]=aoc_02_input[[#This Row],[Char]],1,0)</f>
        <v>0</v>
      </c>
      <c r="N951" s="1">
        <f>IF(aoc_02_input[[#This Row],[Pos1Valid]]&lt;&gt;aoc_02_input[[#This Row],[Pos2Valid]],1,0)</f>
        <v>0</v>
      </c>
    </row>
    <row r="952" spans="1:14" x14ac:dyDescent="0.45">
      <c r="A952" s="1" t="s">
        <v>283</v>
      </c>
      <c r="B952" s="1" t="s">
        <v>252</v>
      </c>
      <c r="C952" s="1" t="s">
        <v>1321</v>
      </c>
      <c r="D952" s="1">
        <f>FIND("-",aoc_02_input[[#This Row],[InputNumbers]])</f>
        <v>2</v>
      </c>
      <c r="E952" s="1">
        <f>_xlfn.NUMBERVALUE(LEFT(aoc_02_input[[#This Row],[InputNumbers]],aoc_02_input[[#This Row],[PosDash]]-1))</f>
        <v>3</v>
      </c>
      <c r="F952" s="1">
        <f>_xlfn.NUMBERVALUE(MID(aoc_02_input[[#This Row],[InputNumbers]],aoc_02_input[[#This Row],[PosDash]]+1,5))</f>
        <v>4</v>
      </c>
      <c r="G952" s="1" t="str">
        <f>LEFT(aoc_02_input[[#This Row],[InputChar]],1)</f>
        <v>p</v>
      </c>
      <c r="H952" s="1" cm="1">
        <f t="array" ref="H952">CountChar(aoc_02_input[[#This Row],[Password]],aoc_02_input[[#This Row],[Char]])</f>
        <v>3</v>
      </c>
      <c r="I952" s="1">
        <f>IF(AND(aoc_02_input[[#This Row],[Int1]]&lt;=aoc_02_input[[#This Row],[CountOfChar]],aoc_02_input[[#This Row],[CountOfChar]]&lt;=aoc_02_input[[#This Row],[Int2]]),1,0)</f>
        <v>1</v>
      </c>
      <c r="J952" s="1" t="str">
        <f>MID(aoc_02_input[[#This Row],[Password]],aoc_02_input[[#This Row],[Int1]],1)</f>
        <v>p</v>
      </c>
      <c r="K952" s="1">
        <f>IF(aoc_02_input[[#This Row],[Pos1]]=aoc_02_input[[#This Row],[Char]],1,0)</f>
        <v>1</v>
      </c>
      <c r="L952" s="1" t="str">
        <f>MID(aoc_02_input[[#This Row],[Password]],aoc_02_input[[#This Row],[Int2]],1)</f>
        <v>t</v>
      </c>
      <c r="M952" s="1">
        <f>IF(aoc_02_input[[#This Row],[Pos2]]=aoc_02_input[[#This Row],[Char]],1,0)</f>
        <v>0</v>
      </c>
      <c r="N952" s="1">
        <f>IF(aoc_02_input[[#This Row],[Pos1Valid]]&lt;&gt;aoc_02_input[[#This Row],[Pos2Valid]],1,0)</f>
        <v>1</v>
      </c>
    </row>
    <row r="953" spans="1:14" x14ac:dyDescent="0.45">
      <c r="A953" s="1" t="s">
        <v>307</v>
      </c>
      <c r="B953" s="1" t="s">
        <v>216</v>
      </c>
      <c r="C953" s="1" t="s">
        <v>1322</v>
      </c>
      <c r="D953" s="1">
        <f>FIND("-",aoc_02_input[[#This Row],[InputNumbers]])</f>
        <v>2</v>
      </c>
      <c r="E953" s="1">
        <f>_xlfn.NUMBERVALUE(LEFT(aoc_02_input[[#This Row],[InputNumbers]],aoc_02_input[[#This Row],[PosDash]]-1))</f>
        <v>3</v>
      </c>
      <c r="F953" s="1">
        <f>_xlfn.NUMBERVALUE(MID(aoc_02_input[[#This Row],[InputNumbers]],aoc_02_input[[#This Row],[PosDash]]+1,5))</f>
        <v>5</v>
      </c>
      <c r="G953" s="1" t="str">
        <f>LEFT(aoc_02_input[[#This Row],[InputChar]],1)</f>
        <v>z</v>
      </c>
      <c r="H953" s="1" cm="1">
        <f t="array" ref="H953">CountChar(aoc_02_input[[#This Row],[Password]],aoc_02_input[[#This Row],[Char]])</f>
        <v>1</v>
      </c>
      <c r="I953" s="1">
        <f>IF(AND(aoc_02_input[[#This Row],[Int1]]&lt;=aoc_02_input[[#This Row],[CountOfChar]],aoc_02_input[[#This Row],[CountOfChar]]&lt;=aoc_02_input[[#This Row],[Int2]]),1,0)</f>
        <v>0</v>
      </c>
      <c r="J953" s="1" t="str">
        <f>MID(aoc_02_input[[#This Row],[Password]],aoc_02_input[[#This Row],[Int1]],1)</f>
        <v>d</v>
      </c>
      <c r="K953" s="1">
        <f>IF(aoc_02_input[[#This Row],[Pos1]]=aoc_02_input[[#This Row],[Char]],1,0)</f>
        <v>0</v>
      </c>
      <c r="L953" s="1" t="str">
        <f>MID(aoc_02_input[[#This Row],[Password]],aoc_02_input[[#This Row],[Int2]],1)</f>
        <v>m</v>
      </c>
      <c r="M953" s="1">
        <f>IF(aoc_02_input[[#This Row],[Pos2]]=aoc_02_input[[#This Row],[Char]],1,0)</f>
        <v>0</v>
      </c>
      <c r="N953" s="1">
        <f>IF(aoc_02_input[[#This Row],[Pos1Valid]]&lt;&gt;aoc_02_input[[#This Row],[Pos2Valid]],1,0)</f>
        <v>0</v>
      </c>
    </row>
    <row r="954" spans="1:14" x14ac:dyDescent="0.45">
      <c r="A954" s="1" t="s">
        <v>555</v>
      </c>
      <c r="B954" s="1" t="s">
        <v>254</v>
      </c>
      <c r="C954" s="1" t="s">
        <v>1323</v>
      </c>
      <c r="D954" s="1">
        <f>FIND("-",aoc_02_input[[#This Row],[InputNumbers]])</f>
        <v>2</v>
      </c>
      <c r="E954" s="1">
        <f>_xlfn.NUMBERVALUE(LEFT(aoc_02_input[[#This Row],[InputNumbers]],aoc_02_input[[#This Row],[PosDash]]-1))</f>
        <v>1</v>
      </c>
      <c r="F954" s="1">
        <f>_xlfn.NUMBERVALUE(MID(aoc_02_input[[#This Row],[InputNumbers]],aoc_02_input[[#This Row],[PosDash]]+1,5))</f>
        <v>10</v>
      </c>
      <c r="G954" s="1" t="str">
        <f>LEFT(aoc_02_input[[#This Row],[InputChar]],1)</f>
        <v>k</v>
      </c>
      <c r="H954" s="1" cm="1">
        <f t="array" ref="H954">CountChar(aoc_02_input[[#This Row],[Password]],aoc_02_input[[#This Row],[Char]])</f>
        <v>0</v>
      </c>
      <c r="I954" s="1">
        <f>IF(AND(aoc_02_input[[#This Row],[Int1]]&lt;=aoc_02_input[[#This Row],[CountOfChar]],aoc_02_input[[#This Row],[CountOfChar]]&lt;=aoc_02_input[[#This Row],[Int2]]),1,0)</f>
        <v>0</v>
      </c>
      <c r="J954" s="1" t="str">
        <f>MID(aoc_02_input[[#This Row],[Password]],aoc_02_input[[#This Row],[Int1]],1)</f>
        <v>t</v>
      </c>
      <c r="K954" s="1">
        <f>IF(aoc_02_input[[#This Row],[Pos1]]=aoc_02_input[[#This Row],[Char]],1,0)</f>
        <v>0</v>
      </c>
      <c r="L954" s="1" t="str">
        <f>MID(aoc_02_input[[#This Row],[Password]],aoc_02_input[[#This Row],[Int2]],1)</f>
        <v>z</v>
      </c>
      <c r="M954" s="1">
        <f>IF(aoc_02_input[[#This Row],[Pos2]]=aoc_02_input[[#This Row],[Char]],1,0)</f>
        <v>0</v>
      </c>
      <c r="N954" s="1">
        <f>IF(aoc_02_input[[#This Row],[Pos1Valid]]&lt;&gt;aoc_02_input[[#This Row],[Pos2Valid]],1,0)</f>
        <v>0</v>
      </c>
    </row>
    <row r="955" spans="1:14" x14ac:dyDescent="0.45">
      <c r="A955" s="1" t="s">
        <v>616</v>
      </c>
      <c r="B955" s="1" t="s">
        <v>216</v>
      </c>
      <c r="C955" s="1" t="s">
        <v>1324</v>
      </c>
      <c r="D955" s="1">
        <f>FIND("-",aoc_02_input[[#This Row],[InputNumbers]])</f>
        <v>2</v>
      </c>
      <c r="E955" s="1">
        <f>_xlfn.NUMBERVALUE(LEFT(aoc_02_input[[#This Row],[InputNumbers]],aoc_02_input[[#This Row],[PosDash]]-1))</f>
        <v>8</v>
      </c>
      <c r="F955" s="1">
        <f>_xlfn.NUMBERVALUE(MID(aoc_02_input[[#This Row],[InputNumbers]],aoc_02_input[[#This Row],[PosDash]]+1,5))</f>
        <v>12</v>
      </c>
      <c r="G955" s="1" t="str">
        <f>LEFT(aoc_02_input[[#This Row],[InputChar]],1)</f>
        <v>z</v>
      </c>
      <c r="H955" s="1" cm="1">
        <f t="array" ref="H955">CountChar(aoc_02_input[[#This Row],[Password]],aoc_02_input[[#This Row],[Char]])</f>
        <v>8</v>
      </c>
      <c r="I955" s="1">
        <f>IF(AND(aoc_02_input[[#This Row],[Int1]]&lt;=aoc_02_input[[#This Row],[CountOfChar]],aoc_02_input[[#This Row],[CountOfChar]]&lt;=aoc_02_input[[#This Row],[Int2]]),1,0)</f>
        <v>1</v>
      </c>
      <c r="J955" s="1" t="str">
        <f>MID(aoc_02_input[[#This Row],[Password]],aoc_02_input[[#This Row],[Int1]],1)</f>
        <v>x</v>
      </c>
      <c r="K955" s="1">
        <f>IF(aoc_02_input[[#This Row],[Pos1]]=aoc_02_input[[#This Row],[Char]],1,0)</f>
        <v>0</v>
      </c>
      <c r="L955" s="1" t="str">
        <f>MID(aoc_02_input[[#This Row],[Password]],aoc_02_input[[#This Row],[Int2]],1)</f>
        <v>z</v>
      </c>
      <c r="M955" s="1">
        <f>IF(aoc_02_input[[#This Row],[Pos2]]=aoc_02_input[[#This Row],[Char]],1,0)</f>
        <v>1</v>
      </c>
      <c r="N955" s="1">
        <f>IF(aoc_02_input[[#This Row],[Pos1Valid]]&lt;&gt;aoc_02_input[[#This Row],[Pos2Valid]],1,0)</f>
        <v>1</v>
      </c>
    </row>
    <row r="956" spans="1:14" x14ac:dyDescent="0.45">
      <c r="A956" s="1" t="s">
        <v>489</v>
      </c>
      <c r="B956" s="1" t="s">
        <v>213</v>
      </c>
      <c r="C956" s="1" t="s">
        <v>1325</v>
      </c>
      <c r="D956" s="1">
        <f>FIND("-",aoc_02_input[[#This Row],[InputNumbers]])</f>
        <v>2</v>
      </c>
      <c r="E956" s="1">
        <f>_xlfn.NUMBERVALUE(LEFT(aoc_02_input[[#This Row],[InputNumbers]],aoc_02_input[[#This Row],[PosDash]]-1))</f>
        <v>3</v>
      </c>
      <c r="F956" s="1">
        <f>_xlfn.NUMBERVALUE(MID(aoc_02_input[[#This Row],[InputNumbers]],aoc_02_input[[#This Row],[PosDash]]+1,5))</f>
        <v>11</v>
      </c>
      <c r="G956" s="1" t="str">
        <f>LEFT(aoc_02_input[[#This Row],[InputChar]],1)</f>
        <v>m</v>
      </c>
      <c r="H956" s="1" cm="1">
        <f t="array" ref="H956">CountChar(aoc_02_input[[#This Row],[Password]],aoc_02_input[[#This Row],[Char]])</f>
        <v>11</v>
      </c>
      <c r="I956" s="1">
        <f>IF(AND(aoc_02_input[[#This Row],[Int1]]&lt;=aoc_02_input[[#This Row],[CountOfChar]],aoc_02_input[[#This Row],[CountOfChar]]&lt;=aoc_02_input[[#This Row],[Int2]]),1,0)</f>
        <v>1</v>
      </c>
      <c r="J956" s="1" t="str">
        <f>MID(aoc_02_input[[#This Row],[Password]],aoc_02_input[[#This Row],[Int1]],1)</f>
        <v>n</v>
      </c>
      <c r="K956" s="1">
        <f>IF(aoc_02_input[[#This Row],[Pos1]]=aoc_02_input[[#This Row],[Char]],1,0)</f>
        <v>0</v>
      </c>
      <c r="L956" s="1" t="str">
        <f>MID(aoc_02_input[[#This Row],[Password]],aoc_02_input[[#This Row],[Int2]],1)</f>
        <v>k</v>
      </c>
      <c r="M956" s="1">
        <f>IF(aoc_02_input[[#This Row],[Pos2]]=aoc_02_input[[#This Row],[Char]],1,0)</f>
        <v>0</v>
      </c>
      <c r="N956" s="1">
        <f>IF(aoc_02_input[[#This Row],[Pos1Valid]]&lt;&gt;aoc_02_input[[#This Row],[Pos2Valid]],1,0)</f>
        <v>0</v>
      </c>
    </row>
    <row r="957" spans="1:14" x14ac:dyDescent="0.45">
      <c r="A957" s="1" t="s">
        <v>307</v>
      </c>
      <c r="B957" s="1" t="s">
        <v>216</v>
      </c>
      <c r="C957" s="1" t="s">
        <v>1326</v>
      </c>
      <c r="D957" s="1">
        <f>FIND("-",aoc_02_input[[#This Row],[InputNumbers]])</f>
        <v>2</v>
      </c>
      <c r="E957" s="1">
        <f>_xlfn.NUMBERVALUE(LEFT(aoc_02_input[[#This Row],[InputNumbers]],aoc_02_input[[#This Row],[PosDash]]-1))</f>
        <v>3</v>
      </c>
      <c r="F957" s="1">
        <f>_xlfn.NUMBERVALUE(MID(aoc_02_input[[#This Row],[InputNumbers]],aoc_02_input[[#This Row],[PosDash]]+1,5))</f>
        <v>5</v>
      </c>
      <c r="G957" s="1" t="str">
        <f>LEFT(aoc_02_input[[#This Row],[InputChar]],1)</f>
        <v>z</v>
      </c>
      <c r="H957" s="1" cm="1">
        <f t="array" ref="H957">CountChar(aoc_02_input[[#This Row],[Password]],aoc_02_input[[#This Row],[Char]])</f>
        <v>4</v>
      </c>
      <c r="I957" s="1">
        <f>IF(AND(aoc_02_input[[#This Row],[Int1]]&lt;=aoc_02_input[[#This Row],[CountOfChar]],aoc_02_input[[#This Row],[CountOfChar]]&lt;=aoc_02_input[[#This Row],[Int2]]),1,0)</f>
        <v>1</v>
      </c>
      <c r="J957" s="1" t="str">
        <f>MID(aoc_02_input[[#This Row],[Password]],aoc_02_input[[#This Row],[Int1]],1)</f>
        <v>r</v>
      </c>
      <c r="K957" s="1">
        <f>IF(aoc_02_input[[#This Row],[Pos1]]=aoc_02_input[[#This Row],[Char]],1,0)</f>
        <v>0</v>
      </c>
      <c r="L957" s="1" t="str">
        <f>MID(aoc_02_input[[#This Row],[Password]],aoc_02_input[[#This Row],[Int2]],1)</f>
        <v>z</v>
      </c>
      <c r="M957" s="1">
        <f>IF(aoc_02_input[[#This Row],[Pos2]]=aoc_02_input[[#This Row],[Char]],1,0)</f>
        <v>1</v>
      </c>
      <c r="N957" s="1">
        <f>IF(aoc_02_input[[#This Row],[Pos1Valid]]&lt;&gt;aoc_02_input[[#This Row],[Pos2Valid]],1,0)</f>
        <v>1</v>
      </c>
    </row>
    <row r="958" spans="1:14" x14ac:dyDescent="0.45">
      <c r="A958" s="1" t="s">
        <v>299</v>
      </c>
      <c r="B958" s="1" t="s">
        <v>228</v>
      </c>
      <c r="C958" s="1" t="s">
        <v>1327</v>
      </c>
      <c r="D958" s="1">
        <f>FIND("-",aoc_02_input[[#This Row],[InputNumbers]])</f>
        <v>2</v>
      </c>
      <c r="E958" s="1">
        <f>_xlfn.NUMBERVALUE(LEFT(aoc_02_input[[#This Row],[InputNumbers]],aoc_02_input[[#This Row],[PosDash]]-1))</f>
        <v>1</v>
      </c>
      <c r="F958" s="1">
        <f>_xlfn.NUMBERVALUE(MID(aoc_02_input[[#This Row],[InputNumbers]],aoc_02_input[[#This Row],[PosDash]]+1,5))</f>
        <v>2</v>
      </c>
      <c r="G958" s="1" t="str">
        <f>LEFT(aoc_02_input[[#This Row],[InputChar]],1)</f>
        <v>t</v>
      </c>
      <c r="H958" s="1" cm="1">
        <f t="array" ref="H958">CountChar(aoc_02_input[[#This Row],[Password]],aoc_02_input[[#This Row],[Char]])</f>
        <v>1</v>
      </c>
      <c r="I958" s="1">
        <f>IF(AND(aoc_02_input[[#This Row],[Int1]]&lt;=aoc_02_input[[#This Row],[CountOfChar]],aoc_02_input[[#This Row],[CountOfChar]]&lt;=aoc_02_input[[#This Row],[Int2]]),1,0)</f>
        <v>1</v>
      </c>
      <c r="J958" s="1" t="str">
        <f>MID(aoc_02_input[[#This Row],[Password]],aoc_02_input[[#This Row],[Int1]],1)</f>
        <v>b</v>
      </c>
      <c r="K958" s="1">
        <f>IF(aoc_02_input[[#This Row],[Pos1]]=aoc_02_input[[#This Row],[Char]],1,0)</f>
        <v>0</v>
      </c>
      <c r="L958" s="1" t="str">
        <f>MID(aoc_02_input[[#This Row],[Password]],aoc_02_input[[#This Row],[Int2]],1)</f>
        <v>t</v>
      </c>
      <c r="M958" s="1">
        <f>IF(aoc_02_input[[#This Row],[Pos2]]=aoc_02_input[[#This Row],[Char]],1,0)</f>
        <v>1</v>
      </c>
      <c r="N958" s="1">
        <f>IF(aoc_02_input[[#This Row],[Pos1Valid]]&lt;&gt;aoc_02_input[[#This Row],[Pos2Valid]],1,0)</f>
        <v>1</v>
      </c>
    </row>
    <row r="959" spans="1:14" x14ac:dyDescent="0.45">
      <c r="A959" s="1" t="s">
        <v>256</v>
      </c>
      <c r="B959" s="1" t="s">
        <v>265</v>
      </c>
      <c r="C959" s="1" t="s">
        <v>1328</v>
      </c>
      <c r="D959" s="1">
        <f>FIND("-",aoc_02_input[[#This Row],[InputNumbers]])</f>
        <v>2</v>
      </c>
      <c r="E959" s="1">
        <f>_xlfn.NUMBERVALUE(LEFT(aoc_02_input[[#This Row],[InputNumbers]],aoc_02_input[[#This Row],[PosDash]]-1))</f>
        <v>5</v>
      </c>
      <c r="F959" s="1">
        <f>_xlfn.NUMBERVALUE(MID(aoc_02_input[[#This Row],[InputNumbers]],aoc_02_input[[#This Row],[PosDash]]+1,5))</f>
        <v>7</v>
      </c>
      <c r="G959" s="1" t="str">
        <f>LEFT(aoc_02_input[[#This Row],[InputChar]],1)</f>
        <v>r</v>
      </c>
      <c r="H959" s="1" cm="1">
        <f t="array" ref="H959">CountChar(aoc_02_input[[#This Row],[Password]],aoc_02_input[[#This Row],[Char]])</f>
        <v>5</v>
      </c>
      <c r="I959" s="1">
        <f>IF(AND(aoc_02_input[[#This Row],[Int1]]&lt;=aoc_02_input[[#This Row],[CountOfChar]],aoc_02_input[[#This Row],[CountOfChar]]&lt;=aoc_02_input[[#This Row],[Int2]]),1,0)</f>
        <v>1</v>
      </c>
      <c r="J959" s="1" t="str">
        <f>MID(aoc_02_input[[#This Row],[Password]],aoc_02_input[[#This Row],[Int1]],1)</f>
        <v>m</v>
      </c>
      <c r="K959" s="1">
        <f>IF(aoc_02_input[[#This Row],[Pos1]]=aoc_02_input[[#This Row],[Char]],1,0)</f>
        <v>0</v>
      </c>
      <c r="L959" s="1" t="str">
        <f>MID(aoc_02_input[[#This Row],[Password]],aoc_02_input[[#This Row],[Int2]],1)</f>
        <v>r</v>
      </c>
      <c r="M959" s="1">
        <f>IF(aoc_02_input[[#This Row],[Pos2]]=aoc_02_input[[#This Row],[Char]],1,0)</f>
        <v>1</v>
      </c>
      <c r="N959" s="1">
        <f>IF(aoc_02_input[[#This Row],[Pos1Valid]]&lt;&gt;aoc_02_input[[#This Row],[Pos2Valid]],1,0)</f>
        <v>1</v>
      </c>
    </row>
    <row r="960" spans="1:14" x14ac:dyDescent="0.45">
      <c r="A960" s="1" t="s">
        <v>283</v>
      </c>
      <c r="B960" s="1" t="s">
        <v>210</v>
      </c>
      <c r="C960" s="1" t="s">
        <v>1329</v>
      </c>
      <c r="D960" s="1">
        <f>FIND("-",aoc_02_input[[#This Row],[InputNumbers]])</f>
        <v>2</v>
      </c>
      <c r="E960" s="1">
        <f>_xlfn.NUMBERVALUE(LEFT(aoc_02_input[[#This Row],[InputNumbers]],aoc_02_input[[#This Row],[PosDash]]-1))</f>
        <v>3</v>
      </c>
      <c r="F960" s="1">
        <f>_xlfn.NUMBERVALUE(MID(aoc_02_input[[#This Row],[InputNumbers]],aoc_02_input[[#This Row],[PosDash]]+1,5))</f>
        <v>4</v>
      </c>
      <c r="G960" s="1" t="str">
        <f>LEFT(aoc_02_input[[#This Row],[InputChar]],1)</f>
        <v>v</v>
      </c>
      <c r="H960" s="1" cm="1">
        <f t="array" ref="H960">CountChar(aoc_02_input[[#This Row],[Password]],aoc_02_input[[#This Row],[Char]])</f>
        <v>2</v>
      </c>
      <c r="I960" s="1">
        <f>IF(AND(aoc_02_input[[#This Row],[Int1]]&lt;=aoc_02_input[[#This Row],[CountOfChar]],aoc_02_input[[#This Row],[CountOfChar]]&lt;=aoc_02_input[[#This Row],[Int2]]),1,0)</f>
        <v>0</v>
      </c>
      <c r="J960" s="1" t="str">
        <f>MID(aoc_02_input[[#This Row],[Password]],aoc_02_input[[#This Row],[Int1]],1)</f>
        <v>s</v>
      </c>
      <c r="K960" s="1">
        <f>IF(aoc_02_input[[#This Row],[Pos1]]=aoc_02_input[[#This Row],[Char]],1,0)</f>
        <v>0</v>
      </c>
      <c r="L960" s="1" t="str">
        <f>MID(aoc_02_input[[#This Row],[Password]],aoc_02_input[[#This Row],[Int2]],1)</f>
        <v>s</v>
      </c>
      <c r="M960" s="1">
        <f>IF(aoc_02_input[[#This Row],[Pos2]]=aoc_02_input[[#This Row],[Char]],1,0)</f>
        <v>0</v>
      </c>
      <c r="N960" s="1">
        <f>IF(aoc_02_input[[#This Row],[Pos1Valid]]&lt;&gt;aoc_02_input[[#This Row],[Pos2Valid]],1,0)</f>
        <v>0</v>
      </c>
    </row>
    <row r="961" spans="1:14" x14ac:dyDescent="0.45">
      <c r="A961" s="1" t="s">
        <v>555</v>
      </c>
      <c r="B961" s="1" t="s">
        <v>305</v>
      </c>
      <c r="C961" s="1" t="s">
        <v>1330</v>
      </c>
      <c r="D961" s="1">
        <f>FIND("-",aoc_02_input[[#This Row],[InputNumbers]])</f>
        <v>2</v>
      </c>
      <c r="E961" s="1">
        <f>_xlfn.NUMBERVALUE(LEFT(aoc_02_input[[#This Row],[InputNumbers]],aoc_02_input[[#This Row],[PosDash]]-1))</f>
        <v>1</v>
      </c>
      <c r="F961" s="1">
        <f>_xlfn.NUMBERVALUE(MID(aoc_02_input[[#This Row],[InputNumbers]],aoc_02_input[[#This Row],[PosDash]]+1,5))</f>
        <v>10</v>
      </c>
      <c r="G961" s="1" t="str">
        <f>LEFT(aoc_02_input[[#This Row],[InputChar]],1)</f>
        <v>s</v>
      </c>
      <c r="H961" s="1" cm="1">
        <f t="array" ref="H961">CountChar(aoc_02_input[[#This Row],[Password]],aoc_02_input[[#This Row],[Char]])</f>
        <v>5</v>
      </c>
      <c r="I961" s="1">
        <f>IF(AND(aoc_02_input[[#This Row],[Int1]]&lt;=aoc_02_input[[#This Row],[CountOfChar]],aoc_02_input[[#This Row],[CountOfChar]]&lt;=aoc_02_input[[#This Row],[Int2]]),1,0)</f>
        <v>1</v>
      </c>
      <c r="J961" s="1" t="str">
        <f>MID(aoc_02_input[[#This Row],[Password]],aoc_02_input[[#This Row],[Int1]],1)</f>
        <v>s</v>
      </c>
      <c r="K961" s="1">
        <f>IF(aoc_02_input[[#This Row],[Pos1]]=aoc_02_input[[#This Row],[Char]],1,0)</f>
        <v>1</v>
      </c>
      <c r="L961" s="1" t="str">
        <f>MID(aoc_02_input[[#This Row],[Password]],aoc_02_input[[#This Row],[Int2]],1)</f>
        <v>s</v>
      </c>
      <c r="M961" s="1">
        <f>IF(aoc_02_input[[#This Row],[Pos2]]=aoc_02_input[[#This Row],[Char]],1,0)</f>
        <v>1</v>
      </c>
      <c r="N961" s="1">
        <f>IF(aoc_02_input[[#This Row],[Pos1Valid]]&lt;&gt;aoc_02_input[[#This Row],[Pos2Valid]],1,0)</f>
        <v>0</v>
      </c>
    </row>
    <row r="962" spans="1:14" x14ac:dyDescent="0.45">
      <c r="A962" s="1" t="s">
        <v>271</v>
      </c>
      <c r="B962" s="1" t="s">
        <v>216</v>
      </c>
      <c r="C962" s="1" t="s">
        <v>1331</v>
      </c>
      <c r="D962" s="1">
        <f>FIND("-",aoc_02_input[[#This Row],[InputNumbers]])</f>
        <v>2</v>
      </c>
      <c r="E962" s="1">
        <f>_xlfn.NUMBERVALUE(LEFT(aoc_02_input[[#This Row],[InputNumbers]],aoc_02_input[[#This Row],[PosDash]]-1))</f>
        <v>9</v>
      </c>
      <c r="F962" s="1">
        <f>_xlfn.NUMBERVALUE(MID(aoc_02_input[[#This Row],[InputNumbers]],aoc_02_input[[#This Row],[PosDash]]+1,5))</f>
        <v>10</v>
      </c>
      <c r="G962" s="1" t="str">
        <f>LEFT(aoc_02_input[[#This Row],[InputChar]],1)</f>
        <v>z</v>
      </c>
      <c r="H962" s="1" cm="1">
        <f t="array" ref="H962">CountChar(aoc_02_input[[#This Row],[Password]],aoc_02_input[[#This Row],[Char]])</f>
        <v>9</v>
      </c>
      <c r="I962" s="1">
        <f>IF(AND(aoc_02_input[[#This Row],[Int1]]&lt;=aoc_02_input[[#This Row],[CountOfChar]],aoc_02_input[[#This Row],[CountOfChar]]&lt;=aoc_02_input[[#This Row],[Int2]]),1,0)</f>
        <v>1</v>
      </c>
      <c r="J962" s="1" t="str">
        <f>MID(aoc_02_input[[#This Row],[Password]],aoc_02_input[[#This Row],[Int1]],1)</f>
        <v>c</v>
      </c>
      <c r="K962" s="1">
        <f>IF(aoc_02_input[[#This Row],[Pos1]]=aoc_02_input[[#This Row],[Char]],1,0)</f>
        <v>0</v>
      </c>
      <c r="L962" s="1" t="str">
        <f>MID(aoc_02_input[[#This Row],[Password]],aoc_02_input[[#This Row],[Int2]],1)</f>
        <v>z</v>
      </c>
      <c r="M962" s="1">
        <f>IF(aoc_02_input[[#This Row],[Pos2]]=aoc_02_input[[#This Row],[Char]],1,0)</f>
        <v>1</v>
      </c>
      <c r="N962" s="1">
        <f>IF(aoc_02_input[[#This Row],[Pos1Valid]]&lt;&gt;aoc_02_input[[#This Row],[Pos2Valid]],1,0)</f>
        <v>1</v>
      </c>
    </row>
    <row r="963" spans="1:14" x14ac:dyDescent="0.45">
      <c r="A963" s="1" t="s">
        <v>320</v>
      </c>
      <c r="B963" s="1" t="s">
        <v>246</v>
      </c>
      <c r="C963" s="1" t="s">
        <v>1332</v>
      </c>
      <c r="D963" s="1">
        <f>FIND("-",aoc_02_input[[#This Row],[InputNumbers]])</f>
        <v>2</v>
      </c>
      <c r="E963" s="1">
        <f>_xlfn.NUMBERVALUE(LEFT(aoc_02_input[[#This Row],[InputNumbers]],aoc_02_input[[#This Row],[PosDash]]-1))</f>
        <v>6</v>
      </c>
      <c r="F963" s="1">
        <f>_xlfn.NUMBERVALUE(MID(aoc_02_input[[#This Row],[InputNumbers]],aoc_02_input[[#This Row],[PosDash]]+1,5))</f>
        <v>7</v>
      </c>
      <c r="G963" s="1" t="str">
        <f>LEFT(aoc_02_input[[#This Row],[InputChar]],1)</f>
        <v>n</v>
      </c>
      <c r="H963" s="1" cm="1">
        <f t="array" ref="H963">CountChar(aoc_02_input[[#This Row],[Password]],aoc_02_input[[#This Row],[Char]])</f>
        <v>6</v>
      </c>
      <c r="I963" s="1">
        <f>IF(AND(aoc_02_input[[#This Row],[Int1]]&lt;=aoc_02_input[[#This Row],[CountOfChar]],aoc_02_input[[#This Row],[CountOfChar]]&lt;=aoc_02_input[[#This Row],[Int2]]),1,0)</f>
        <v>1</v>
      </c>
      <c r="J963" s="1" t="str">
        <f>MID(aoc_02_input[[#This Row],[Password]],aoc_02_input[[#This Row],[Int1]],1)</f>
        <v>r</v>
      </c>
      <c r="K963" s="1">
        <f>IF(aoc_02_input[[#This Row],[Pos1]]=aoc_02_input[[#This Row],[Char]],1,0)</f>
        <v>0</v>
      </c>
      <c r="L963" s="1" t="str">
        <f>MID(aoc_02_input[[#This Row],[Password]],aoc_02_input[[#This Row],[Int2]],1)</f>
        <v>x</v>
      </c>
      <c r="M963" s="1">
        <f>IF(aoc_02_input[[#This Row],[Pos2]]=aoc_02_input[[#This Row],[Char]],1,0)</f>
        <v>0</v>
      </c>
      <c r="N963" s="1">
        <f>IF(aoc_02_input[[#This Row],[Pos1Valid]]&lt;&gt;aoc_02_input[[#This Row],[Pos2Valid]],1,0)</f>
        <v>0</v>
      </c>
    </row>
    <row r="964" spans="1:14" x14ac:dyDescent="0.45">
      <c r="A964" s="1" t="s">
        <v>271</v>
      </c>
      <c r="B964" s="1" t="s">
        <v>246</v>
      </c>
      <c r="C964" s="1" t="s">
        <v>1333</v>
      </c>
      <c r="D964" s="1">
        <f>FIND("-",aoc_02_input[[#This Row],[InputNumbers]])</f>
        <v>2</v>
      </c>
      <c r="E964" s="1">
        <f>_xlfn.NUMBERVALUE(LEFT(aoc_02_input[[#This Row],[InputNumbers]],aoc_02_input[[#This Row],[PosDash]]-1))</f>
        <v>9</v>
      </c>
      <c r="F964" s="1">
        <f>_xlfn.NUMBERVALUE(MID(aoc_02_input[[#This Row],[InputNumbers]],aoc_02_input[[#This Row],[PosDash]]+1,5))</f>
        <v>10</v>
      </c>
      <c r="G964" s="1" t="str">
        <f>LEFT(aoc_02_input[[#This Row],[InputChar]],1)</f>
        <v>n</v>
      </c>
      <c r="H964" s="1" cm="1">
        <f t="array" ref="H964">CountChar(aoc_02_input[[#This Row],[Password]],aoc_02_input[[#This Row],[Char]])</f>
        <v>9</v>
      </c>
      <c r="I964" s="1">
        <f>IF(AND(aoc_02_input[[#This Row],[Int1]]&lt;=aoc_02_input[[#This Row],[CountOfChar]],aoc_02_input[[#This Row],[CountOfChar]]&lt;=aoc_02_input[[#This Row],[Int2]]),1,0)</f>
        <v>1</v>
      </c>
      <c r="J964" s="1" t="str">
        <f>MID(aoc_02_input[[#This Row],[Password]],aoc_02_input[[#This Row],[Int1]],1)</f>
        <v>n</v>
      </c>
      <c r="K964" s="1">
        <f>IF(aoc_02_input[[#This Row],[Pos1]]=aoc_02_input[[#This Row],[Char]],1,0)</f>
        <v>1</v>
      </c>
      <c r="L964" s="1" t="str">
        <f>MID(aoc_02_input[[#This Row],[Password]],aoc_02_input[[#This Row],[Int2]],1)</f>
        <v>c</v>
      </c>
      <c r="M964" s="1">
        <f>IF(aoc_02_input[[#This Row],[Pos2]]=aoc_02_input[[#This Row],[Char]],1,0)</f>
        <v>0</v>
      </c>
      <c r="N964" s="1">
        <f>IF(aoc_02_input[[#This Row],[Pos1Valid]]&lt;&gt;aoc_02_input[[#This Row],[Pos2Valid]],1,0)</f>
        <v>1</v>
      </c>
    </row>
    <row r="965" spans="1:14" x14ac:dyDescent="0.45">
      <c r="A965" s="1" t="s">
        <v>251</v>
      </c>
      <c r="B965" s="1" t="s">
        <v>265</v>
      </c>
      <c r="C965" s="1" t="s">
        <v>1334</v>
      </c>
      <c r="D965" s="1">
        <f>FIND("-",aoc_02_input[[#This Row],[InputNumbers]])</f>
        <v>2</v>
      </c>
      <c r="E965" s="1">
        <f>_xlfn.NUMBERVALUE(LEFT(aoc_02_input[[#This Row],[InputNumbers]],aoc_02_input[[#This Row],[PosDash]]-1))</f>
        <v>5</v>
      </c>
      <c r="F965" s="1">
        <f>_xlfn.NUMBERVALUE(MID(aoc_02_input[[#This Row],[InputNumbers]],aoc_02_input[[#This Row],[PosDash]]+1,5))</f>
        <v>6</v>
      </c>
      <c r="G965" s="1" t="str">
        <f>LEFT(aoc_02_input[[#This Row],[InputChar]],1)</f>
        <v>r</v>
      </c>
      <c r="H965" s="1" cm="1">
        <f t="array" ref="H965">CountChar(aoc_02_input[[#This Row],[Password]],aoc_02_input[[#This Row],[Char]])</f>
        <v>2</v>
      </c>
      <c r="I965" s="1">
        <f>IF(AND(aoc_02_input[[#This Row],[Int1]]&lt;=aoc_02_input[[#This Row],[CountOfChar]],aoc_02_input[[#This Row],[CountOfChar]]&lt;=aoc_02_input[[#This Row],[Int2]]),1,0)</f>
        <v>0</v>
      </c>
      <c r="J965" s="1" t="str">
        <f>MID(aoc_02_input[[#This Row],[Password]],aoc_02_input[[#This Row],[Int1]],1)</f>
        <v>t</v>
      </c>
      <c r="K965" s="1">
        <f>IF(aoc_02_input[[#This Row],[Pos1]]=aoc_02_input[[#This Row],[Char]],1,0)</f>
        <v>0</v>
      </c>
      <c r="L965" s="1" t="str">
        <f>MID(aoc_02_input[[#This Row],[Password]],aoc_02_input[[#This Row],[Int2]],1)</f>
        <v>r</v>
      </c>
      <c r="M965" s="1">
        <f>IF(aoc_02_input[[#This Row],[Pos2]]=aoc_02_input[[#This Row],[Char]],1,0)</f>
        <v>1</v>
      </c>
      <c r="N965" s="1">
        <f>IF(aoc_02_input[[#This Row],[Pos1Valid]]&lt;&gt;aoc_02_input[[#This Row],[Pos2Valid]],1,0)</f>
        <v>1</v>
      </c>
    </row>
    <row r="966" spans="1:14" x14ac:dyDescent="0.45">
      <c r="A966" s="1" t="s">
        <v>320</v>
      </c>
      <c r="B966" s="1" t="s">
        <v>235</v>
      </c>
      <c r="C966" s="1" t="s">
        <v>1335</v>
      </c>
      <c r="D966" s="1">
        <f>FIND("-",aoc_02_input[[#This Row],[InputNumbers]])</f>
        <v>2</v>
      </c>
      <c r="E966" s="1">
        <f>_xlfn.NUMBERVALUE(LEFT(aoc_02_input[[#This Row],[InputNumbers]],aoc_02_input[[#This Row],[PosDash]]-1))</f>
        <v>6</v>
      </c>
      <c r="F966" s="1">
        <f>_xlfn.NUMBERVALUE(MID(aoc_02_input[[#This Row],[InputNumbers]],aoc_02_input[[#This Row],[PosDash]]+1,5))</f>
        <v>7</v>
      </c>
      <c r="G966" s="1" t="str">
        <f>LEFT(aoc_02_input[[#This Row],[InputChar]],1)</f>
        <v>d</v>
      </c>
      <c r="H966" s="1" cm="1">
        <f t="array" ref="H966">CountChar(aoc_02_input[[#This Row],[Password]],aoc_02_input[[#This Row],[Char]])</f>
        <v>7</v>
      </c>
      <c r="I966" s="1">
        <f>IF(AND(aoc_02_input[[#This Row],[Int1]]&lt;=aoc_02_input[[#This Row],[CountOfChar]],aoc_02_input[[#This Row],[CountOfChar]]&lt;=aoc_02_input[[#This Row],[Int2]]),1,0)</f>
        <v>1</v>
      </c>
      <c r="J966" s="1" t="str">
        <f>MID(aoc_02_input[[#This Row],[Password]],aoc_02_input[[#This Row],[Int1]],1)</f>
        <v>d</v>
      </c>
      <c r="K966" s="1">
        <f>IF(aoc_02_input[[#This Row],[Pos1]]=aoc_02_input[[#This Row],[Char]],1,0)</f>
        <v>1</v>
      </c>
      <c r="L966" s="1" t="str">
        <f>MID(aoc_02_input[[#This Row],[Password]],aoc_02_input[[#This Row],[Int2]],1)</f>
        <v>d</v>
      </c>
      <c r="M966" s="1">
        <f>IF(aoc_02_input[[#This Row],[Pos2]]=aoc_02_input[[#This Row],[Char]],1,0)</f>
        <v>1</v>
      </c>
      <c r="N966" s="1">
        <f>IF(aoc_02_input[[#This Row],[Pos1Valid]]&lt;&gt;aoc_02_input[[#This Row],[Pos2Valid]],1,0)</f>
        <v>0</v>
      </c>
    </row>
    <row r="967" spans="1:14" x14ac:dyDescent="0.45">
      <c r="A967" s="1" t="s">
        <v>616</v>
      </c>
      <c r="B967" s="1" t="s">
        <v>246</v>
      </c>
      <c r="C967" s="1" t="s">
        <v>1336</v>
      </c>
      <c r="D967" s="1">
        <f>FIND("-",aoc_02_input[[#This Row],[InputNumbers]])</f>
        <v>2</v>
      </c>
      <c r="E967" s="1">
        <f>_xlfn.NUMBERVALUE(LEFT(aoc_02_input[[#This Row],[InputNumbers]],aoc_02_input[[#This Row],[PosDash]]-1))</f>
        <v>8</v>
      </c>
      <c r="F967" s="1">
        <f>_xlfn.NUMBERVALUE(MID(aoc_02_input[[#This Row],[InputNumbers]],aoc_02_input[[#This Row],[PosDash]]+1,5))</f>
        <v>12</v>
      </c>
      <c r="G967" s="1" t="str">
        <f>LEFT(aoc_02_input[[#This Row],[InputChar]],1)</f>
        <v>n</v>
      </c>
      <c r="H967" s="1" cm="1">
        <f t="array" ref="H967">CountChar(aoc_02_input[[#This Row],[Password]],aoc_02_input[[#This Row],[Char]])</f>
        <v>9</v>
      </c>
      <c r="I967" s="1">
        <f>IF(AND(aoc_02_input[[#This Row],[Int1]]&lt;=aoc_02_input[[#This Row],[CountOfChar]],aoc_02_input[[#This Row],[CountOfChar]]&lt;=aoc_02_input[[#This Row],[Int2]]),1,0)</f>
        <v>1</v>
      </c>
      <c r="J967" s="1" t="str">
        <f>MID(aoc_02_input[[#This Row],[Password]],aoc_02_input[[#This Row],[Int1]],1)</f>
        <v>n</v>
      </c>
      <c r="K967" s="1">
        <f>IF(aoc_02_input[[#This Row],[Pos1]]=aoc_02_input[[#This Row],[Char]],1,0)</f>
        <v>1</v>
      </c>
      <c r="L967" s="1" t="str">
        <f>MID(aoc_02_input[[#This Row],[Password]],aoc_02_input[[#This Row],[Int2]],1)</f>
        <v>n</v>
      </c>
      <c r="M967" s="1">
        <f>IF(aoc_02_input[[#This Row],[Pos2]]=aoc_02_input[[#This Row],[Char]],1,0)</f>
        <v>1</v>
      </c>
      <c r="N967" s="1">
        <f>IF(aoc_02_input[[#This Row],[Pos1Valid]]&lt;&gt;aoc_02_input[[#This Row],[Pos2Valid]],1,0)</f>
        <v>0</v>
      </c>
    </row>
    <row r="968" spans="1:14" x14ac:dyDescent="0.45">
      <c r="A968" s="1" t="s">
        <v>380</v>
      </c>
      <c r="B968" s="1" t="s">
        <v>295</v>
      </c>
      <c r="C968" s="1" t="s">
        <v>1337</v>
      </c>
      <c r="D968" s="1">
        <f>FIND("-",aoc_02_input[[#This Row],[InputNumbers]])</f>
        <v>2</v>
      </c>
      <c r="E968" s="1">
        <f>_xlfn.NUMBERVALUE(LEFT(aoc_02_input[[#This Row],[InputNumbers]],aoc_02_input[[#This Row],[PosDash]]-1))</f>
        <v>3</v>
      </c>
      <c r="F968" s="1">
        <f>_xlfn.NUMBERVALUE(MID(aoc_02_input[[#This Row],[InputNumbers]],aoc_02_input[[#This Row],[PosDash]]+1,5))</f>
        <v>7</v>
      </c>
      <c r="G968" s="1" t="str">
        <f>LEFT(aoc_02_input[[#This Row],[InputChar]],1)</f>
        <v>c</v>
      </c>
      <c r="H968" s="1" cm="1">
        <f t="array" ref="H968">CountChar(aoc_02_input[[#This Row],[Password]],aoc_02_input[[#This Row],[Char]])</f>
        <v>4</v>
      </c>
      <c r="I968" s="1">
        <f>IF(AND(aoc_02_input[[#This Row],[Int1]]&lt;=aoc_02_input[[#This Row],[CountOfChar]],aoc_02_input[[#This Row],[CountOfChar]]&lt;=aoc_02_input[[#This Row],[Int2]]),1,0)</f>
        <v>1</v>
      </c>
      <c r="J968" s="1" t="str">
        <f>MID(aoc_02_input[[#This Row],[Password]],aoc_02_input[[#This Row],[Int1]],1)</f>
        <v>c</v>
      </c>
      <c r="K968" s="1">
        <f>IF(aoc_02_input[[#This Row],[Pos1]]=aoc_02_input[[#This Row],[Char]],1,0)</f>
        <v>1</v>
      </c>
      <c r="L968" s="1" t="str">
        <f>MID(aoc_02_input[[#This Row],[Password]],aoc_02_input[[#This Row],[Int2]],1)</f>
        <v>q</v>
      </c>
      <c r="M968" s="1">
        <f>IF(aoc_02_input[[#This Row],[Pos2]]=aoc_02_input[[#This Row],[Char]],1,0)</f>
        <v>0</v>
      </c>
      <c r="N968" s="1">
        <f>IF(aoc_02_input[[#This Row],[Pos1Valid]]&lt;&gt;aoc_02_input[[#This Row],[Pos2Valid]],1,0)</f>
        <v>1</v>
      </c>
    </row>
    <row r="969" spans="1:14" x14ac:dyDescent="0.45">
      <c r="A969" s="1" t="s">
        <v>1100</v>
      </c>
      <c r="B969" s="1" t="s">
        <v>219</v>
      </c>
      <c r="C969" s="1" t="s">
        <v>1338</v>
      </c>
      <c r="D969" s="1">
        <f>FIND("-",aoc_02_input[[#This Row],[InputNumbers]])</f>
        <v>2</v>
      </c>
      <c r="E969" s="1">
        <f>_xlfn.NUMBERVALUE(LEFT(aoc_02_input[[#This Row],[InputNumbers]],aoc_02_input[[#This Row],[PosDash]]-1))</f>
        <v>4</v>
      </c>
      <c r="F969" s="1">
        <f>_xlfn.NUMBERVALUE(MID(aoc_02_input[[#This Row],[InputNumbers]],aoc_02_input[[#This Row],[PosDash]]+1,5))</f>
        <v>17</v>
      </c>
      <c r="G969" s="1" t="str">
        <f>LEFT(aoc_02_input[[#This Row],[InputChar]],1)</f>
        <v>g</v>
      </c>
      <c r="H969" s="1" cm="1">
        <f t="array" ref="H969">CountChar(aoc_02_input[[#This Row],[Password]],aoc_02_input[[#This Row],[Char]])</f>
        <v>9</v>
      </c>
      <c r="I969" s="1">
        <f>IF(AND(aoc_02_input[[#This Row],[Int1]]&lt;=aoc_02_input[[#This Row],[CountOfChar]],aoc_02_input[[#This Row],[CountOfChar]]&lt;=aoc_02_input[[#This Row],[Int2]]),1,0)</f>
        <v>1</v>
      </c>
      <c r="J969" s="1" t="str">
        <f>MID(aoc_02_input[[#This Row],[Password]],aoc_02_input[[#This Row],[Int1]],1)</f>
        <v>g</v>
      </c>
      <c r="K969" s="1">
        <f>IF(aoc_02_input[[#This Row],[Pos1]]=aoc_02_input[[#This Row],[Char]],1,0)</f>
        <v>1</v>
      </c>
      <c r="L969" s="1" t="str">
        <f>MID(aoc_02_input[[#This Row],[Password]],aoc_02_input[[#This Row],[Int2]],1)</f>
        <v>z</v>
      </c>
      <c r="M969" s="1">
        <f>IF(aoc_02_input[[#This Row],[Pos2]]=aoc_02_input[[#This Row],[Char]],1,0)</f>
        <v>0</v>
      </c>
      <c r="N969" s="1">
        <f>IF(aoc_02_input[[#This Row],[Pos1Valid]]&lt;&gt;aoc_02_input[[#This Row],[Pos2Valid]],1,0)</f>
        <v>1</v>
      </c>
    </row>
    <row r="970" spans="1:14" x14ac:dyDescent="0.45">
      <c r="A970" s="1" t="s">
        <v>299</v>
      </c>
      <c r="B970" s="1" t="s">
        <v>295</v>
      </c>
      <c r="C970" s="1" t="s">
        <v>1339</v>
      </c>
      <c r="D970" s="1">
        <f>FIND("-",aoc_02_input[[#This Row],[InputNumbers]])</f>
        <v>2</v>
      </c>
      <c r="E970" s="1">
        <f>_xlfn.NUMBERVALUE(LEFT(aoc_02_input[[#This Row],[InputNumbers]],aoc_02_input[[#This Row],[PosDash]]-1))</f>
        <v>1</v>
      </c>
      <c r="F970" s="1">
        <f>_xlfn.NUMBERVALUE(MID(aoc_02_input[[#This Row],[InputNumbers]],aoc_02_input[[#This Row],[PosDash]]+1,5))</f>
        <v>2</v>
      </c>
      <c r="G970" s="1" t="str">
        <f>LEFT(aoc_02_input[[#This Row],[InputChar]],1)</f>
        <v>c</v>
      </c>
      <c r="H970" s="1" cm="1">
        <f t="array" ref="H970">CountChar(aoc_02_input[[#This Row],[Password]],aoc_02_input[[#This Row],[Char]])</f>
        <v>3</v>
      </c>
      <c r="I970" s="1">
        <f>IF(AND(aoc_02_input[[#This Row],[Int1]]&lt;=aoc_02_input[[#This Row],[CountOfChar]],aoc_02_input[[#This Row],[CountOfChar]]&lt;=aoc_02_input[[#This Row],[Int2]]),1,0)</f>
        <v>0</v>
      </c>
      <c r="J970" s="1" t="str">
        <f>MID(aoc_02_input[[#This Row],[Password]],aoc_02_input[[#This Row],[Int1]],1)</f>
        <v>c</v>
      </c>
      <c r="K970" s="1">
        <f>IF(aoc_02_input[[#This Row],[Pos1]]=aoc_02_input[[#This Row],[Char]],1,0)</f>
        <v>1</v>
      </c>
      <c r="L970" s="1" t="str">
        <f>MID(aoc_02_input[[#This Row],[Password]],aoc_02_input[[#This Row],[Int2]],1)</f>
        <v>l</v>
      </c>
      <c r="M970" s="1">
        <f>IF(aoc_02_input[[#This Row],[Pos2]]=aoc_02_input[[#This Row],[Char]],1,0)</f>
        <v>0</v>
      </c>
      <c r="N970" s="1">
        <f>IF(aoc_02_input[[#This Row],[Pos1Valid]]&lt;&gt;aoc_02_input[[#This Row],[Pos2Valid]],1,0)</f>
        <v>1</v>
      </c>
    </row>
    <row r="971" spans="1:14" x14ac:dyDescent="0.45">
      <c r="A971" s="1" t="s">
        <v>473</v>
      </c>
      <c r="B971" s="1" t="s">
        <v>238</v>
      </c>
      <c r="C971" s="1" t="s">
        <v>1340</v>
      </c>
      <c r="D971" s="1">
        <f>FIND("-",aoc_02_input[[#This Row],[InputNumbers]])</f>
        <v>2</v>
      </c>
      <c r="E971" s="1">
        <f>_xlfn.NUMBERVALUE(LEFT(aoc_02_input[[#This Row],[InputNumbers]],aoc_02_input[[#This Row],[PosDash]]-1))</f>
        <v>2</v>
      </c>
      <c r="F971" s="1">
        <f>_xlfn.NUMBERVALUE(MID(aoc_02_input[[#This Row],[InputNumbers]],aoc_02_input[[#This Row],[PosDash]]+1,5))</f>
        <v>6</v>
      </c>
      <c r="G971" s="1" t="str">
        <f>LEFT(aoc_02_input[[#This Row],[InputChar]],1)</f>
        <v>w</v>
      </c>
      <c r="H971" s="1" cm="1">
        <f t="array" ref="H971">CountChar(aoc_02_input[[#This Row],[Password]],aoc_02_input[[#This Row],[Char]])</f>
        <v>4</v>
      </c>
      <c r="I971" s="1">
        <f>IF(AND(aoc_02_input[[#This Row],[Int1]]&lt;=aoc_02_input[[#This Row],[CountOfChar]],aoc_02_input[[#This Row],[CountOfChar]]&lt;=aoc_02_input[[#This Row],[Int2]]),1,0)</f>
        <v>1</v>
      </c>
      <c r="J971" s="1" t="str">
        <f>MID(aoc_02_input[[#This Row],[Password]],aoc_02_input[[#This Row],[Int1]],1)</f>
        <v>x</v>
      </c>
      <c r="K971" s="1">
        <f>IF(aoc_02_input[[#This Row],[Pos1]]=aoc_02_input[[#This Row],[Char]],1,0)</f>
        <v>0</v>
      </c>
      <c r="L971" s="1" t="str">
        <f>MID(aoc_02_input[[#This Row],[Password]],aoc_02_input[[#This Row],[Int2]],1)</f>
        <v>c</v>
      </c>
      <c r="M971" s="1">
        <f>IF(aoc_02_input[[#This Row],[Pos2]]=aoc_02_input[[#This Row],[Char]],1,0)</f>
        <v>0</v>
      </c>
      <c r="N971" s="1">
        <f>IF(aoc_02_input[[#This Row],[Pos1Valid]]&lt;&gt;aoc_02_input[[#This Row],[Pos2Valid]],1,0)</f>
        <v>0</v>
      </c>
    </row>
    <row r="972" spans="1:14" x14ac:dyDescent="0.45">
      <c r="A972" s="1" t="s">
        <v>352</v>
      </c>
      <c r="B972" s="1" t="s">
        <v>265</v>
      </c>
      <c r="C972" s="1" t="s">
        <v>1341</v>
      </c>
      <c r="D972" s="1">
        <f>FIND("-",aoc_02_input[[#This Row],[InputNumbers]])</f>
        <v>3</v>
      </c>
      <c r="E972" s="1">
        <f>_xlfn.NUMBERVALUE(LEFT(aoc_02_input[[#This Row],[InputNumbers]],aoc_02_input[[#This Row],[PosDash]]-1))</f>
        <v>15</v>
      </c>
      <c r="F972" s="1">
        <f>_xlfn.NUMBERVALUE(MID(aoc_02_input[[#This Row],[InputNumbers]],aoc_02_input[[#This Row],[PosDash]]+1,5))</f>
        <v>16</v>
      </c>
      <c r="G972" s="1" t="str">
        <f>LEFT(aoc_02_input[[#This Row],[InputChar]],1)</f>
        <v>r</v>
      </c>
      <c r="H972" s="1" cm="1">
        <f t="array" ref="H972">CountChar(aoc_02_input[[#This Row],[Password]],aoc_02_input[[#This Row],[Char]])</f>
        <v>9</v>
      </c>
      <c r="I972" s="1">
        <f>IF(AND(aoc_02_input[[#This Row],[Int1]]&lt;=aoc_02_input[[#This Row],[CountOfChar]],aoc_02_input[[#This Row],[CountOfChar]]&lt;=aoc_02_input[[#This Row],[Int2]]),1,0)</f>
        <v>0</v>
      </c>
      <c r="J972" s="1" t="str">
        <f>MID(aoc_02_input[[#This Row],[Password]],aoc_02_input[[#This Row],[Int1]],1)</f>
        <v>r</v>
      </c>
      <c r="K972" s="1">
        <f>IF(aoc_02_input[[#This Row],[Pos1]]=aoc_02_input[[#This Row],[Char]],1,0)</f>
        <v>1</v>
      </c>
      <c r="L972" s="1" t="str">
        <f>MID(aoc_02_input[[#This Row],[Password]],aoc_02_input[[#This Row],[Int2]],1)</f>
        <v>l</v>
      </c>
      <c r="M972" s="1">
        <f>IF(aoc_02_input[[#This Row],[Pos2]]=aoc_02_input[[#This Row],[Char]],1,0)</f>
        <v>0</v>
      </c>
      <c r="N972" s="1">
        <f>IF(aoc_02_input[[#This Row],[Pos1Valid]]&lt;&gt;aoc_02_input[[#This Row],[Pos2Valid]],1,0)</f>
        <v>1</v>
      </c>
    </row>
    <row r="973" spans="1:14" x14ac:dyDescent="0.45">
      <c r="A973" s="1" t="s">
        <v>640</v>
      </c>
      <c r="B973" s="1" t="s">
        <v>213</v>
      </c>
      <c r="C973" s="1" t="s">
        <v>1342</v>
      </c>
      <c r="D973" s="1">
        <f>FIND("-",aoc_02_input[[#This Row],[InputNumbers]])</f>
        <v>3</v>
      </c>
      <c r="E973" s="1">
        <f>_xlfn.NUMBERVALUE(LEFT(aoc_02_input[[#This Row],[InputNumbers]],aoc_02_input[[#This Row],[PosDash]]-1))</f>
        <v>12</v>
      </c>
      <c r="F973" s="1">
        <f>_xlfn.NUMBERVALUE(MID(aoc_02_input[[#This Row],[InputNumbers]],aoc_02_input[[#This Row],[PosDash]]+1,5))</f>
        <v>15</v>
      </c>
      <c r="G973" s="1" t="str">
        <f>LEFT(aoc_02_input[[#This Row],[InputChar]],1)</f>
        <v>m</v>
      </c>
      <c r="H973" s="1" cm="1">
        <f t="array" ref="H973">CountChar(aoc_02_input[[#This Row],[Password]],aoc_02_input[[#This Row],[Char]])</f>
        <v>2</v>
      </c>
      <c r="I973" s="1">
        <f>IF(AND(aoc_02_input[[#This Row],[Int1]]&lt;=aoc_02_input[[#This Row],[CountOfChar]],aoc_02_input[[#This Row],[CountOfChar]]&lt;=aoc_02_input[[#This Row],[Int2]]),1,0)</f>
        <v>0</v>
      </c>
      <c r="J973" s="1" t="str">
        <f>MID(aoc_02_input[[#This Row],[Password]],aoc_02_input[[#This Row],[Int1]],1)</f>
        <v>s</v>
      </c>
      <c r="K973" s="1">
        <f>IF(aoc_02_input[[#This Row],[Pos1]]=aoc_02_input[[#This Row],[Char]],1,0)</f>
        <v>0</v>
      </c>
      <c r="L973" s="1" t="str">
        <f>MID(aoc_02_input[[#This Row],[Password]],aoc_02_input[[#This Row],[Int2]],1)</f>
        <v>z</v>
      </c>
      <c r="M973" s="1">
        <f>IF(aoc_02_input[[#This Row],[Pos2]]=aoc_02_input[[#This Row],[Char]],1,0)</f>
        <v>0</v>
      </c>
      <c r="N973" s="1">
        <f>IF(aoc_02_input[[#This Row],[Pos1Valid]]&lt;&gt;aoc_02_input[[#This Row],[Pos2Valid]],1,0)</f>
        <v>0</v>
      </c>
    </row>
    <row r="974" spans="1:14" x14ac:dyDescent="0.45">
      <c r="A974" s="1" t="s">
        <v>664</v>
      </c>
      <c r="B974" s="1" t="s">
        <v>207</v>
      </c>
      <c r="C974" s="1" t="s">
        <v>1343</v>
      </c>
      <c r="D974" s="1">
        <f>FIND("-",aoc_02_input[[#This Row],[InputNumbers]])</f>
        <v>2</v>
      </c>
      <c r="E974" s="1">
        <f>_xlfn.NUMBERVALUE(LEFT(aoc_02_input[[#This Row],[InputNumbers]],aoc_02_input[[#This Row],[PosDash]]-1))</f>
        <v>1</v>
      </c>
      <c r="F974" s="1">
        <f>_xlfn.NUMBERVALUE(MID(aoc_02_input[[#This Row],[InputNumbers]],aoc_02_input[[#This Row],[PosDash]]+1,5))</f>
        <v>11</v>
      </c>
      <c r="G974" s="1" t="str">
        <f>LEFT(aoc_02_input[[#This Row],[InputChar]],1)</f>
        <v>b</v>
      </c>
      <c r="H974" s="1" cm="1">
        <f t="array" ref="H974">CountChar(aoc_02_input[[#This Row],[Password]],aoc_02_input[[#This Row],[Char]])</f>
        <v>10</v>
      </c>
      <c r="I974" s="1">
        <f>IF(AND(aoc_02_input[[#This Row],[Int1]]&lt;=aoc_02_input[[#This Row],[CountOfChar]],aoc_02_input[[#This Row],[CountOfChar]]&lt;=aoc_02_input[[#This Row],[Int2]]),1,0)</f>
        <v>1</v>
      </c>
      <c r="J974" s="1" t="str">
        <f>MID(aoc_02_input[[#This Row],[Password]],aoc_02_input[[#This Row],[Int1]],1)</f>
        <v>b</v>
      </c>
      <c r="K974" s="1">
        <f>IF(aoc_02_input[[#This Row],[Pos1]]=aoc_02_input[[#This Row],[Char]],1,0)</f>
        <v>1</v>
      </c>
      <c r="L974" s="1" t="str">
        <f>MID(aoc_02_input[[#This Row],[Password]],aoc_02_input[[#This Row],[Int2]],1)</f>
        <v>b</v>
      </c>
      <c r="M974" s="1">
        <f>IF(aoc_02_input[[#This Row],[Pos2]]=aoc_02_input[[#This Row],[Char]],1,0)</f>
        <v>1</v>
      </c>
      <c r="N974" s="1">
        <f>IF(aoc_02_input[[#This Row],[Pos1Valid]]&lt;&gt;aoc_02_input[[#This Row],[Pos2Valid]],1,0)</f>
        <v>0</v>
      </c>
    </row>
    <row r="975" spans="1:14" x14ac:dyDescent="0.45">
      <c r="A975" s="1" t="s">
        <v>294</v>
      </c>
      <c r="B975" s="1" t="s">
        <v>222</v>
      </c>
      <c r="C975" s="1" t="s">
        <v>1344</v>
      </c>
      <c r="D975" s="1">
        <f>FIND("-",aoc_02_input[[#This Row],[InputNumbers]])</f>
        <v>2</v>
      </c>
      <c r="E975" s="1">
        <f>_xlfn.NUMBERVALUE(LEFT(aoc_02_input[[#This Row],[InputNumbers]],aoc_02_input[[#This Row],[PosDash]]-1))</f>
        <v>7</v>
      </c>
      <c r="F975" s="1">
        <f>_xlfn.NUMBERVALUE(MID(aoc_02_input[[#This Row],[InputNumbers]],aoc_02_input[[#This Row],[PosDash]]+1,5))</f>
        <v>11</v>
      </c>
      <c r="G975" s="1" t="str">
        <f>LEFT(aoc_02_input[[#This Row],[InputChar]],1)</f>
        <v>l</v>
      </c>
      <c r="H975" s="1" cm="1">
        <f t="array" ref="H975">CountChar(aoc_02_input[[#This Row],[Password]],aoc_02_input[[#This Row],[Char]])</f>
        <v>12</v>
      </c>
      <c r="I975" s="1">
        <f>IF(AND(aoc_02_input[[#This Row],[Int1]]&lt;=aoc_02_input[[#This Row],[CountOfChar]],aoc_02_input[[#This Row],[CountOfChar]]&lt;=aoc_02_input[[#This Row],[Int2]]),1,0)</f>
        <v>0</v>
      </c>
      <c r="J975" s="1" t="str">
        <f>MID(aoc_02_input[[#This Row],[Password]],aoc_02_input[[#This Row],[Int1]],1)</f>
        <v>l</v>
      </c>
      <c r="K975" s="1">
        <f>IF(aoc_02_input[[#This Row],[Pos1]]=aoc_02_input[[#This Row],[Char]],1,0)</f>
        <v>1</v>
      </c>
      <c r="L975" s="1" t="str">
        <f>MID(aoc_02_input[[#This Row],[Password]],aoc_02_input[[#This Row],[Int2]],1)</f>
        <v>l</v>
      </c>
      <c r="M975" s="1">
        <f>IF(aoc_02_input[[#This Row],[Pos2]]=aoc_02_input[[#This Row],[Char]],1,0)</f>
        <v>1</v>
      </c>
      <c r="N975" s="1">
        <f>IF(aoc_02_input[[#This Row],[Pos1Valid]]&lt;&gt;aoc_02_input[[#This Row],[Pos2Valid]],1,0)</f>
        <v>0</v>
      </c>
    </row>
    <row r="976" spans="1:14" x14ac:dyDescent="0.45">
      <c r="A976" s="1" t="s">
        <v>299</v>
      </c>
      <c r="B976" s="1" t="s">
        <v>246</v>
      </c>
      <c r="C976" s="1" t="s">
        <v>1345</v>
      </c>
      <c r="D976" s="1">
        <f>FIND("-",aoc_02_input[[#This Row],[InputNumbers]])</f>
        <v>2</v>
      </c>
      <c r="E976" s="1">
        <f>_xlfn.NUMBERVALUE(LEFT(aoc_02_input[[#This Row],[InputNumbers]],aoc_02_input[[#This Row],[PosDash]]-1))</f>
        <v>1</v>
      </c>
      <c r="F976" s="1">
        <f>_xlfn.NUMBERVALUE(MID(aoc_02_input[[#This Row],[InputNumbers]],aoc_02_input[[#This Row],[PosDash]]+1,5))</f>
        <v>2</v>
      </c>
      <c r="G976" s="1" t="str">
        <f>LEFT(aoc_02_input[[#This Row],[InputChar]],1)</f>
        <v>n</v>
      </c>
      <c r="H976" s="1" cm="1">
        <f t="array" ref="H976">CountChar(aoc_02_input[[#This Row],[Password]],aoc_02_input[[#This Row],[Char]])</f>
        <v>1</v>
      </c>
      <c r="I976" s="1">
        <f>IF(AND(aoc_02_input[[#This Row],[Int1]]&lt;=aoc_02_input[[#This Row],[CountOfChar]],aoc_02_input[[#This Row],[CountOfChar]]&lt;=aoc_02_input[[#This Row],[Int2]]),1,0)</f>
        <v>1</v>
      </c>
      <c r="J976" s="1" t="str">
        <f>MID(aoc_02_input[[#This Row],[Password]],aoc_02_input[[#This Row],[Int1]],1)</f>
        <v>v</v>
      </c>
      <c r="K976" s="1">
        <f>IF(aoc_02_input[[#This Row],[Pos1]]=aoc_02_input[[#This Row],[Char]],1,0)</f>
        <v>0</v>
      </c>
      <c r="L976" s="1" t="str">
        <f>MID(aoc_02_input[[#This Row],[Password]],aoc_02_input[[#This Row],[Int2]],1)</f>
        <v>l</v>
      </c>
      <c r="M976" s="1">
        <f>IF(aoc_02_input[[#This Row],[Pos2]]=aoc_02_input[[#This Row],[Char]],1,0)</f>
        <v>0</v>
      </c>
      <c r="N976" s="1">
        <f>IF(aoc_02_input[[#This Row],[Pos1Valid]]&lt;&gt;aoc_02_input[[#This Row],[Pos2Valid]],1,0)</f>
        <v>0</v>
      </c>
    </row>
    <row r="977" spans="1:14" x14ac:dyDescent="0.45">
      <c r="A977" s="1" t="s">
        <v>309</v>
      </c>
      <c r="B977" s="1" t="s">
        <v>246</v>
      </c>
      <c r="C977" s="1" t="s">
        <v>1346</v>
      </c>
      <c r="D977" s="1">
        <f>FIND("-",aoc_02_input[[#This Row],[InputNumbers]])</f>
        <v>2</v>
      </c>
      <c r="E977" s="1">
        <f>_xlfn.NUMBERVALUE(LEFT(aoc_02_input[[#This Row],[InputNumbers]],aoc_02_input[[#This Row],[PosDash]]-1))</f>
        <v>8</v>
      </c>
      <c r="F977" s="1">
        <f>_xlfn.NUMBERVALUE(MID(aoc_02_input[[#This Row],[InputNumbers]],aoc_02_input[[#This Row],[PosDash]]+1,5))</f>
        <v>11</v>
      </c>
      <c r="G977" s="1" t="str">
        <f>LEFT(aoc_02_input[[#This Row],[InputChar]],1)</f>
        <v>n</v>
      </c>
      <c r="H977" s="1" cm="1">
        <f t="array" ref="H977">CountChar(aoc_02_input[[#This Row],[Password]],aoc_02_input[[#This Row],[Char]])</f>
        <v>4</v>
      </c>
      <c r="I977" s="1">
        <f>IF(AND(aoc_02_input[[#This Row],[Int1]]&lt;=aoc_02_input[[#This Row],[CountOfChar]],aoc_02_input[[#This Row],[CountOfChar]]&lt;=aoc_02_input[[#This Row],[Int2]]),1,0)</f>
        <v>0</v>
      </c>
      <c r="J977" s="1" t="str">
        <f>MID(aoc_02_input[[#This Row],[Password]],aoc_02_input[[#This Row],[Int1]],1)</f>
        <v>n</v>
      </c>
      <c r="K977" s="1">
        <f>IF(aoc_02_input[[#This Row],[Pos1]]=aoc_02_input[[#This Row],[Char]],1,0)</f>
        <v>1</v>
      </c>
      <c r="L977" s="1" t="str">
        <f>MID(aoc_02_input[[#This Row],[Password]],aoc_02_input[[#This Row],[Int2]],1)</f>
        <v>n</v>
      </c>
      <c r="M977" s="1">
        <f>IF(aoc_02_input[[#This Row],[Pos2]]=aoc_02_input[[#This Row],[Char]],1,0)</f>
        <v>1</v>
      </c>
      <c r="N977" s="1">
        <f>IF(aoc_02_input[[#This Row],[Pos1Valid]]&lt;&gt;aoc_02_input[[#This Row],[Pos2Valid]],1,0)</f>
        <v>0</v>
      </c>
    </row>
    <row r="978" spans="1:14" x14ac:dyDescent="0.45">
      <c r="A978" s="1" t="s">
        <v>242</v>
      </c>
      <c r="B978" s="1" t="s">
        <v>213</v>
      </c>
      <c r="C978" s="1" t="s">
        <v>1347</v>
      </c>
      <c r="D978" s="1">
        <f>FIND("-",aoc_02_input[[#This Row],[InputNumbers]])</f>
        <v>3</v>
      </c>
      <c r="E978" s="1">
        <f>_xlfn.NUMBERVALUE(LEFT(aoc_02_input[[#This Row],[InputNumbers]],aoc_02_input[[#This Row],[PosDash]]-1))</f>
        <v>10</v>
      </c>
      <c r="F978" s="1">
        <f>_xlfn.NUMBERVALUE(MID(aoc_02_input[[#This Row],[InputNumbers]],aoc_02_input[[#This Row],[PosDash]]+1,5))</f>
        <v>11</v>
      </c>
      <c r="G978" s="1" t="str">
        <f>LEFT(aoc_02_input[[#This Row],[InputChar]],1)</f>
        <v>m</v>
      </c>
      <c r="H978" s="1" cm="1">
        <f t="array" ref="H978">CountChar(aoc_02_input[[#This Row],[Password]],aoc_02_input[[#This Row],[Char]])</f>
        <v>7</v>
      </c>
      <c r="I978" s="1">
        <f>IF(AND(aoc_02_input[[#This Row],[Int1]]&lt;=aoc_02_input[[#This Row],[CountOfChar]],aoc_02_input[[#This Row],[CountOfChar]]&lt;=aoc_02_input[[#This Row],[Int2]]),1,0)</f>
        <v>0</v>
      </c>
      <c r="J978" s="1" t="str">
        <f>MID(aoc_02_input[[#This Row],[Password]],aoc_02_input[[#This Row],[Int1]],1)</f>
        <v>v</v>
      </c>
      <c r="K978" s="1">
        <f>IF(aoc_02_input[[#This Row],[Pos1]]=aoc_02_input[[#This Row],[Char]],1,0)</f>
        <v>0</v>
      </c>
      <c r="L978" s="1" t="str">
        <f>MID(aoc_02_input[[#This Row],[Password]],aoc_02_input[[#This Row],[Int2]],1)</f>
        <v>s</v>
      </c>
      <c r="M978" s="1">
        <f>IF(aoc_02_input[[#This Row],[Pos2]]=aoc_02_input[[#This Row],[Char]],1,0)</f>
        <v>0</v>
      </c>
      <c r="N978" s="1">
        <f>IF(aoc_02_input[[#This Row],[Pos1Valid]]&lt;&gt;aoc_02_input[[#This Row],[Pos2Valid]],1,0)</f>
        <v>0</v>
      </c>
    </row>
    <row r="979" spans="1:14" x14ac:dyDescent="0.45">
      <c r="A979" s="1" t="s">
        <v>221</v>
      </c>
      <c r="B979" s="1" t="s">
        <v>225</v>
      </c>
      <c r="C979" s="1" t="s">
        <v>1348</v>
      </c>
      <c r="D979" s="1">
        <f>FIND("-",aoc_02_input[[#This Row],[InputNumbers]])</f>
        <v>2</v>
      </c>
      <c r="E979" s="1">
        <f>_xlfn.NUMBERVALUE(LEFT(aoc_02_input[[#This Row],[InputNumbers]],aoc_02_input[[#This Row],[PosDash]]-1))</f>
        <v>2</v>
      </c>
      <c r="F979" s="1">
        <f>_xlfn.NUMBERVALUE(MID(aoc_02_input[[#This Row],[InputNumbers]],aoc_02_input[[#This Row],[PosDash]]+1,5))</f>
        <v>3</v>
      </c>
      <c r="G979" s="1" t="str">
        <f>LEFT(aoc_02_input[[#This Row],[InputChar]],1)</f>
        <v>j</v>
      </c>
      <c r="H979" s="1" cm="1">
        <f t="array" ref="H979">CountChar(aoc_02_input[[#This Row],[Password]],aoc_02_input[[#This Row],[Char]])</f>
        <v>4</v>
      </c>
      <c r="I979" s="1">
        <f>IF(AND(aoc_02_input[[#This Row],[Int1]]&lt;=aoc_02_input[[#This Row],[CountOfChar]],aoc_02_input[[#This Row],[CountOfChar]]&lt;=aoc_02_input[[#This Row],[Int2]]),1,0)</f>
        <v>0</v>
      </c>
      <c r="J979" s="1" t="str">
        <f>MID(aoc_02_input[[#This Row],[Password]],aoc_02_input[[#This Row],[Int1]],1)</f>
        <v>j</v>
      </c>
      <c r="K979" s="1">
        <f>IF(aoc_02_input[[#This Row],[Pos1]]=aoc_02_input[[#This Row],[Char]],1,0)</f>
        <v>1</v>
      </c>
      <c r="L979" s="1" t="str">
        <f>MID(aoc_02_input[[#This Row],[Password]],aoc_02_input[[#This Row],[Int2]],1)</f>
        <v>j</v>
      </c>
      <c r="M979" s="1">
        <f>IF(aoc_02_input[[#This Row],[Pos2]]=aoc_02_input[[#This Row],[Char]],1,0)</f>
        <v>1</v>
      </c>
      <c r="N979" s="1">
        <f>IF(aoc_02_input[[#This Row],[Pos1Valid]]&lt;&gt;aoc_02_input[[#This Row],[Pos2Valid]],1,0)</f>
        <v>0</v>
      </c>
    </row>
    <row r="980" spans="1:14" x14ac:dyDescent="0.45">
      <c r="A980" s="1" t="s">
        <v>230</v>
      </c>
      <c r="B980" s="1" t="s">
        <v>314</v>
      </c>
      <c r="C980" s="1" t="s">
        <v>1349</v>
      </c>
      <c r="D980" s="1">
        <f>FIND("-",aoc_02_input[[#This Row],[InputNumbers]])</f>
        <v>2</v>
      </c>
      <c r="E980" s="1">
        <f>_xlfn.NUMBERVALUE(LEFT(aoc_02_input[[#This Row],[InputNumbers]],aoc_02_input[[#This Row],[PosDash]]-1))</f>
        <v>2</v>
      </c>
      <c r="F980" s="1">
        <f>_xlfn.NUMBERVALUE(MID(aoc_02_input[[#This Row],[InputNumbers]],aoc_02_input[[#This Row],[PosDash]]+1,5))</f>
        <v>4</v>
      </c>
      <c r="G980" s="1" t="str">
        <f>LEFT(aoc_02_input[[#This Row],[InputChar]],1)</f>
        <v>h</v>
      </c>
      <c r="H980" s="1" cm="1">
        <f t="array" ref="H980">CountChar(aoc_02_input[[#This Row],[Password]],aoc_02_input[[#This Row],[Char]])</f>
        <v>8</v>
      </c>
      <c r="I980" s="1">
        <f>IF(AND(aoc_02_input[[#This Row],[Int1]]&lt;=aoc_02_input[[#This Row],[CountOfChar]],aoc_02_input[[#This Row],[CountOfChar]]&lt;=aoc_02_input[[#This Row],[Int2]]),1,0)</f>
        <v>0</v>
      </c>
      <c r="J980" s="1" t="str">
        <f>MID(aoc_02_input[[#This Row],[Password]],aoc_02_input[[#This Row],[Int1]],1)</f>
        <v>h</v>
      </c>
      <c r="K980" s="1">
        <f>IF(aoc_02_input[[#This Row],[Pos1]]=aoc_02_input[[#This Row],[Char]],1,0)</f>
        <v>1</v>
      </c>
      <c r="L980" s="1" t="str">
        <f>MID(aoc_02_input[[#This Row],[Password]],aoc_02_input[[#This Row],[Int2]],1)</f>
        <v>f</v>
      </c>
      <c r="M980" s="1">
        <f>IF(aoc_02_input[[#This Row],[Pos2]]=aoc_02_input[[#This Row],[Char]],1,0)</f>
        <v>0</v>
      </c>
      <c r="N980" s="1">
        <f>IF(aoc_02_input[[#This Row],[Pos1Valid]]&lt;&gt;aoc_02_input[[#This Row],[Pos2Valid]],1,0)</f>
        <v>1</v>
      </c>
    </row>
    <row r="981" spans="1:14" x14ac:dyDescent="0.45">
      <c r="A981" s="1" t="s">
        <v>283</v>
      </c>
      <c r="B981" s="1" t="s">
        <v>207</v>
      </c>
      <c r="C981" s="1" t="s">
        <v>1350</v>
      </c>
      <c r="D981" s="1">
        <f>FIND("-",aoc_02_input[[#This Row],[InputNumbers]])</f>
        <v>2</v>
      </c>
      <c r="E981" s="1">
        <f>_xlfn.NUMBERVALUE(LEFT(aoc_02_input[[#This Row],[InputNumbers]],aoc_02_input[[#This Row],[PosDash]]-1))</f>
        <v>3</v>
      </c>
      <c r="F981" s="1">
        <f>_xlfn.NUMBERVALUE(MID(aoc_02_input[[#This Row],[InputNumbers]],aoc_02_input[[#This Row],[PosDash]]+1,5))</f>
        <v>4</v>
      </c>
      <c r="G981" s="1" t="str">
        <f>LEFT(aoc_02_input[[#This Row],[InputChar]],1)</f>
        <v>b</v>
      </c>
      <c r="H981" s="1" cm="1">
        <f t="array" ref="H981">CountChar(aoc_02_input[[#This Row],[Password]],aoc_02_input[[#This Row],[Char]])</f>
        <v>3</v>
      </c>
      <c r="I981" s="1">
        <f>IF(AND(aoc_02_input[[#This Row],[Int1]]&lt;=aoc_02_input[[#This Row],[CountOfChar]],aoc_02_input[[#This Row],[CountOfChar]]&lt;=aoc_02_input[[#This Row],[Int2]]),1,0)</f>
        <v>1</v>
      </c>
      <c r="J981" s="1" t="str">
        <f>MID(aoc_02_input[[#This Row],[Password]],aoc_02_input[[#This Row],[Int1]],1)</f>
        <v>b</v>
      </c>
      <c r="K981" s="1">
        <f>IF(aoc_02_input[[#This Row],[Pos1]]=aoc_02_input[[#This Row],[Char]],1,0)</f>
        <v>1</v>
      </c>
      <c r="L981" s="1" t="str">
        <f>MID(aoc_02_input[[#This Row],[Password]],aoc_02_input[[#This Row],[Int2]],1)</f>
        <v>c</v>
      </c>
      <c r="M981" s="1">
        <f>IF(aoc_02_input[[#This Row],[Pos2]]=aoc_02_input[[#This Row],[Char]],1,0)</f>
        <v>0</v>
      </c>
      <c r="N981" s="1">
        <f>IF(aoc_02_input[[#This Row],[Pos1Valid]]&lt;&gt;aoc_02_input[[#This Row],[Pos2Valid]],1,0)</f>
        <v>1</v>
      </c>
    </row>
    <row r="982" spans="1:14" x14ac:dyDescent="0.45">
      <c r="A982" s="1" t="s">
        <v>271</v>
      </c>
      <c r="B982" s="1" t="s">
        <v>265</v>
      </c>
      <c r="C982" s="1" t="s">
        <v>1351</v>
      </c>
      <c r="D982" s="1">
        <f>FIND("-",aoc_02_input[[#This Row],[InputNumbers]])</f>
        <v>2</v>
      </c>
      <c r="E982" s="1">
        <f>_xlfn.NUMBERVALUE(LEFT(aoc_02_input[[#This Row],[InputNumbers]],aoc_02_input[[#This Row],[PosDash]]-1))</f>
        <v>9</v>
      </c>
      <c r="F982" s="1">
        <f>_xlfn.NUMBERVALUE(MID(aoc_02_input[[#This Row],[InputNumbers]],aoc_02_input[[#This Row],[PosDash]]+1,5))</f>
        <v>10</v>
      </c>
      <c r="G982" s="1" t="str">
        <f>LEFT(aoc_02_input[[#This Row],[InputChar]],1)</f>
        <v>r</v>
      </c>
      <c r="H982" s="1" cm="1">
        <f t="array" ref="H982">CountChar(aoc_02_input[[#This Row],[Password]],aoc_02_input[[#This Row],[Char]])</f>
        <v>10</v>
      </c>
      <c r="I982" s="1">
        <f>IF(AND(aoc_02_input[[#This Row],[Int1]]&lt;=aoc_02_input[[#This Row],[CountOfChar]],aoc_02_input[[#This Row],[CountOfChar]]&lt;=aoc_02_input[[#This Row],[Int2]]),1,0)</f>
        <v>1</v>
      </c>
      <c r="J982" s="1" t="str">
        <f>MID(aoc_02_input[[#This Row],[Password]],aoc_02_input[[#This Row],[Int1]],1)</f>
        <v>r</v>
      </c>
      <c r="K982" s="1">
        <f>IF(aoc_02_input[[#This Row],[Pos1]]=aoc_02_input[[#This Row],[Char]],1,0)</f>
        <v>1</v>
      </c>
      <c r="L982" s="1" t="str">
        <f>MID(aoc_02_input[[#This Row],[Password]],aoc_02_input[[#This Row],[Int2]],1)</f>
        <v>r</v>
      </c>
      <c r="M982" s="1">
        <f>IF(aoc_02_input[[#This Row],[Pos2]]=aoc_02_input[[#This Row],[Char]],1,0)</f>
        <v>1</v>
      </c>
      <c r="N982" s="1">
        <f>IF(aoc_02_input[[#This Row],[Pos1Valid]]&lt;&gt;aoc_02_input[[#This Row],[Pos2Valid]],1,0)</f>
        <v>0</v>
      </c>
    </row>
    <row r="983" spans="1:14" x14ac:dyDescent="0.45">
      <c r="A983" s="1" t="s">
        <v>307</v>
      </c>
      <c r="B983" s="1" t="s">
        <v>213</v>
      </c>
      <c r="C983" s="1" t="s">
        <v>1352</v>
      </c>
      <c r="D983" s="1">
        <f>FIND("-",aoc_02_input[[#This Row],[InputNumbers]])</f>
        <v>2</v>
      </c>
      <c r="E983" s="1">
        <f>_xlfn.NUMBERVALUE(LEFT(aoc_02_input[[#This Row],[InputNumbers]],aoc_02_input[[#This Row],[PosDash]]-1))</f>
        <v>3</v>
      </c>
      <c r="F983" s="1">
        <f>_xlfn.NUMBERVALUE(MID(aoc_02_input[[#This Row],[InputNumbers]],aoc_02_input[[#This Row],[PosDash]]+1,5))</f>
        <v>5</v>
      </c>
      <c r="G983" s="1" t="str">
        <f>LEFT(aoc_02_input[[#This Row],[InputChar]],1)</f>
        <v>m</v>
      </c>
      <c r="H983" s="1" cm="1">
        <f t="array" ref="H983">CountChar(aoc_02_input[[#This Row],[Password]],aoc_02_input[[#This Row],[Char]])</f>
        <v>3</v>
      </c>
      <c r="I983" s="1">
        <f>IF(AND(aoc_02_input[[#This Row],[Int1]]&lt;=aoc_02_input[[#This Row],[CountOfChar]],aoc_02_input[[#This Row],[CountOfChar]]&lt;=aoc_02_input[[#This Row],[Int2]]),1,0)</f>
        <v>1</v>
      </c>
      <c r="J983" s="1" t="str">
        <f>MID(aoc_02_input[[#This Row],[Password]],aoc_02_input[[#This Row],[Int1]],1)</f>
        <v>m</v>
      </c>
      <c r="K983" s="1">
        <f>IF(aoc_02_input[[#This Row],[Pos1]]=aoc_02_input[[#This Row],[Char]],1,0)</f>
        <v>1</v>
      </c>
      <c r="L983" s="1" t="str">
        <f>MID(aoc_02_input[[#This Row],[Password]],aoc_02_input[[#This Row],[Int2]],1)</f>
        <v>m</v>
      </c>
      <c r="M983" s="1">
        <f>IF(aoc_02_input[[#This Row],[Pos2]]=aoc_02_input[[#This Row],[Char]],1,0)</f>
        <v>1</v>
      </c>
      <c r="N983" s="1">
        <f>IF(aoc_02_input[[#This Row],[Pos1Valid]]&lt;&gt;aoc_02_input[[#This Row],[Pos2Valid]],1,0)</f>
        <v>0</v>
      </c>
    </row>
    <row r="984" spans="1:14" x14ac:dyDescent="0.45">
      <c r="A984" s="1" t="s">
        <v>288</v>
      </c>
      <c r="B984" s="1" t="s">
        <v>314</v>
      </c>
      <c r="C984" s="1" t="s">
        <v>1353</v>
      </c>
      <c r="D984" s="1">
        <f>FIND("-",aoc_02_input[[#This Row],[InputNumbers]])</f>
        <v>2</v>
      </c>
      <c r="E984" s="1">
        <f>_xlfn.NUMBERVALUE(LEFT(aoc_02_input[[#This Row],[InputNumbers]],aoc_02_input[[#This Row],[PosDash]]-1))</f>
        <v>1</v>
      </c>
      <c r="F984" s="1">
        <f>_xlfn.NUMBERVALUE(MID(aoc_02_input[[#This Row],[InputNumbers]],aoc_02_input[[#This Row],[PosDash]]+1,5))</f>
        <v>4</v>
      </c>
      <c r="G984" s="1" t="str">
        <f>LEFT(aoc_02_input[[#This Row],[InputChar]],1)</f>
        <v>h</v>
      </c>
      <c r="H984" s="1" cm="1">
        <f t="array" ref="H984">CountChar(aoc_02_input[[#This Row],[Password]],aoc_02_input[[#This Row],[Char]])</f>
        <v>5</v>
      </c>
      <c r="I984" s="1">
        <f>IF(AND(aoc_02_input[[#This Row],[Int1]]&lt;=aoc_02_input[[#This Row],[CountOfChar]],aoc_02_input[[#This Row],[CountOfChar]]&lt;=aoc_02_input[[#This Row],[Int2]]),1,0)</f>
        <v>0</v>
      </c>
      <c r="J984" s="1" t="str">
        <f>MID(aoc_02_input[[#This Row],[Password]],aoc_02_input[[#This Row],[Int1]],1)</f>
        <v>h</v>
      </c>
      <c r="K984" s="1">
        <f>IF(aoc_02_input[[#This Row],[Pos1]]=aoc_02_input[[#This Row],[Char]],1,0)</f>
        <v>1</v>
      </c>
      <c r="L984" s="1" t="str">
        <f>MID(aoc_02_input[[#This Row],[Password]],aoc_02_input[[#This Row],[Int2]],1)</f>
        <v>f</v>
      </c>
      <c r="M984" s="1">
        <f>IF(aoc_02_input[[#This Row],[Pos2]]=aoc_02_input[[#This Row],[Char]],1,0)</f>
        <v>0</v>
      </c>
      <c r="N984" s="1">
        <f>IF(aoc_02_input[[#This Row],[Pos1Valid]]&lt;&gt;aoc_02_input[[#This Row],[Pos2Valid]],1,0)</f>
        <v>1</v>
      </c>
    </row>
    <row r="985" spans="1:14" x14ac:dyDescent="0.45">
      <c r="A985" s="1" t="s">
        <v>324</v>
      </c>
      <c r="B985" s="1" t="s">
        <v>314</v>
      </c>
      <c r="C985" s="1" t="s">
        <v>1354</v>
      </c>
      <c r="D985" s="1">
        <f>FIND("-",aoc_02_input[[#This Row],[InputNumbers]])</f>
        <v>2</v>
      </c>
      <c r="E985" s="1">
        <f>_xlfn.NUMBERVALUE(LEFT(aoc_02_input[[#This Row],[InputNumbers]],aoc_02_input[[#This Row],[PosDash]]-1))</f>
        <v>1</v>
      </c>
      <c r="F985" s="1">
        <f>_xlfn.NUMBERVALUE(MID(aoc_02_input[[#This Row],[InputNumbers]],aoc_02_input[[#This Row],[PosDash]]+1,5))</f>
        <v>3</v>
      </c>
      <c r="G985" s="1" t="str">
        <f>LEFT(aoc_02_input[[#This Row],[InputChar]],1)</f>
        <v>h</v>
      </c>
      <c r="H985" s="1" cm="1">
        <f t="array" ref="H985">CountChar(aoc_02_input[[#This Row],[Password]],aoc_02_input[[#This Row],[Char]])</f>
        <v>3</v>
      </c>
      <c r="I985" s="1">
        <f>IF(AND(aoc_02_input[[#This Row],[Int1]]&lt;=aoc_02_input[[#This Row],[CountOfChar]],aoc_02_input[[#This Row],[CountOfChar]]&lt;=aoc_02_input[[#This Row],[Int2]]),1,0)</f>
        <v>1</v>
      </c>
      <c r="J985" s="1" t="str">
        <f>MID(aoc_02_input[[#This Row],[Password]],aoc_02_input[[#This Row],[Int1]],1)</f>
        <v>h</v>
      </c>
      <c r="K985" s="1">
        <f>IF(aoc_02_input[[#This Row],[Pos1]]=aoc_02_input[[#This Row],[Char]],1,0)</f>
        <v>1</v>
      </c>
      <c r="L985" s="1" t="str">
        <f>MID(aoc_02_input[[#This Row],[Password]],aoc_02_input[[#This Row],[Int2]],1)</f>
        <v>m</v>
      </c>
      <c r="M985" s="1">
        <f>IF(aoc_02_input[[#This Row],[Pos2]]=aoc_02_input[[#This Row],[Char]],1,0)</f>
        <v>0</v>
      </c>
      <c r="N985" s="1">
        <f>IF(aoc_02_input[[#This Row],[Pos1Valid]]&lt;&gt;aoc_02_input[[#This Row],[Pos2Valid]],1,0)</f>
        <v>1</v>
      </c>
    </row>
    <row r="986" spans="1:14" x14ac:dyDescent="0.45">
      <c r="A986" s="1" t="s">
        <v>363</v>
      </c>
      <c r="B986" s="1" t="s">
        <v>295</v>
      </c>
      <c r="C986" s="1" t="s">
        <v>1355</v>
      </c>
      <c r="D986" s="1">
        <f>FIND("-",aoc_02_input[[#This Row],[InputNumbers]])</f>
        <v>3</v>
      </c>
      <c r="E986" s="1">
        <f>_xlfn.NUMBERVALUE(LEFT(aoc_02_input[[#This Row],[InputNumbers]],aoc_02_input[[#This Row],[PosDash]]-1))</f>
        <v>11</v>
      </c>
      <c r="F986" s="1">
        <f>_xlfn.NUMBERVALUE(MID(aoc_02_input[[#This Row],[InputNumbers]],aoc_02_input[[#This Row],[PosDash]]+1,5))</f>
        <v>16</v>
      </c>
      <c r="G986" s="1" t="str">
        <f>LEFT(aoc_02_input[[#This Row],[InputChar]],1)</f>
        <v>c</v>
      </c>
      <c r="H986" s="1" cm="1">
        <f t="array" ref="H986">CountChar(aoc_02_input[[#This Row],[Password]],aoc_02_input[[#This Row],[Char]])</f>
        <v>5</v>
      </c>
      <c r="I986" s="1">
        <f>IF(AND(aoc_02_input[[#This Row],[Int1]]&lt;=aoc_02_input[[#This Row],[CountOfChar]],aoc_02_input[[#This Row],[CountOfChar]]&lt;=aoc_02_input[[#This Row],[Int2]]),1,0)</f>
        <v>0</v>
      </c>
      <c r="J986" s="1" t="str">
        <f>MID(aoc_02_input[[#This Row],[Password]],aoc_02_input[[#This Row],[Int1]],1)</f>
        <v>c</v>
      </c>
      <c r="K986" s="1">
        <f>IF(aoc_02_input[[#This Row],[Pos1]]=aoc_02_input[[#This Row],[Char]],1,0)</f>
        <v>1</v>
      </c>
      <c r="L986" s="1" t="str">
        <f>MID(aoc_02_input[[#This Row],[Password]],aoc_02_input[[#This Row],[Int2]],1)</f>
        <v>w</v>
      </c>
      <c r="M986" s="1">
        <f>IF(aoc_02_input[[#This Row],[Pos2]]=aoc_02_input[[#This Row],[Char]],1,0)</f>
        <v>0</v>
      </c>
      <c r="N986" s="1">
        <f>IF(aoc_02_input[[#This Row],[Pos1Valid]]&lt;&gt;aoc_02_input[[#This Row],[Pos2Valid]],1,0)</f>
        <v>1</v>
      </c>
    </row>
    <row r="987" spans="1:14" x14ac:dyDescent="0.45">
      <c r="A987" s="1" t="s">
        <v>392</v>
      </c>
      <c r="B987" s="1" t="s">
        <v>252</v>
      </c>
      <c r="C987" s="1" t="s">
        <v>1356</v>
      </c>
      <c r="D987" s="1">
        <f>FIND("-",aoc_02_input[[#This Row],[InputNumbers]])</f>
        <v>2</v>
      </c>
      <c r="E987" s="1">
        <f>_xlfn.NUMBERVALUE(LEFT(aoc_02_input[[#This Row],[InputNumbers]],aoc_02_input[[#This Row],[PosDash]]-1))</f>
        <v>8</v>
      </c>
      <c r="F987" s="1">
        <f>_xlfn.NUMBERVALUE(MID(aoc_02_input[[#This Row],[InputNumbers]],aoc_02_input[[#This Row],[PosDash]]+1,5))</f>
        <v>9</v>
      </c>
      <c r="G987" s="1" t="str">
        <f>LEFT(aoc_02_input[[#This Row],[InputChar]],1)</f>
        <v>p</v>
      </c>
      <c r="H987" s="1" cm="1">
        <f t="array" ref="H987">CountChar(aoc_02_input[[#This Row],[Password]],aoc_02_input[[#This Row],[Char]])</f>
        <v>9</v>
      </c>
      <c r="I987" s="1">
        <f>IF(AND(aoc_02_input[[#This Row],[Int1]]&lt;=aoc_02_input[[#This Row],[CountOfChar]],aoc_02_input[[#This Row],[CountOfChar]]&lt;=aoc_02_input[[#This Row],[Int2]]),1,0)</f>
        <v>1</v>
      </c>
      <c r="J987" s="1" t="str">
        <f>MID(aoc_02_input[[#This Row],[Password]],aoc_02_input[[#This Row],[Int1]],1)</f>
        <v>p</v>
      </c>
      <c r="K987" s="1">
        <f>IF(aoc_02_input[[#This Row],[Pos1]]=aoc_02_input[[#This Row],[Char]],1,0)</f>
        <v>1</v>
      </c>
      <c r="L987" s="1" t="str">
        <f>MID(aoc_02_input[[#This Row],[Password]],aoc_02_input[[#This Row],[Int2]],1)</f>
        <v>k</v>
      </c>
      <c r="M987" s="1">
        <f>IF(aoc_02_input[[#This Row],[Pos2]]=aoc_02_input[[#This Row],[Char]],1,0)</f>
        <v>0</v>
      </c>
      <c r="N987" s="1">
        <f>IF(aoc_02_input[[#This Row],[Pos1Valid]]&lt;&gt;aoc_02_input[[#This Row],[Pos2Valid]],1,0)</f>
        <v>1</v>
      </c>
    </row>
    <row r="988" spans="1:14" x14ac:dyDescent="0.45">
      <c r="A988" s="1" t="s">
        <v>509</v>
      </c>
      <c r="B988" s="1" t="s">
        <v>265</v>
      </c>
      <c r="C988" s="1" t="s">
        <v>1357</v>
      </c>
      <c r="D988" s="1">
        <f>FIND("-",aoc_02_input[[#This Row],[InputNumbers]])</f>
        <v>3</v>
      </c>
      <c r="E988" s="1">
        <f>_xlfn.NUMBERVALUE(LEFT(aoc_02_input[[#This Row],[InputNumbers]],aoc_02_input[[#This Row],[PosDash]]-1))</f>
        <v>13</v>
      </c>
      <c r="F988" s="1">
        <f>_xlfn.NUMBERVALUE(MID(aoc_02_input[[#This Row],[InputNumbers]],aoc_02_input[[#This Row],[PosDash]]+1,5))</f>
        <v>17</v>
      </c>
      <c r="G988" s="1" t="str">
        <f>LEFT(aoc_02_input[[#This Row],[InputChar]],1)</f>
        <v>r</v>
      </c>
      <c r="H988" s="1" cm="1">
        <f t="array" ref="H988">CountChar(aoc_02_input[[#This Row],[Password]],aoc_02_input[[#This Row],[Char]])</f>
        <v>16</v>
      </c>
      <c r="I988" s="1">
        <f>IF(AND(aoc_02_input[[#This Row],[Int1]]&lt;=aoc_02_input[[#This Row],[CountOfChar]],aoc_02_input[[#This Row],[CountOfChar]]&lt;=aoc_02_input[[#This Row],[Int2]]),1,0)</f>
        <v>1</v>
      </c>
      <c r="J988" s="1" t="str">
        <f>MID(aoc_02_input[[#This Row],[Password]],aoc_02_input[[#This Row],[Int1]],1)</f>
        <v>r</v>
      </c>
      <c r="K988" s="1">
        <f>IF(aoc_02_input[[#This Row],[Pos1]]=aoc_02_input[[#This Row],[Char]],1,0)</f>
        <v>1</v>
      </c>
      <c r="L988" s="1" t="str">
        <f>MID(aoc_02_input[[#This Row],[Password]],aoc_02_input[[#This Row],[Int2]],1)</f>
        <v>b</v>
      </c>
      <c r="M988" s="1">
        <f>IF(aoc_02_input[[#This Row],[Pos2]]=aoc_02_input[[#This Row],[Char]],1,0)</f>
        <v>0</v>
      </c>
      <c r="N988" s="1">
        <f>IF(aoc_02_input[[#This Row],[Pos1Valid]]&lt;&gt;aoc_02_input[[#This Row],[Pos2Valid]],1,0)</f>
        <v>1</v>
      </c>
    </row>
    <row r="989" spans="1:14" x14ac:dyDescent="0.45">
      <c r="A989" s="1" t="s">
        <v>292</v>
      </c>
      <c r="B989" s="1" t="s">
        <v>249</v>
      </c>
      <c r="C989" s="1" t="s">
        <v>1358</v>
      </c>
      <c r="D989" s="1">
        <f>FIND("-",aoc_02_input[[#This Row],[InputNumbers]])</f>
        <v>2</v>
      </c>
      <c r="E989" s="1">
        <f>_xlfn.NUMBERVALUE(LEFT(aoc_02_input[[#This Row],[InputNumbers]],aoc_02_input[[#This Row],[PosDash]]-1))</f>
        <v>7</v>
      </c>
      <c r="F989" s="1">
        <f>_xlfn.NUMBERVALUE(MID(aoc_02_input[[#This Row],[InputNumbers]],aoc_02_input[[#This Row],[PosDash]]+1,5))</f>
        <v>9</v>
      </c>
      <c r="G989" s="1" t="str">
        <f>LEFT(aoc_02_input[[#This Row],[InputChar]],1)</f>
        <v>q</v>
      </c>
      <c r="H989" s="1" cm="1">
        <f t="array" ref="H989">CountChar(aoc_02_input[[#This Row],[Password]],aoc_02_input[[#This Row],[Char]])</f>
        <v>4</v>
      </c>
      <c r="I989" s="1">
        <f>IF(AND(aoc_02_input[[#This Row],[Int1]]&lt;=aoc_02_input[[#This Row],[CountOfChar]],aoc_02_input[[#This Row],[CountOfChar]]&lt;=aoc_02_input[[#This Row],[Int2]]),1,0)</f>
        <v>0</v>
      </c>
      <c r="J989" s="1" t="str">
        <f>MID(aoc_02_input[[#This Row],[Password]],aoc_02_input[[#This Row],[Int1]],1)</f>
        <v>q</v>
      </c>
      <c r="K989" s="1">
        <f>IF(aoc_02_input[[#This Row],[Pos1]]=aoc_02_input[[#This Row],[Char]],1,0)</f>
        <v>1</v>
      </c>
      <c r="L989" s="1" t="str">
        <f>MID(aoc_02_input[[#This Row],[Password]],aoc_02_input[[#This Row],[Int2]],1)</f>
        <v>q</v>
      </c>
      <c r="M989" s="1">
        <f>IF(aoc_02_input[[#This Row],[Pos2]]=aoc_02_input[[#This Row],[Char]],1,0)</f>
        <v>1</v>
      </c>
      <c r="N989" s="1">
        <f>IF(aoc_02_input[[#This Row],[Pos1Valid]]&lt;&gt;aoc_02_input[[#This Row],[Pos2Valid]],1,0)</f>
        <v>0</v>
      </c>
    </row>
    <row r="990" spans="1:14" x14ac:dyDescent="0.45">
      <c r="A990" s="1" t="s">
        <v>248</v>
      </c>
      <c r="B990" s="1" t="s">
        <v>295</v>
      </c>
      <c r="C990" s="1" t="s">
        <v>1359</v>
      </c>
      <c r="D990" s="1">
        <f>FIND("-",aoc_02_input[[#This Row],[InputNumbers]])</f>
        <v>3</v>
      </c>
      <c r="E990" s="1">
        <f>_xlfn.NUMBERVALUE(LEFT(aoc_02_input[[#This Row],[InputNumbers]],aoc_02_input[[#This Row],[PosDash]]-1))</f>
        <v>11</v>
      </c>
      <c r="F990" s="1">
        <f>_xlfn.NUMBERVALUE(MID(aoc_02_input[[#This Row],[InputNumbers]],aoc_02_input[[#This Row],[PosDash]]+1,5))</f>
        <v>12</v>
      </c>
      <c r="G990" s="1" t="str">
        <f>LEFT(aoc_02_input[[#This Row],[InputChar]],1)</f>
        <v>c</v>
      </c>
      <c r="H990" s="1" cm="1">
        <f t="array" ref="H990">CountChar(aoc_02_input[[#This Row],[Password]],aoc_02_input[[#This Row],[Char]])</f>
        <v>8</v>
      </c>
      <c r="I990" s="1">
        <f>IF(AND(aoc_02_input[[#This Row],[Int1]]&lt;=aoc_02_input[[#This Row],[CountOfChar]],aoc_02_input[[#This Row],[CountOfChar]]&lt;=aoc_02_input[[#This Row],[Int2]]),1,0)</f>
        <v>0</v>
      </c>
      <c r="J990" s="1" t="str">
        <f>MID(aoc_02_input[[#This Row],[Password]],aoc_02_input[[#This Row],[Int1]],1)</f>
        <v>c</v>
      </c>
      <c r="K990" s="1">
        <f>IF(aoc_02_input[[#This Row],[Pos1]]=aoc_02_input[[#This Row],[Char]],1,0)</f>
        <v>1</v>
      </c>
      <c r="L990" s="1" t="str">
        <f>MID(aoc_02_input[[#This Row],[Password]],aoc_02_input[[#This Row],[Int2]],1)</f>
        <v>x</v>
      </c>
      <c r="M990" s="1">
        <f>IF(aoc_02_input[[#This Row],[Pos2]]=aoc_02_input[[#This Row],[Char]],1,0)</f>
        <v>0</v>
      </c>
      <c r="N990" s="1">
        <f>IF(aoc_02_input[[#This Row],[Pos1Valid]]&lt;&gt;aoc_02_input[[#This Row],[Pos2Valid]],1,0)</f>
        <v>1</v>
      </c>
    </row>
    <row r="991" spans="1:14" x14ac:dyDescent="0.45">
      <c r="A991" s="1" t="s">
        <v>1360</v>
      </c>
      <c r="B991" s="1" t="s">
        <v>305</v>
      </c>
      <c r="C991" s="1" t="s">
        <v>1361</v>
      </c>
      <c r="D991" s="1">
        <f>FIND("-",aoc_02_input[[#This Row],[InputNumbers]])</f>
        <v>2</v>
      </c>
      <c r="E991" s="1">
        <f>_xlfn.NUMBERVALUE(LEFT(aoc_02_input[[#This Row],[InputNumbers]],aoc_02_input[[#This Row],[PosDash]]-1))</f>
        <v>4</v>
      </c>
      <c r="F991" s="1">
        <f>_xlfn.NUMBERVALUE(MID(aoc_02_input[[#This Row],[InputNumbers]],aoc_02_input[[#This Row],[PosDash]]+1,5))</f>
        <v>20</v>
      </c>
      <c r="G991" s="1" t="str">
        <f>LEFT(aoc_02_input[[#This Row],[InputChar]],1)</f>
        <v>s</v>
      </c>
      <c r="H991" s="1" cm="1">
        <f t="array" ref="H991">CountChar(aoc_02_input[[#This Row],[Password]],aoc_02_input[[#This Row],[Char]])</f>
        <v>12</v>
      </c>
      <c r="I991" s="1">
        <f>IF(AND(aoc_02_input[[#This Row],[Int1]]&lt;=aoc_02_input[[#This Row],[CountOfChar]],aoc_02_input[[#This Row],[CountOfChar]]&lt;=aoc_02_input[[#This Row],[Int2]]),1,0)</f>
        <v>1</v>
      </c>
      <c r="J991" s="1" t="str">
        <f>MID(aoc_02_input[[#This Row],[Password]],aoc_02_input[[#This Row],[Int1]],1)</f>
        <v>x</v>
      </c>
      <c r="K991" s="1">
        <f>IF(aoc_02_input[[#This Row],[Pos1]]=aoc_02_input[[#This Row],[Char]],1,0)</f>
        <v>0</v>
      </c>
      <c r="L991" s="1" t="str">
        <f>MID(aoc_02_input[[#This Row],[Password]],aoc_02_input[[#This Row],[Int2]],1)</f>
        <v>s</v>
      </c>
      <c r="M991" s="1">
        <f>IF(aoc_02_input[[#This Row],[Pos2]]=aoc_02_input[[#This Row],[Char]],1,0)</f>
        <v>1</v>
      </c>
      <c r="N991" s="1">
        <f>IF(aoc_02_input[[#This Row],[Pos1Valid]]&lt;&gt;aoc_02_input[[#This Row],[Pos2Valid]],1,0)</f>
        <v>1</v>
      </c>
    </row>
    <row r="992" spans="1:14" x14ac:dyDescent="0.45">
      <c r="A992" s="1" t="s">
        <v>299</v>
      </c>
      <c r="B992" s="1" t="s">
        <v>249</v>
      </c>
      <c r="C992" s="1" t="s">
        <v>1362</v>
      </c>
      <c r="D992" s="1">
        <f>FIND("-",aoc_02_input[[#This Row],[InputNumbers]])</f>
        <v>2</v>
      </c>
      <c r="E992" s="1">
        <f>_xlfn.NUMBERVALUE(LEFT(aoc_02_input[[#This Row],[InputNumbers]],aoc_02_input[[#This Row],[PosDash]]-1))</f>
        <v>1</v>
      </c>
      <c r="F992" s="1">
        <f>_xlfn.NUMBERVALUE(MID(aoc_02_input[[#This Row],[InputNumbers]],aoc_02_input[[#This Row],[PosDash]]+1,5))</f>
        <v>2</v>
      </c>
      <c r="G992" s="1" t="str">
        <f>LEFT(aoc_02_input[[#This Row],[InputChar]],1)</f>
        <v>q</v>
      </c>
      <c r="H992" s="1" cm="1">
        <f t="array" ref="H992">CountChar(aoc_02_input[[#This Row],[Password]],aoc_02_input[[#This Row],[Char]])</f>
        <v>1</v>
      </c>
      <c r="I992" s="1">
        <f>IF(AND(aoc_02_input[[#This Row],[Int1]]&lt;=aoc_02_input[[#This Row],[CountOfChar]],aoc_02_input[[#This Row],[CountOfChar]]&lt;=aoc_02_input[[#This Row],[Int2]]),1,0)</f>
        <v>1</v>
      </c>
      <c r="J992" s="1" t="str">
        <f>MID(aoc_02_input[[#This Row],[Password]],aoc_02_input[[#This Row],[Int1]],1)</f>
        <v>g</v>
      </c>
      <c r="K992" s="1">
        <f>IF(aoc_02_input[[#This Row],[Pos1]]=aoc_02_input[[#This Row],[Char]],1,0)</f>
        <v>0</v>
      </c>
      <c r="L992" s="1" t="str">
        <f>MID(aoc_02_input[[#This Row],[Password]],aoc_02_input[[#This Row],[Int2]],1)</f>
        <v>v</v>
      </c>
      <c r="M992" s="1">
        <f>IF(aoc_02_input[[#This Row],[Pos2]]=aoc_02_input[[#This Row],[Char]],1,0)</f>
        <v>0</v>
      </c>
      <c r="N992" s="1">
        <f>IF(aoc_02_input[[#This Row],[Pos1Valid]]&lt;&gt;aoc_02_input[[#This Row],[Pos2Valid]],1,0)</f>
        <v>0</v>
      </c>
    </row>
    <row r="993" spans="1:14" x14ac:dyDescent="0.45">
      <c r="A993" s="1" t="s">
        <v>724</v>
      </c>
      <c r="B993" s="1" t="s">
        <v>295</v>
      </c>
      <c r="C993" s="1" t="s">
        <v>1363</v>
      </c>
      <c r="D993" s="1">
        <f>FIND("-",aoc_02_input[[#This Row],[InputNumbers]])</f>
        <v>3</v>
      </c>
      <c r="E993" s="1">
        <f>_xlfn.NUMBERVALUE(LEFT(aoc_02_input[[#This Row],[InputNumbers]],aoc_02_input[[#This Row],[PosDash]]-1))</f>
        <v>12</v>
      </c>
      <c r="F993" s="1">
        <f>_xlfn.NUMBERVALUE(MID(aoc_02_input[[#This Row],[InputNumbers]],aoc_02_input[[#This Row],[PosDash]]+1,5))</f>
        <v>14</v>
      </c>
      <c r="G993" s="1" t="str">
        <f>LEFT(aoc_02_input[[#This Row],[InputChar]],1)</f>
        <v>c</v>
      </c>
      <c r="H993" s="1" cm="1">
        <f t="array" ref="H993">CountChar(aoc_02_input[[#This Row],[Password]],aoc_02_input[[#This Row],[Char]])</f>
        <v>10</v>
      </c>
      <c r="I993" s="1">
        <f>IF(AND(aoc_02_input[[#This Row],[Int1]]&lt;=aoc_02_input[[#This Row],[CountOfChar]],aoc_02_input[[#This Row],[CountOfChar]]&lt;=aoc_02_input[[#This Row],[Int2]]),1,0)</f>
        <v>0</v>
      </c>
      <c r="J993" s="1" t="str">
        <f>MID(aoc_02_input[[#This Row],[Password]],aoc_02_input[[#This Row],[Int1]],1)</f>
        <v>q</v>
      </c>
      <c r="K993" s="1">
        <f>IF(aoc_02_input[[#This Row],[Pos1]]=aoc_02_input[[#This Row],[Char]],1,0)</f>
        <v>0</v>
      </c>
      <c r="L993" s="1" t="str">
        <f>MID(aoc_02_input[[#This Row],[Password]],aoc_02_input[[#This Row],[Int2]],1)</f>
        <v>c</v>
      </c>
      <c r="M993" s="1">
        <f>IF(aoc_02_input[[#This Row],[Pos2]]=aoc_02_input[[#This Row],[Char]],1,0)</f>
        <v>1</v>
      </c>
      <c r="N993" s="1">
        <f>IF(aoc_02_input[[#This Row],[Pos1Valid]]&lt;&gt;aoc_02_input[[#This Row],[Pos2Valid]],1,0)</f>
        <v>1</v>
      </c>
    </row>
    <row r="994" spans="1:14" x14ac:dyDescent="0.45">
      <c r="A994" s="1" t="s">
        <v>337</v>
      </c>
      <c r="B994" s="1" t="s">
        <v>278</v>
      </c>
      <c r="C994" s="1" t="s">
        <v>1364</v>
      </c>
      <c r="D994" s="1">
        <f>FIND("-",aoc_02_input[[#This Row],[InputNumbers]])</f>
        <v>3</v>
      </c>
      <c r="E994" s="1">
        <f>_xlfn.NUMBERVALUE(LEFT(aoc_02_input[[#This Row],[InputNumbers]],aoc_02_input[[#This Row],[PosDash]]-1))</f>
        <v>10</v>
      </c>
      <c r="F994" s="1">
        <f>_xlfn.NUMBERVALUE(MID(aoc_02_input[[#This Row],[InputNumbers]],aoc_02_input[[#This Row],[PosDash]]+1,5))</f>
        <v>13</v>
      </c>
      <c r="G994" s="1" t="str">
        <f>LEFT(aoc_02_input[[#This Row],[InputChar]],1)</f>
        <v>x</v>
      </c>
      <c r="H994" s="1" cm="1">
        <f t="array" ref="H994">CountChar(aoc_02_input[[#This Row],[Password]],aoc_02_input[[#This Row],[Char]])</f>
        <v>12</v>
      </c>
      <c r="I994" s="1">
        <f>IF(AND(aoc_02_input[[#This Row],[Int1]]&lt;=aoc_02_input[[#This Row],[CountOfChar]],aoc_02_input[[#This Row],[CountOfChar]]&lt;=aoc_02_input[[#This Row],[Int2]]),1,0)</f>
        <v>1</v>
      </c>
      <c r="J994" s="1" t="str">
        <f>MID(aoc_02_input[[#This Row],[Password]],aoc_02_input[[#This Row],[Int1]],1)</f>
        <v>b</v>
      </c>
      <c r="K994" s="1">
        <f>IF(aoc_02_input[[#This Row],[Pos1]]=aoc_02_input[[#This Row],[Char]],1,0)</f>
        <v>0</v>
      </c>
      <c r="L994" s="1" t="str">
        <f>MID(aoc_02_input[[#This Row],[Password]],aoc_02_input[[#This Row],[Int2]],1)</f>
        <v>j</v>
      </c>
      <c r="M994" s="1">
        <f>IF(aoc_02_input[[#This Row],[Pos2]]=aoc_02_input[[#This Row],[Char]],1,0)</f>
        <v>0</v>
      </c>
      <c r="N994" s="1">
        <f>IF(aoc_02_input[[#This Row],[Pos1Valid]]&lt;&gt;aoc_02_input[[#This Row],[Pos2Valid]],1,0)</f>
        <v>0</v>
      </c>
    </row>
    <row r="995" spans="1:14" x14ac:dyDescent="0.45">
      <c r="A995" s="1" t="s">
        <v>212</v>
      </c>
      <c r="B995" s="1" t="s">
        <v>314</v>
      </c>
      <c r="C995" s="1" t="s">
        <v>1365</v>
      </c>
      <c r="D995" s="1">
        <f>FIND("-",aoc_02_input[[#This Row],[InputNumbers]])</f>
        <v>2</v>
      </c>
      <c r="E995" s="1">
        <f>_xlfn.NUMBERVALUE(LEFT(aoc_02_input[[#This Row],[InputNumbers]],aoc_02_input[[#This Row],[PosDash]]-1))</f>
        <v>2</v>
      </c>
      <c r="F995" s="1">
        <f>_xlfn.NUMBERVALUE(MID(aoc_02_input[[#This Row],[InputNumbers]],aoc_02_input[[#This Row],[PosDash]]+1,5))</f>
        <v>5</v>
      </c>
      <c r="G995" s="1" t="str">
        <f>LEFT(aoc_02_input[[#This Row],[InputChar]],1)</f>
        <v>h</v>
      </c>
      <c r="H995" s="1" cm="1">
        <f t="array" ref="H995">CountChar(aoc_02_input[[#This Row],[Password]],aoc_02_input[[#This Row],[Char]])</f>
        <v>4</v>
      </c>
      <c r="I995" s="1">
        <f>IF(AND(aoc_02_input[[#This Row],[Int1]]&lt;=aoc_02_input[[#This Row],[CountOfChar]],aoc_02_input[[#This Row],[CountOfChar]]&lt;=aoc_02_input[[#This Row],[Int2]]),1,0)</f>
        <v>1</v>
      </c>
      <c r="J995" s="1" t="str">
        <f>MID(aoc_02_input[[#This Row],[Password]],aoc_02_input[[#This Row],[Int1]],1)</f>
        <v>p</v>
      </c>
      <c r="K995" s="1">
        <f>IF(aoc_02_input[[#This Row],[Pos1]]=aoc_02_input[[#This Row],[Char]],1,0)</f>
        <v>0</v>
      </c>
      <c r="L995" s="1" t="str">
        <f>MID(aoc_02_input[[#This Row],[Password]],aoc_02_input[[#This Row],[Int2]],1)</f>
        <v>b</v>
      </c>
      <c r="M995" s="1">
        <f>IF(aoc_02_input[[#This Row],[Pos2]]=aoc_02_input[[#This Row],[Char]],1,0)</f>
        <v>0</v>
      </c>
      <c r="N995" s="1">
        <f>IF(aoc_02_input[[#This Row],[Pos1Valid]]&lt;&gt;aoc_02_input[[#This Row],[Pos2Valid]],1,0)</f>
        <v>0</v>
      </c>
    </row>
    <row r="996" spans="1:14" x14ac:dyDescent="0.45">
      <c r="A996" s="1" t="s">
        <v>221</v>
      </c>
      <c r="B996" s="1" t="s">
        <v>210</v>
      </c>
      <c r="C996" s="1" t="s">
        <v>1366</v>
      </c>
      <c r="D996" s="1">
        <f>FIND("-",aoc_02_input[[#This Row],[InputNumbers]])</f>
        <v>2</v>
      </c>
      <c r="E996" s="1">
        <f>_xlfn.NUMBERVALUE(LEFT(aoc_02_input[[#This Row],[InputNumbers]],aoc_02_input[[#This Row],[PosDash]]-1))</f>
        <v>2</v>
      </c>
      <c r="F996" s="1">
        <f>_xlfn.NUMBERVALUE(MID(aoc_02_input[[#This Row],[InputNumbers]],aoc_02_input[[#This Row],[PosDash]]+1,5))</f>
        <v>3</v>
      </c>
      <c r="G996" s="1" t="str">
        <f>LEFT(aoc_02_input[[#This Row],[InputChar]],1)</f>
        <v>v</v>
      </c>
      <c r="H996" s="1" cm="1">
        <f t="array" ref="H996">CountChar(aoc_02_input[[#This Row],[Password]],aoc_02_input[[#This Row],[Char]])</f>
        <v>2</v>
      </c>
      <c r="I996" s="1">
        <f>IF(AND(aoc_02_input[[#This Row],[Int1]]&lt;=aoc_02_input[[#This Row],[CountOfChar]],aoc_02_input[[#This Row],[CountOfChar]]&lt;=aoc_02_input[[#This Row],[Int2]]),1,0)</f>
        <v>1</v>
      </c>
      <c r="J996" s="1" t="str">
        <f>MID(aoc_02_input[[#This Row],[Password]],aoc_02_input[[#This Row],[Int1]],1)</f>
        <v>h</v>
      </c>
      <c r="K996" s="1">
        <f>IF(aoc_02_input[[#This Row],[Pos1]]=aoc_02_input[[#This Row],[Char]],1,0)</f>
        <v>0</v>
      </c>
      <c r="L996" s="1" t="str">
        <f>MID(aoc_02_input[[#This Row],[Password]],aoc_02_input[[#This Row],[Int2]],1)</f>
        <v>f</v>
      </c>
      <c r="M996" s="1">
        <f>IF(aoc_02_input[[#This Row],[Pos2]]=aoc_02_input[[#This Row],[Char]],1,0)</f>
        <v>0</v>
      </c>
      <c r="N996" s="1">
        <f>IF(aoc_02_input[[#This Row],[Pos1Valid]]&lt;&gt;aoc_02_input[[#This Row],[Pos2Valid]],1,0)</f>
        <v>0</v>
      </c>
    </row>
    <row r="997" spans="1:14" x14ac:dyDescent="0.45">
      <c r="A997" s="1" t="s">
        <v>438</v>
      </c>
      <c r="B997" s="1" t="s">
        <v>265</v>
      </c>
      <c r="C997" s="1" t="s">
        <v>1367</v>
      </c>
      <c r="D997" s="1">
        <f>FIND("-",aoc_02_input[[#This Row],[InputNumbers]])</f>
        <v>2</v>
      </c>
      <c r="E997" s="1">
        <f>_xlfn.NUMBERVALUE(LEFT(aoc_02_input[[#This Row],[InputNumbers]],aoc_02_input[[#This Row],[PosDash]]-1))</f>
        <v>7</v>
      </c>
      <c r="F997" s="1">
        <f>_xlfn.NUMBERVALUE(MID(aoc_02_input[[#This Row],[InputNumbers]],aoc_02_input[[#This Row],[PosDash]]+1,5))</f>
        <v>14</v>
      </c>
      <c r="G997" s="1" t="str">
        <f>LEFT(aoc_02_input[[#This Row],[InputChar]],1)</f>
        <v>r</v>
      </c>
      <c r="H997" s="1" cm="1">
        <f t="array" ref="H997">CountChar(aoc_02_input[[#This Row],[Password]],aoc_02_input[[#This Row],[Char]])</f>
        <v>6</v>
      </c>
      <c r="I997" s="1">
        <f>IF(AND(aoc_02_input[[#This Row],[Int1]]&lt;=aoc_02_input[[#This Row],[CountOfChar]],aoc_02_input[[#This Row],[CountOfChar]]&lt;=aoc_02_input[[#This Row],[Int2]]),1,0)</f>
        <v>0</v>
      </c>
      <c r="J997" s="1" t="str">
        <f>MID(aoc_02_input[[#This Row],[Password]],aoc_02_input[[#This Row],[Int1]],1)</f>
        <v>r</v>
      </c>
      <c r="K997" s="1">
        <f>IF(aoc_02_input[[#This Row],[Pos1]]=aoc_02_input[[#This Row],[Char]],1,0)</f>
        <v>1</v>
      </c>
      <c r="L997" s="1" t="str">
        <f>MID(aoc_02_input[[#This Row],[Password]],aoc_02_input[[#This Row],[Int2]],1)</f>
        <v>v</v>
      </c>
      <c r="M997" s="1">
        <f>IF(aoc_02_input[[#This Row],[Pos2]]=aoc_02_input[[#This Row],[Char]],1,0)</f>
        <v>0</v>
      </c>
      <c r="N997" s="1">
        <f>IF(aoc_02_input[[#This Row],[Pos1Valid]]&lt;&gt;aoc_02_input[[#This Row],[Pos2Valid]],1,0)</f>
        <v>1</v>
      </c>
    </row>
    <row r="998" spans="1:14" x14ac:dyDescent="0.45">
      <c r="A998" s="1" t="s">
        <v>299</v>
      </c>
      <c r="B998" s="1" t="s">
        <v>207</v>
      </c>
      <c r="C998" s="1" t="s">
        <v>1368</v>
      </c>
      <c r="D998" s="1">
        <f>FIND("-",aoc_02_input[[#This Row],[InputNumbers]])</f>
        <v>2</v>
      </c>
      <c r="E998" s="1">
        <f>_xlfn.NUMBERVALUE(LEFT(aoc_02_input[[#This Row],[InputNumbers]],aoc_02_input[[#This Row],[PosDash]]-1))</f>
        <v>1</v>
      </c>
      <c r="F998" s="1">
        <f>_xlfn.NUMBERVALUE(MID(aoc_02_input[[#This Row],[InputNumbers]],aoc_02_input[[#This Row],[PosDash]]+1,5))</f>
        <v>2</v>
      </c>
      <c r="G998" s="1" t="str">
        <f>LEFT(aoc_02_input[[#This Row],[InputChar]],1)</f>
        <v>b</v>
      </c>
      <c r="H998" s="1" cm="1">
        <f t="array" ref="H998">CountChar(aoc_02_input[[#This Row],[Password]],aoc_02_input[[#This Row],[Char]])</f>
        <v>4</v>
      </c>
      <c r="I998" s="1">
        <f>IF(AND(aoc_02_input[[#This Row],[Int1]]&lt;=aoc_02_input[[#This Row],[CountOfChar]],aoc_02_input[[#This Row],[CountOfChar]]&lt;=aoc_02_input[[#This Row],[Int2]]),1,0)</f>
        <v>0</v>
      </c>
      <c r="J998" s="1" t="str">
        <f>MID(aoc_02_input[[#This Row],[Password]],aoc_02_input[[#This Row],[Int1]],1)</f>
        <v>z</v>
      </c>
      <c r="K998" s="1">
        <f>IF(aoc_02_input[[#This Row],[Pos1]]=aoc_02_input[[#This Row],[Char]],1,0)</f>
        <v>0</v>
      </c>
      <c r="L998" s="1" t="str">
        <f>MID(aoc_02_input[[#This Row],[Password]],aoc_02_input[[#This Row],[Int2]],1)</f>
        <v>r</v>
      </c>
      <c r="M998" s="1">
        <f>IF(aoc_02_input[[#This Row],[Pos2]]=aoc_02_input[[#This Row],[Char]],1,0)</f>
        <v>0</v>
      </c>
      <c r="N998" s="1">
        <f>IF(aoc_02_input[[#This Row],[Pos1Valid]]&lt;&gt;aoc_02_input[[#This Row],[Pos2Valid]],1,0)</f>
        <v>0</v>
      </c>
    </row>
    <row r="999" spans="1:14" x14ac:dyDescent="0.45">
      <c r="A999" s="1" t="s">
        <v>392</v>
      </c>
      <c r="B999" s="1" t="s">
        <v>249</v>
      </c>
      <c r="C999" s="1" t="s">
        <v>1369</v>
      </c>
      <c r="D999" s="1">
        <f>FIND("-",aoc_02_input[[#This Row],[InputNumbers]])</f>
        <v>2</v>
      </c>
      <c r="E999" s="1">
        <f>_xlfn.NUMBERVALUE(LEFT(aoc_02_input[[#This Row],[InputNumbers]],aoc_02_input[[#This Row],[PosDash]]-1))</f>
        <v>8</v>
      </c>
      <c r="F999" s="1">
        <f>_xlfn.NUMBERVALUE(MID(aoc_02_input[[#This Row],[InputNumbers]],aoc_02_input[[#This Row],[PosDash]]+1,5))</f>
        <v>9</v>
      </c>
      <c r="G999" s="1" t="str">
        <f>LEFT(aoc_02_input[[#This Row],[InputChar]],1)</f>
        <v>q</v>
      </c>
      <c r="H999" s="1" cm="1">
        <f t="array" ref="H999">CountChar(aoc_02_input[[#This Row],[Password]],aoc_02_input[[#This Row],[Char]])</f>
        <v>8</v>
      </c>
      <c r="I999" s="1">
        <f>IF(AND(aoc_02_input[[#This Row],[Int1]]&lt;=aoc_02_input[[#This Row],[CountOfChar]],aoc_02_input[[#This Row],[CountOfChar]]&lt;=aoc_02_input[[#This Row],[Int2]]),1,0)</f>
        <v>1</v>
      </c>
      <c r="J999" s="1" t="str">
        <f>MID(aoc_02_input[[#This Row],[Password]],aoc_02_input[[#This Row],[Int1]],1)</f>
        <v>q</v>
      </c>
      <c r="K999" s="1">
        <f>IF(aoc_02_input[[#This Row],[Pos1]]=aoc_02_input[[#This Row],[Char]],1,0)</f>
        <v>1</v>
      </c>
      <c r="L999" s="1" t="str">
        <f>MID(aoc_02_input[[#This Row],[Password]],aoc_02_input[[#This Row],[Int2]],1)</f>
        <v>c</v>
      </c>
      <c r="M999" s="1">
        <f>IF(aoc_02_input[[#This Row],[Pos2]]=aoc_02_input[[#This Row],[Char]],1,0)</f>
        <v>0</v>
      </c>
      <c r="N999" s="1">
        <f>IF(aoc_02_input[[#This Row],[Pos1Valid]]&lt;&gt;aoc_02_input[[#This Row],[Pos2Valid]],1,0)</f>
        <v>1</v>
      </c>
    </row>
    <row r="1000" spans="1:14" x14ac:dyDescent="0.45">
      <c r="A1000" s="1" t="s">
        <v>427</v>
      </c>
      <c r="B1000" s="1" t="s">
        <v>213</v>
      </c>
      <c r="C1000" s="1" t="s">
        <v>1370</v>
      </c>
      <c r="D1000" s="1">
        <f>FIND("-",aoc_02_input[[#This Row],[InputNumbers]])</f>
        <v>2</v>
      </c>
      <c r="E1000" s="1">
        <f>_xlfn.NUMBERVALUE(LEFT(aoc_02_input[[#This Row],[InputNumbers]],aoc_02_input[[#This Row],[PosDash]]-1))</f>
        <v>3</v>
      </c>
      <c r="F1000" s="1">
        <f>_xlfn.NUMBERVALUE(MID(aoc_02_input[[#This Row],[InputNumbers]],aoc_02_input[[#This Row],[PosDash]]+1,5))</f>
        <v>8</v>
      </c>
      <c r="G1000" s="1" t="str">
        <f>LEFT(aoc_02_input[[#This Row],[InputChar]],1)</f>
        <v>m</v>
      </c>
      <c r="H1000" s="1" cm="1">
        <f t="array" ref="H1000">CountChar(aoc_02_input[[#This Row],[Password]],aoc_02_input[[#This Row],[Char]])</f>
        <v>11</v>
      </c>
      <c r="I1000" s="1">
        <f>IF(AND(aoc_02_input[[#This Row],[Int1]]&lt;=aoc_02_input[[#This Row],[CountOfChar]],aoc_02_input[[#This Row],[CountOfChar]]&lt;=aoc_02_input[[#This Row],[Int2]]),1,0)</f>
        <v>0</v>
      </c>
      <c r="J1000" s="1" t="str">
        <f>MID(aoc_02_input[[#This Row],[Password]],aoc_02_input[[#This Row],[Int1]],1)</f>
        <v>m</v>
      </c>
      <c r="K1000" s="1">
        <f>IF(aoc_02_input[[#This Row],[Pos1]]=aoc_02_input[[#This Row],[Char]],1,0)</f>
        <v>1</v>
      </c>
      <c r="L1000" s="1" t="str">
        <f>MID(aoc_02_input[[#This Row],[Password]],aoc_02_input[[#This Row],[Int2]],1)</f>
        <v>m</v>
      </c>
      <c r="M1000" s="1">
        <f>IF(aoc_02_input[[#This Row],[Pos2]]=aoc_02_input[[#This Row],[Char]],1,0)</f>
        <v>1</v>
      </c>
      <c r="N1000" s="1">
        <f>IF(aoc_02_input[[#This Row],[Pos1Valid]]&lt;&gt;aoc_02_input[[#This Row],[Pos2Valid]],1,0)</f>
        <v>0</v>
      </c>
    </row>
    <row r="1001" spans="1:14" x14ac:dyDescent="0.45">
      <c r="A1001" s="1" t="s">
        <v>212</v>
      </c>
      <c r="B1001" s="1" t="s">
        <v>243</v>
      </c>
      <c r="C1001" s="1" t="s">
        <v>1371</v>
      </c>
      <c r="D1001" s="1">
        <f>FIND("-",aoc_02_input[[#This Row],[InputNumbers]])</f>
        <v>2</v>
      </c>
      <c r="E1001" s="1">
        <f>_xlfn.NUMBERVALUE(LEFT(aoc_02_input[[#This Row],[InputNumbers]],aoc_02_input[[#This Row],[PosDash]]-1))</f>
        <v>2</v>
      </c>
      <c r="F1001" s="1">
        <f>_xlfn.NUMBERVALUE(MID(aoc_02_input[[#This Row],[InputNumbers]],aoc_02_input[[#This Row],[PosDash]]+1,5))</f>
        <v>5</v>
      </c>
      <c r="G1001" s="1" t="str">
        <f>LEFT(aoc_02_input[[#This Row],[InputChar]],1)</f>
        <v>f</v>
      </c>
      <c r="H1001" s="1" cm="1">
        <f t="array" ref="H1001">CountChar(aoc_02_input[[#This Row],[Password]],aoc_02_input[[#This Row],[Char]])</f>
        <v>1</v>
      </c>
      <c r="I1001" s="1">
        <f>IF(AND(aoc_02_input[[#This Row],[Int1]]&lt;=aoc_02_input[[#This Row],[CountOfChar]],aoc_02_input[[#This Row],[CountOfChar]]&lt;=aoc_02_input[[#This Row],[Int2]]),1,0)</f>
        <v>0</v>
      </c>
      <c r="J1001" s="1" t="str">
        <f>MID(aoc_02_input[[#This Row],[Password]],aoc_02_input[[#This Row],[Int1]],1)</f>
        <v>m</v>
      </c>
      <c r="K1001" s="1">
        <f>IF(aoc_02_input[[#This Row],[Pos1]]=aoc_02_input[[#This Row],[Char]],1,0)</f>
        <v>0</v>
      </c>
      <c r="L1001" s="1" t="str">
        <f>MID(aoc_02_input[[#This Row],[Password]],aoc_02_input[[#This Row],[Int2]],1)</f>
        <v>x</v>
      </c>
      <c r="M1001" s="1">
        <f>IF(aoc_02_input[[#This Row],[Pos2]]=aoc_02_input[[#This Row],[Char]],1,0)</f>
        <v>0</v>
      </c>
      <c r="N1001" s="1">
        <f>IF(aoc_02_input[[#This Row],[Pos1Valid]]&lt;&gt;aoc_02_input[[#This Row],[Pos2Valid]],1,0)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D9CDC-C42C-4EE2-B6A6-44C90276ED1E}">
  <sheetPr codeName="Sheet3"/>
  <dimension ref="B2:C3"/>
  <sheetViews>
    <sheetView workbookViewId="0">
      <selection activeCell="B2" sqref="B2:C3"/>
    </sheetView>
  </sheetViews>
  <sheetFormatPr defaultRowHeight="14.25" x14ac:dyDescent="0.45"/>
  <sheetData>
    <row r="2" spans="2:3" x14ac:dyDescent="0.45">
      <c r="B2" t="s">
        <v>200</v>
      </c>
      <c r="C2">
        <f>SUM(aoc_02_input[IsValid])</f>
        <v>548</v>
      </c>
    </row>
    <row r="3" spans="2:3" x14ac:dyDescent="0.45">
      <c r="B3" t="s">
        <v>201</v>
      </c>
      <c r="C3">
        <f>SUM(aoc_02_input[OnePosValid])</f>
        <v>502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4325-13B5-42B6-B158-74D88C1A55B4}">
  <dimension ref="A1:Q325"/>
  <sheetViews>
    <sheetView topLeftCell="F1" workbookViewId="0">
      <selection activeCell="Q7" sqref="Q7"/>
    </sheetView>
  </sheetViews>
  <sheetFormatPr defaultRowHeight="14.25" x14ac:dyDescent="0.45"/>
  <cols>
    <col min="1" max="1" width="22.3984375" bestFit="1" customWidth="1"/>
    <col min="2" max="2" width="6.796875" bestFit="1" customWidth="1"/>
    <col min="3" max="3" width="12.6640625" customWidth="1"/>
    <col min="8" max="8" width="8.73046875" bestFit="1" customWidth="1"/>
    <col min="9" max="9" width="14.265625" bestFit="1" customWidth="1"/>
    <col min="10" max="10" width="10.796875" bestFit="1" customWidth="1"/>
    <col min="11" max="11" width="8.73046875" bestFit="1" customWidth="1"/>
    <col min="12" max="12" width="14.265625" bestFit="1" customWidth="1"/>
    <col min="14" max="14" width="14.33203125" bestFit="1" customWidth="1"/>
  </cols>
  <sheetData>
    <row r="1" spans="1:17" x14ac:dyDescent="0.45">
      <c r="A1" t="s">
        <v>1709</v>
      </c>
      <c r="B1" t="s">
        <v>1379</v>
      </c>
      <c r="C1" t="s">
        <v>1711</v>
      </c>
      <c r="D1" t="s">
        <v>1710</v>
      </c>
      <c r="E1" t="s">
        <v>1712</v>
      </c>
      <c r="F1" t="s">
        <v>1713</v>
      </c>
      <c r="G1" t="s">
        <v>1714</v>
      </c>
      <c r="H1" t="s">
        <v>1715</v>
      </c>
      <c r="I1" t="s">
        <v>1716</v>
      </c>
      <c r="J1" t="s">
        <v>1717</v>
      </c>
      <c r="K1" t="s">
        <v>1718</v>
      </c>
      <c r="L1" t="s">
        <v>1720</v>
      </c>
      <c r="M1" t="s">
        <v>1721</v>
      </c>
      <c r="N1" t="s">
        <v>1722</v>
      </c>
      <c r="O1" t="s">
        <v>1719</v>
      </c>
      <c r="P1" t="s">
        <v>1723</v>
      </c>
      <c r="Q1" t="s">
        <v>1724</v>
      </c>
    </row>
    <row r="2" spans="1:17" x14ac:dyDescent="0.45">
      <c r="A2" s="1" t="s">
        <v>1386</v>
      </c>
      <c r="B2" s="1">
        <v>1</v>
      </c>
      <c r="C2" s="1" t="str">
        <f>MID(aoc_03_input[[#This Row],[Forest]],MOD(aoc_03_input[[#This Row],[Pos1]]-1,LEN(aoc_03_input[[#This Row],[Forest]]))+1,1)</f>
        <v>.</v>
      </c>
      <c r="D2" s="1">
        <f>IF(aoc_03_input[[#This Row],[CharAtPos1]]="#",1,0)</f>
        <v>0</v>
      </c>
      <c r="E2" s="1">
        <v>1</v>
      </c>
      <c r="F2" s="1" t="str">
        <f>MID(aoc_03_input[[#This Row],[Forest]],MOD(aoc_03_input[[#This Row],[Pos2_1]]-1,LEN(aoc_03_input[[#This Row],[Forest]]))+1,1)</f>
        <v>.</v>
      </c>
      <c r="G2" s="1">
        <f>IF(aoc_03_input[[#This Row],[CharAtPos2_1]]="#",1,0)</f>
        <v>0</v>
      </c>
      <c r="H2" s="1">
        <v>1</v>
      </c>
      <c r="I2" s="1" t="str">
        <f>MID(aoc_03_input[[#This Row],[Forest]],MOD(aoc_03_input[[#This Row],[Pos2_3]]-1,LEN(aoc_03_input[[#This Row],[Forest]]))+1,1)</f>
        <v>.</v>
      </c>
      <c r="J2" s="1">
        <f>IF(aoc_03_input[[#This Row],[CharAtPos2_3]]="#",1,0)</f>
        <v>0</v>
      </c>
      <c r="K2" s="1">
        <v>1</v>
      </c>
      <c r="L2" s="1" t="str">
        <f>MID(aoc_03_input[[#This Row],[Forest]],MOD(aoc_03_input[[#This Row],[Pos2_4]]-1,LEN(aoc_03_input[[#This Row],[Forest]]))+1,1)</f>
        <v>.</v>
      </c>
      <c r="M2" s="1">
        <f>IF(aoc_03_input[[#This Row],[CharAtPos2_4]]="#",1,0)</f>
        <v>0</v>
      </c>
      <c r="N2" s="1">
        <f>MOD(ROW(aoc_03_input[[#This Row],[CountRow2_5]])+1,2)</f>
        <v>1</v>
      </c>
      <c r="O2" s="1">
        <v>1</v>
      </c>
      <c r="P2" s="1" t="str">
        <f>MID(aoc_03_input[[#This Row],[Forest]],MOD(aoc_03_input[[#This Row],[Pos2_5]]-1,LEN(aoc_03_input[[#This Row],[Forest]]))+1,1)</f>
        <v>.</v>
      </c>
      <c r="Q2" s="1">
        <f>IF(AND(aoc_03_input[[#This Row],[CountRow2_5]]=1,aoc_03_input[[#This Row],[CharAtPos2_5]]="#"),1,0)</f>
        <v>0</v>
      </c>
    </row>
    <row r="3" spans="1:17" x14ac:dyDescent="0.45">
      <c r="A3" s="1" t="s">
        <v>1387</v>
      </c>
      <c r="B3" s="1">
        <f>B2+3</f>
        <v>4</v>
      </c>
      <c r="C3" s="1" t="str">
        <f>MID(aoc_03_input[[#This Row],[Forest]],MOD(aoc_03_input[[#This Row],[Pos1]]-1,LEN(aoc_03_input[[#This Row],[Forest]]))+1,1)</f>
        <v>.</v>
      </c>
      <c r="D3" s="1">
        <f>IF(aoc_03_input[[#This Row],[CharAtPos1]]="#",1,0)</f>
        <v>0</v>
      </c>
      <c r="E3" s="1">
        <f>E2+1</f>
        <v>2</v>
      </c>
      <c r="F3" s="1" t="str">
        <f>MID(aoc_03_input[[#This Row],[Forest]],MOD(aoc_03_input[[#This Row],[Pos2_1]]-1,LEN(aoc_03_input[[#This Row],[Forest]]))+1,1)</f>
        <v>.</v>
      </c>
      <c r="G3" s="1">
        <f>IF(aoc_03_input[[#This Row],[CharAtPos2_1]]="#",1,0)</f>
        <v>0</v>
      </c>
      <c r="H3" s="1">
        <f>H2+5</f>
        <v>6</v>
      </c>
      <c r="I3" s="1" t="str">
        <f>MID(aoc_03_input[[#This Row],[Forest]],MOD(aoc_03_input[[#This Row],[Pos2_3]]-1,LEN(aoc_03_input[[#This Row],[Forest]]))+1,1)</f>
        <v>.</v>
      </c>
      <c r="J3" s="1">
        <f>IF(aoc_03_input[[#This Row],[CharAtPos2_3]]="#",1,0)</f>
        <v>0</v>
      </c>
      <c r="K3" s="1">
        <f>K2+7</f>
        <v>8</v>
      </c>
      <c r="L3" s="1" t="str">
        <f>MID(aoc_03_input[[#This Row],[Forest]],MOD(aoc_03_input[[#This Row],[Pos2_4]]-1,LEN(aoc_03_input[[#This Row],[Forest]]))+1,1)</f>
        <v>.</v>
      </c>
      <c r="M3" s="1">
        <f>IF(aoc_03_input[[#This Row],[CharAtPos2_4]]="#",1,0)</f>
        <v>0</v>
      </c>
      <c r="N3" s="1">
        <f>MOD(ROW(aoc_03_input[[#This Row],[CountRow2_5]])+1,2)</f>
        <v>0</v>
      </c>
      <c r="O3" s="1">
        <v>1</v>
      </c>
      <c r="P3" s="1" t="str">
        <f>MID(aoc_03_input[[#This Row],[Forest]],MOD(aoc_03_input[[#This Row],[Pos2_5]]-1,LEN(aoc_03_input[[#This Row],[Forest]]))+1,1)</f>
        <v>.</v>
      </c>
      <c r="Q3" s="1">
        <f>IF(AND(aoc_03_input[[#This Row],[CountRow2_5]]=1,aoc_03_input[[#This Row],[CharAtPos2_5]]="#"),1,0)</f>
        <v>0</v>
      </c>
    </row>
    <row r="4" spans="1:17" x14ac:dyDescent="0.45">
      <c r="A4" s="1" t="s">
        <v>1388</v>
      </c>
      <c r="B4" s="1">
        <f t="shared" ref="B4:B67" si="0">B3+3</f>
        <v>7</v>
      </c>
      <c r="C4" s="1" t="str">
        <f>MID(aoc_03_input[[#This Row],[Forest]],MOD(aoc_03_input[[#This Row],[Pos1]]-1,LEN(aoc_03_input[[#This Row],[Forest]]))+1,1)</f>
        <v>#</v>
      </c>
      <c r="D4" s="1">
        <f>IF(aoc_03_input[[#This Row],[CharAtPos1]]="#",1,0)</f>
        <v>1</v>
      </c>
      <c r="E4" s="1">
        <f t="shared" ref="E4:E67" si="1">E3+1</f>
        <v>3</v>
      </c>
      <c r="F4" s="1" t="str">
        <f>MID(aoc_03_input[[#This Row],[Forest]],MOD(aoc_03_input[[#This Row],[Pos2_1]]-1,LEN(aoc_03_input[[#This Row],[Forest]]))+1,1)</f>
        <v>.</v>
      </c>
      <c r="G4" s="1">
        <f>IF(aoc_03_input[[#This Row],[CharAtPos2_1]]="#",1,0)</f>
        <v>0</v>
      </c>
      <c r="H4" s="1">
        <f t="shared" ref="H4:H67" si="2">H3+5</f>
        <v>11</v>
      </c>
      <c r="I4" s="1" t="str">
        <f>MID(aoc_03_input[[#This Row],[Forest]],MOD(aoc_03_input[[#This Row],[Pos2_3]]-1,LEN(aoc_03_input[[#This Row],[Forest]]))+1,1)</f>
        <v>.</v>
      </c>
      <c r="J4" s="1">
        <f>IF(aoc_03_input[[#This Row],[CharAtPos2_3]]="#",1,0)</f>
        <v>0</v>
      </c>
      <c r="K4" s="1">
        <f t="shared" ref="K4:K67" si="3">K3+7</f>
        <v>15</v>
      </c>
      <c r="L4" s="1" t="str">
        <f>MID(aoc_03_input[[#This Row],[Forest]],MOD(aoc_03_input[[#This Row],[Pos2_4]]-1,LEN(aoc_03_input[[#This Row],[Forest]]))+1,1)</f>
        <v>.</v>
      </c>
      <c r="M4" s="1">
        <f>IF(aoc_03_input[[#This Row],[CharAtPos2_4]]="#",1,0)</f>
        <v>0</v>
      </c>
      <c r="N4" s="1">
        <f>MOD(ROW(aoc_03_input[[#This Row],[CountRow2_5]])+1,2)</f>
        <v>1</v>
      </c>
      <c r="O4" s="1">
        <f>O2+1</f>
        <v>2</v>
      </c>
      <c r="P4" s="1" t="str">
        <f>MID(aoc_03_input[[#This Row],[Forest]],MOD(aoc_03_input[[#This Row],[Pos2_5]]-1,LEN(aoc_03_input[[#This Row],[Forest]]))+1,1)</f>
        <v>#</v>
      </c>
      <c r="Q4" s="1">
        <f>IF(AND(aoc_03_input[[#This Row],[CountRow2_5]]=1,aoc_03_input[[#This Row],[CharAtPos2_5]]="#"),1,0)</f>
        <v>1</v>
      </c>
    </row>
    <row r="5" spans="1:17" x14ac:dyDescent="0.45">
      <c r="A5" s="1" t="s">
        <v>1389</v>
      </c>
      <c r="B5" s="1">
        <f t="shared" si="0"/>
        <v>10</v>
      </c>
      <c r="C5" s="1" t="str">
        <f>MID(aoc_03_input[[#This Row],[Forest]],MOD(aoc_03_input[[#This Row],[Pos1]]-1,LEN(aoc_03_input[[#This Row],[Forest]]))+1,1)</f>
        <v>#</v>
      </c>
      <c r="D5" s="1">
        <f>IF(aoc_03_input[[#This Row],[CharAtPos1]]="#",1,0)</f>
        <v>1</v>
      </c>
      <c r="E5" s="1">
        <f t="shared" si="1"/>
        <v>4</v>
      </c>
      <c r="F5" s="1" t="str">
        <f>MID(aoc_03_input[[#This Row],[Forest]],MOD(aoc_03_input[[#This Row],[Pos2_1]]-1,LEN(aoc_03_input[[#This Row],[Forest]]))+1,1)</f>
        <v>.</v>
      </c>
      <c r="G5" s="1">
        <f>IF(aoc_03_input[[#This Row],[CharAtPos2_1]]="#",1,0)</f>
        <v>0</v>
      </c>
      <c r="H5" s="1">
        <f t="shared" si="2"/>
        <v>16</v>
      </c>
      <c r="I5" s="1" t="str">
        <f>MID(aoc_03_input[[#This Row],[Forest]],MOD(aoc_03_input[[#This Row],[Pos2_3]]-1,LEN(aoc_03_input[[#This Row],[Forest]]))+1,1)</f>
        <v>.</v>
      </c>
      <c r="J5" s="1">
        <f>IF(aoc_03_input[[#This Row],[CharAtPos2_3]]="#",1,0)</f>
        <v>0</v>
      </c>
      <c r="K5" s="1">
        <f t="shared" si="3"/>
        <v>22</v>
      </c>
      <c r="L5" s="1" t="str">
        <f>MID(aoc_03_input[[#This Row],[Forest]],MOD(aoc_03_input[[#This Row],[Pos2_4]]-1,LEN(aoc_03_input[[#This Row],[Forest]]))+1,1)</f>
        <v>.</v>
      </c>
      <c r="M5" s="1">
        <f>IF(aoc_03_input[[#This Row],[CharAtPos2_4]]="#",1,0)</f>
        <v>0</v>
      </c>
      <c r="N5" s="1">
        <f>MOD(ROW(aoc_03_input[[#This Row],[CountRow2_5]])+1,2)</f>
        <v>0</v>
      </c>
      <c r="O5" s="1">
        <f>O3+1</f>
        <v>2</v>
      </c>
      <c r="P5" s="1" t="str">
        <f>MID(aoc_03_input[[#This Row],[Forest]],MOD(aoc_03_input[[#This Row],[Pos2_5]]-1,LEN(aoc_03_input[[#This Row],[Forest]]))+1,1)</f>
        <v>#</v>
      </c>
      <c r="Q5" s="1">
        <f>IF(AND(aoc_03_input[[#This Row],[CountRow2_5]]=1,aoc_03_input[[#This Row],[CharAtPos2_5]]="#"),1,0)</f>
        <v>0</v>
      </c>
    </row>
    <row r="6" spans="1:17" x14ac:dyDescent="0.45">
      <c r="A6" s="1" t="s">
        <v>1390</v>
      </c>
      <c r="B6" s="1">
        <f t="shared" si="0"/>
        <v>13</v>
      </c>
      <c r="C6" s="1" t="str">
        <f>MID(aoc_03_input[[#This Row],[Forest]],MOD(aoc_03_input[[#This Row],[Pos1]]-1,LEN(aoc_03_input[[#This Row],[Forest]]))+1,1)</f>
        <v>#</v>
      </c>
      <c r="D6" s="1">
        <f>IF(aoc_03_input[[#This Row],[CharAtPos1]]="#",1,0)</f>
        <v>1</v>
      </c>
      <c r="E6" s="1">
        <f t="shared" si="1"/>
        <v>5</v>
      </c>
      <c r="F6" s="1" t="str">
        <f>MID(aoc_03_input[[#This Row],[Forest]],MOD(aoc_03_input[[#This Row],[Pos2_1]]-1,LEN(aoc_03_input[[#This Row],[Forest]]))+1,1)</f>
        <v>.</v>
      </c>
      <c r="G6" s="1">
        <f>IF(aoc_03_input[[#This Row],[CharAtPos2_1]]="#",1,0)</f>
        <v>0</v>
      </c>
      <c r="H6" s="1">
        <f t="shared" si="2"/>
        <v>21</v>
      </c>
      <c r="I6" s="1" t="str">
        <f>MID(aoc_03_input[[#This Row],[Forest]],MOD(aoc_03_input[[#This Row],[Pos2_3]]-1,LEN(aoc_03_input[[#This Row],[Forest]]))+1,1)</f>
        <v>#</v>
      </c>
      <c r="J6" s="1">
        <f>IF(aoc_03_input[[#This Row],[CharAtPos2_3]]="#",1,0)</f>
        <v>1</v>
      </c>
      <c r="K6" s="1">
        <f t="shared" si="3"/>
        <v>29</v>
      </c>
      <c r="L6" s="1" t="str">
        <f>MID(aoc_03_input[[#This Row],[Forest]],MOD(aoc_03_input[[#This Row],[Pos2_4]]-1,LEN(aoc_03_input[[#This Row],[Forest]]))+1,1)</f>
        <v>.</v>
      </c>
      <c r="M6" s="1">
        <f>IF(aoc_03_input[[#This Row],[CharAtPos2_4]]="#",1,0)</f>
        <v>0</v>
      </c>
      <c r="N6" s="1">
        <f>MOD(ROW(aoc_03_input[[#This Row],[CountRow2_5]])+1,2)</f>
        <v>1</v>
      </c>
      <c r="O6" s="1">
        <f t="shared" ref="O6:O69" si="4">O4+1</f>
        <v>3</v>
      </c>
      <c r="P6" s="1" t="str">
        <f>MID(aoc_03_input[[#This Row],[Forest]],MOD(aoc_03_input[[#This Row],[Pos2_5]]-1,LEN(aoc_03_input[[#This Row],[Forest]]))+1,1)</f>
        <v>.</v>
      </c>
      <c r="Q6" s="1">
        <f>IF(AND(aoc_03_input[[#This Row],[CountRow2_5]]=1,aoc_03_input[[#This Row],[CharAtPos2_5]]="#"),1,0)</f>
        <v>0</v>
      </c>
    </row>
    <row r="7" spans="1:17" x14ac:dyDescent="0.45">
      <c r="A7" s="1" t="s">
        <v>1391</v>
      </c>
      <c r="B7" s="1">
        <f t="shared" si="0"/>
        <v>16</v>
      </c>
      <c r="C7" s="1" t="str">
        <f>MID(aoc_03_input[[#This Row],[Forest]],MOD(aoc_03_input[[#This Row],[Pos1]]-1,LEN(aoc_03_input[[#This Row],[Forest]]))+1,1)</f>
        <v>#</v>
      </c>
      <c r="D7" s="1">
        <f>IF(aoc_03_input[[#This Row],[CharAtPos1]]="#",1,0)</f>
        <v>1</v>
      </c>
      <c r="E7" s="1">
        <f t="shared" si="1"/>
        <v>6</v>
      </c>
      <c r="F7" s="1" t="str">
        <f>MID(aoc_03_input[[#This Row],[Forest]],MOD(aoc_03_input[[#This Row],[Pos2_1]]-1,LEN(aoc_03_input[[#This Row],[Forest]]))+1,1)</f>
        <v>#</v>
      </c>
      <c r="G7" s="1">
        <f>IF(aoc_03_input[[#This Row],[CharAtPos2_1]]="#",1,0)</f>
        <v>1</v>
      </c>
      <c r="H7" s="1">
        <f t="shared" si="2"/>
        <v>26</v>
      </c>
      <c r="I7" s="1" t="str">
        <f>MID(aoc_03_input[[#This Row],[Forest]],MOD(aoc_03_input[[#This Row],[Pos2_3]]-1,LEN(aoc_03_input[[#This Row],[Forest]]))+1,1)</f>
        <v>#</v>
      </c>
      <c r="J7" s="1">
        <f>IF(aoc_03_input[[#This Row],[CharAtPos2_3]]="#",1,0)</f>
        <v>1</v>
      </c>
      <c r="K7" s="1">
        <f t="shared" si="3"/>
        <v>36</v>
      </c>
      <c r="L7" s="1" t="str">
        <f>MID(aoc_03_input[[#This Row],[Forest]],MOD(aoc_03_input[[#This Row],[Pos2_4]]-1,LEN(aoc_03_input[[#This Row],[Forest]]))+1,1)</f>
        <v>.</v>
      </c>
      <c r="M7" s="1">
        <f>IF(aoc_03_input[[#This Row],[CharAtPos2_4]]="#",1,0)</f>
        <v>0</v>
      </c>
      <c r="N7" s="1">
        <f>MOD(ROW(aoc_03_input[[#This Row],[CountRow2_5]])+1,2)</f>
        <v>0</v>
      </c>
      <c r="O7" s="1">
        <f t="shared" si="4"/>
        <v>3</v>
      </c>
      <c r="P7" s="1" t="str">
        <f>MID(aoc_03_input[[#This Row],[Forest]],MOD(aoc_03_input[[#This Row],[Pos2_5]]-1,LEN(aoc_03_input[[#This Row],[Forest]]))+1,1)</f>
        <v>.</v>
      </c>
      <c r="Q7" s="1">
        <f>IF(AND(aoc_03_input[[#This Row],[CountRow2_5]]=1,aoc_03_input[[#This Row],[CharAtPos2_5]]="#"),1,0)</f>
        <v>0</v>
      </c>
    </row>
    <row r="8" spans="1:17" x14ac:dyDescent="0.45">
      <c r="A8" s="1" t="s">
        <v>1392</v>
      </c>
      <c r="B8" s="1">
        <f t="shared" si="0"/>
        <v>19</v>
      </c>
      <c r="C8" s="1" t="str">
        <f>MID(aoc_03_input[[#This Row],[Forest]],MOD(aoc_03_input[[#This Row],[Pos1]]-1,LEN(aoc_03_input[[#This Row],[Forest]]))+1,1)</f>
        <v>#</v>
      </c>
      <c r="D8" s="1">
        <f>IF(aoc_03_input[[#This Row],[CharAtPos1]]="#",1,0)</f>
        <v>1</v>
      </c>
      <c r="E8" s="1">
        <f t="shared" si="1"/>
        <v>7</v>
      </c>
      <c r="F8" s="1" t="str">
        <f>MID(aoc_03_input[[#This Row],[Forest]],MOD(aoc_03_input[[#This Row],[Pos2_1]]-1,LEN(aoc_03_input[[#This Row],[Forest]]))+1,1)</f>
        <v>.</v>
      </c>
      <c r="G8" s="1">
        <f>IF(aoc_03_input[[#This Row],[CharAtPos2_1]]="#",1,0)</f>
        <v>0</v>
      </c>
      <c r="H8" s="1">
        <f t="shared" si="2"/>
        <v>31</v>
      </c>
      <c r="I8" s="1" t="str">
        <f>MID(aoc_03_input[[#This Row],[Forest]],MOD(aoc_03_input[[#This Row],[Pos2_3]]-1,LEN(aoc_03_input[[#This Row],[Forest]]))+1,1)</f>
        <v>.</v>
      </c>
      <c r="J8" s="1">
        <f>IF(aoc_03_input[[#This Row],[CharAtPos2_3]]="#",1,0)</f>
        <v>0</v>
      </c>
      <c r="K8" s="1">
        <f t="shared" si="3"/>
        <v>43</v>
      </c>
      <c r="L8" s="1" t="str">
        <f>MID(aoc_03_input[[#This Row],[Forest]],MOD(aoc_03_input[[#This Row],[Pos2_4]]-1,LEN(aoc_03_input[[#This Row],[Forest]]))+1,1)</f>
        <v>.</v>
      </c>
      <c r="M8" s="1">
        <f>IF(aoc_03_input[[#This Row],[CharAtPos2_4]]="#",1,0)</f>
        <v>0</v>
      </c>
      <c r="N8" s="1">
        <f>MOD(ROW(aoc_03_input[[#This Row],[CountRow2_5]])+1,2)</f>
        <v>1</v>
      </c>
      <c r="O8" s="1">
        <f t="shared" si="4"/>
        <v>4</v>
      </c>
      <c r="P8" s="1" t="str">
        <f>MID(aoc_03_input[[#This Row],[Forest]],MOD(aoc_03_input[[#This Row],[Pos2_5]]-1,LEN(aoc_03_input[[#This Row],[Forest]]))+1,1)</f>
        <v>.</v>
      </c>
      <c r="Q8" s="1">
        <f>IF(AND(aoc_03_input[[#This Row],[CountRow2_5]]=1,aoc_03_input[[#This Row],[CharAtPos2_5]]="#"),1,0)</f>
        <v>0</v>
      </c>
    </row>
    <row r="9" spans="1:17" x14ac:dyDescent="0.45">
      <c r="A9" s="1" t="s">
        <v>1393</v>
      </c>
      <c r="B9" s="1">
        <f t="shared" si="0"/>
        <v>22</v>
      </c>
      <c r="C9" s="1" t="str">
        <f>MID(aoc_03_input[[#This Row],[Forest]],MOD(aoc_03_input[[#This Row],[Pos1]]-1,LEN(aoc_03_input[[#This Row],[Forest]]))+1,1)</f>
        <v>#</v>
      </c>
      <c r="D9" s="1">
        <f>IF(aoc_03_input[[#This Row],[CharAtPos1]]="#",1,0)</f>
        <v>1</v>
      </c>
      <c r="E9" s="1">
        <f t="shared" si="1"/>
        <v>8</v>
      </c>
      <c r="F9" s="1" t="str">
        <f>MID(aoc_03_input[[#This Row],[Forest]],MOD(aoc_03_input[[#This Row],[Pos2_1]]-1,LEN(aoc_03_input[[#This Row],[Forest]]))+1,1)</f>
        <v>.</v>
      </c>
      <c r="G9" s="1">
        <f>IF(aoc_03_input[[#This Row],[CharAtPos2_1]]="#",1,0)</f>
        <v>0</v>
      </c>
      <c r="H9" s="1">
        <f t="shared" si="2"/>
        <v>36</v>
      </c>
      <c r="I9" s="1" t="str">
        <f>MID(aoc_03_input[[#This Row],[Forest]],MOD(aoc_03_input[[#This Row],[Pos2_3]]-1,LEN(aoc_03_input[[#This Row],[Forest]]))+1,1)</f>
        <v>.</v>
      </c>
      <c r="J9" s="1">
        <f>IF(aoc_03_input[[#This Row],[CharAtPos2_3]]="#",1,0)</f>
        <v>0</v>
      </c>
      <c r="K9" s="1">
        <f t="shared" si="3"/>
        <v>50</v>
      </c>
      <c r="L9" s="1" t="str">
        <f>MID(aoc_03_input[[#This Row],[Forest]],MOD(aoc_03_input[[#This Row],[Pos2_4]]-1,LEN(aoc_03_input[[#This Row],[Forest]]))+1,1)</f>
        <v>.</v>
      </c>
      <c r="M9" s="1">
        <f>IF(aoc_03_input[[#This Row],[CharAtPos2_4]]="#",1,0)</f>
        <v>0</v>
      </c>
      <c r="N9" s="1">
        <f>MOD(ROW(aoc_03_input[[#This Row],[CountRow2_5]])+1,2)</f>
        <v>0</v>
      </c>
      <c r="O9" s="1">
        <f t="shared" si="4"/>
        <v>4</v>
      </c>
      <c r="P9" s="1" t="str">
        <f>MID(aoc_03_input[[#This Row],[Forest]],MOD(aoc_03_input[[#This Row],[Pos2_5]]-1,LEN(aoc_03_input[[#This Row],[Forest]]))+1,1)</f>
        <v>#</v>
      </c>
      <c r="Q9" s="1">
        <f>IF(AND(aoc_03_input[[#This Row],[CountRow2_5]]=1,aoc_03_input[[#This Row],[CharAtPos2_5]]="#"),1,0)</f>
        <v>0</v>
      </c>
    </row>
    <row r="10" spans="1:17" x14ac:dyDescent="0.45">
      <c r="A10" s="1" t="s">
        <v>1394</v>
      </c>
      <c r="B10" s="1">
        <f t="shared" si="0"/>
        <v>25</v>
      </c>
      <c r="C10" s="1" t="str">
        <f>MID(aoc_03_input[[#This Row],[Forest]],MOD(aoc_03_input[[#This Row],[Pos1]]-1,LEN(aoc_03_input[[#This Row],[Forest]]))+1,1)</f>
        <v>#</v>
      </c>
      <c r="D10" s="1">
        <f>IF(aoc_03_input[[#This Row],[CharAtPos1]]="#",1,0)</f>
        <v>1</v>
      </c>
      <c r="E10" s="1">
        <f t="shared" si="1"/>
        <v>9</v>
      </c>
      <c r="F10" s="1" t="str">
        <f>MID(aoc_03_input[[#This Row],[Forest]],MOD(aoc_03_input[[#This Row],[Pos2_1]]-1,LEN(aoc_03_input[[#This Row],[Forest]]))+1,1)</f>
        <v>.</v>
      </c>
      <c r="G10" s="1">
        <f>IF(aoc_03_input[[#This Row],[CharAtPos2_1]]="#",1,0)</f>
        <v>0</v>
      </c>
      <c r="H10" s="1">
        <f t="shared" si="2"/>
        <v>41</v>
      </c>
      <c r="I10" s="1" t="str">
        <f>MID(aoc_03_input[[#This Row],[Forest]],MOD(aoc_03_input[[#This Row],[Pos2_3]]-1,LEN(aoc_03_input[[#This Row],[Forest]]))+1,1)</f>
        <v>.</v>
      </c>
      <c r="J10" s="1">
        <f>IF(aoc_03_input[[#This Row],[CharAtPos2_3]]="#",1,0)</f>
        <v>0</v>
      </c>
      <c r="K10" s="1">
        <f t="shared" si="3"/>
        <v>57</v>
      </c>
      <c r="L10" s="1" t="str">
        <f>MID(aoc_03_input[[#This Row],[Forest]],MOD(aoc_03_input[[#This Row],[Pos2_4]]-1,LEN(aoc_03_input[[#This Row],[Forest]]))+1,1)</f>
        <v>.</v>
      </c>
      <c r="M10" s="1">
        <f>IF(aoc_03_input[[#This Row],[CharAtPos2_4]]="#",1,0)</f>
        <v>0</v>
      </c>
      <c r="N10" s="1">
        <f>MOD(ROW(aoc_03_input[[#This Row],[CountRow2_5]])+1,2)</f>
        <v>1</v>
      </c>
      <c r="O10" s="1">
        <f t="shared" si="4"/>
        <v>5</v>
      </c>
      <c r="P10" s="1" t="str">
        <f>MID(aoc_03_input[[#This Row],[Forest]],MOD(aoc_03_input[[#This Row],[Pos2_5]]-1,LEN(aoc_03_input[[#This Row],[Forest]]))+1,1)</f>
        <v>.</v>
      </c>
      <c r="Q10" s="1">
        <f>IF(AND(aoc_03_input[[#This Row],[CountRow2_5]]=1,aoc_03_input[[#This Row],[CharAtPos2_5]]="#"),1,0)</f>
        <v>0</v>
      </c>
    </row>
    <row r="11" spans="1:17" x14ac:dyDescent="0.45">
      <c r="A11" s="1" t="s">
        <v>1395</v>
      </c>
      <c r="B11" s="1">
        <f t="shared" si="0"/>
        <v>28</v>
      </c>
      <c r="C11" s="1" t="str">
        <f>MID(aoc_03_input[[#This Row],[Forest]],MOD(aoc_03_input[[#This Row],[Pos1]]-1,LEN(aoc_03_input[[#This Row],[Forest]]))+1,1)</f>
        <v>.</v>
      </c>
      <c r="D11" s="1">
        <f>IF(aoc_03_input[[#This Row],[CharAtPos1]]="#",1,0)</f>
        <v>0</v>
      </c>
      <c r="E11" s="1">
        <f t="shared" si="1"/>
        <v>10</v>
      </c>
      <c r="F11" s="1" t="str">
        <f>MID(aoc_03_input[[#This Row],[Forest]],MOD(aoc_03_input[[#This Row],[Pos2_1]]-1,LEN(aoc_03_input[[#This Row],[Forest]]))+1,1)</f>
        <v>.</v>
      </c>
      <c r="G11" s="1">
        <f>IF(aoc_03_input[[#This Row],[CharAtPos2_1]]="#",1,0)</f>
        <v>0</v>
      </c>
      <c r="H11" s="1">
        <f t="shared" si="2"/>
        <v>46</v>
      </c>
      <c r="I11" s="1" t="str">
        <f>MID(aoc_03_input[[#This Row],[Forest]],MOD(aoc_03_input[[#This Row],[Pos2_3]]-1,LEN(aoc_03_input[[#This Row],[Forest]]))+1,1)</f>
        <v>.</v>
      </c>
      <c r="J11" s="1">
        <f>IF(aoc_03_input[[#This Row],[CharAtPos2_3]]="#",1,0)</f>
        <v>0</v>
      </c>
      <c r="K11" s="1">
        <f t="shared" si="3"/>
        <v>64</v>
      </c>
      <c r="L11" s="1" t="str">
        <f>MID(aoc_03_input[[#This Row],[Forest]],MOD(aoc_03_input[[#This Row],[Pos2_4]]-1,LEN(aoc_03_input[[#This Row],[Forest]]))+1,1)</f>
        <v>#</v>
      </c>
      <c r="M11" s="1">
        <f>IF(aoc_03_input[[#This Row],[CharAtPos2_4]]="#",1,0)</f>
        <v>1</v>
      </c>
      <c r="N11" s="1">
        <f>MOD(ROW(aoc_03_input[[#This Row],[CountRow2_5]])+1,2)</f>
        <v>0</v>
      </c>
      <c r="O11" s="1">
        <f t="shared" si="4"/>
        <v>5</v>
      </c>
      <c r="P11" s="1" t="str">
        <f>MID(aoc_03_input[[#This Row],[Forest]],MOD(aoc_03_input[[#This Row],[Pos2_5]]-1,LEN(aoc_03_input[[#This Row],[Forest]]))+1,1)</f>
        <v>.</v>
      </c>
      <c r="Q11" s="1">
        <f>IF(AND(aoc_03_input[[#This Row],[CountRow2_5]]=1,aoc_03_input[[#This Row],[CharAtPos2_5]]="#"),1,0)</f>
        <v>0</v>
      </c>
    </row>
    <row r="12" spans="1:17" x14ac:dyDescent="0.45">
      <c r="A12" s="1" t="s">
        <v>1396</v>
      </c>
      <c r="B12" s="1">
        <f t="shared" si="0"/>
        <v>31</v>
      </c>
      <c r="C12" s="1" t="str">
        <f>MID(aoc_03_input[[#This Row],[Forest]],MOD(aoc_03_input[[#This Row],[Pos1]]-1,LEN(aoc_03_input[[#This Row],[Forest]]))+1,1)</f>
        <v>.</v>
      </c>
      <c r="D12" s="1">
        <f>IF(aoc_03_input[[#This Row],[CharAtPos1]]="#",1,0)</f>
        <v>0</v>
      </c>
      <c r="E12" s="1">
        <f t="shared" si="1"/>
        <v>11</v>
      </c>
      <c r="F12" s="1" t="str">
        <f>MID(aoc_03_input[[#This Row],[Forest]],MOD(aoc_03_input[[#This Row],[Pos2_1]]-1,LEN(aoc_03_input[[#This Row],[Forest]]))+1,1)</f>
        <v>#</v>
      </c>
      <c r="G12" s="1">
        <f>IF(aoc_03_input[[#This Row],[CharAtPos2_1]]="#",1,0)</f>
        <v>1</v>
      </c>
      <c r="H12" s="1">
        <f t="shared" si="2"/>
        <v>51</v>
      </c>
      <c r="I12" s="1" t="str">
        <f>MID(aoc_03_input[[#This Row],[Forest]],MOD(aoc_03_input[[#This Row],[Pos2_3]]-1,LEN(aoc_03_input[[#This Row],[Forest]]))+1,1)</f>
        <v>.</v>
      </c>
      <c r="J12" s="1">
        <f>IF(aoc_03_input[[#This Row],[CharAtPos2_3]]="#",1,0)</f>
        <v>0</v>
      </c>
      <c r="K12" s="1">
        <f t="shared" si="3"/>
        <v>71</v>
      </c>
      <c r="L12" s="1" t="str">
        <f>MID(aoc_03_input[[#This Row],[Forest]],MOD(aoc_03_input[[#This Row],[Pos2_4]]-1,LEN(aoc_03_input[[#This Row],[Forest]]))+1,1)</f>
        <v>#</v>
      </c>
      <c r="M12" s="1">
        <f>IF(aoc_03_input[[#This Row],[CharAtPos2_4]]="#",1,0)</f>
        <v>1</v>
      </c>
      <c r="N12" s="1">
        <f>MOD(ROW(aoc_03_input[[#This Row],[CountRow2_5]])+1,2)</f>
        <v>1</v>
      </c>
      <c r="O12" s="1">
        <f t="shared" si="4"/>
        <v>6</v>
      </c>
      <c r="P12" s="1" t="str">
        <f>MID(aoc_03_input[[#This Row],[Forest]],MOD(aoc_03_input[[#This Row],[Pos2_5]]-1,LEN(aoc_03_input[[#This Row],[Forest]]))+1,1)</f>
        <v>.</v>
      </c>
      <c r="Q12" s="1">
        <f>IF(AND(aoc_03_input[[#This Row],[CountRow2_5]]=1,aoc_03_input[[#This Row],[CharAtPos2_5]]="#"),1,0)</f>
        <v>0</v>
      </c>
    </row>
    <row r="13" spans="1:17" x14ac:dyDescent="0.45">
      <c r="A13" s="1" t="s">
        <v>1397</v>
      </c>
      <c r="B13" s="1">
        <f t="shared" si="0"/>
        <v>34</v>
      </c>
      <c r="C13" s="1" t="str">
        <f>MID(aoc_03_input[[#This Row],[Forest]],MOD(aoc_03_input[[#This Row],[Pos1]]-1,LEN(aoc_03_input[[#This Row],[Forest]]))+1,1)</f>
        <v>#</v>
      </c>
      <c r="D13" s="1">
        <f>IF(aoc_03_input[[#This Row],[CharAtPos1]]="#",1,0)</f>
        <v>1</v>
      </c>
      <c r="E13" s="1">
        <f t="shared" si="1"/>
        <v>12</v>
      </c>
      <c r="F13" s="1" t="str">
        <f>MID(aoc_03_input[[#This Row],[Forest]],MOD(aoc_03_input[[#This Row],[Pos2_1]]-1,LEN(aoc_03_input[[#This Row],[Forest]]))+1,1)</f>
        <v>.</v>
      </c>
      <c r="G13" s="1">
        <f>IF(aoc_03_input[[#This Row],[CharAtPos2_1]]="#",1,0)</f>
        <v>0</v>
      </c>
      <c r="H13" s="1">
        <f t="shared" si="2"/>
        <v>56</v>
      </c>
      <c r="I13" s="1" t="str">
        <f>MID(aoc_03_input[[#This Row],[Forest]],MOD(aoc_03_input[[#This Row],[Pos2_3]]-1,LEN(aoc_03_input[[#This Row],[Forest]]))+1,1)</f>
        <v>.</v>
      </c>
      <c r="J13" s="1">
        <f>IF(aoc_03_input[[#This Row],[CharAtPos2_3]]="#",1,0)</f>
        <v>0</v>
      </c>
      <c r="K13" s="1">
        <f t="shared" si="3"/>
        <v>78</v>
      </c>
      <c r="L13" s="1" t="str">
        <f>MID(aoc_03_input[[#This Row],[Forest]],MOD(aoc_03_input[[#This Row],[Pos2_4]]-1,LEN(aoc_03_input[[#This Row],[Forest]]))+1,1)</f>
        <v>.</v>
      </c>
      <c r="M13" s="1">
        <f>IF(aoc_03_input[[#This Row],[CharAtPos2_4]]="#",1,0)</f>
        <v>0</v>
      </c>
      <c r="N13" s="1">
        <f>MOD(ROW(aoc_03_input[[#This Row],[CountRow2_5]])+1,2)</f>
        <v>0</v>
      </c>
      <c r="O13" s="1">
        <f t="shared" si="4"/>
        <v>6</v>
      </c>
      <c r="P13" s="1" t="str">
        <f>MID(aoc_03_input[[#This Row],[Forest]],MOD(aoc_03_input[[#This Row],[Pos2_5]]-1,LEN(aoc_03_input[[#This Row],[Forest]]))+1,1)</f>
        <v>.</v>
      </c>
      <c r="Q13" s="1">
        <f>IF(AND(aoc_03_input[[#This Row],[CountRow2_5]]=1,aoc_03_input[[#This Row],[CharAtPos2_5]]="#"),1,0)</f>
        <v>0</v>
      </c>
    </row>
    <row r="14" spans="1:17" x14ac:dyDescent="0.45">
      <c r="A14" s="1" t="s">
        <v>1398</v>
      </c>
      <c r="B14" s="1">
        <f t="shared" si="0"/>
        <v>37</v>
      </c>
      <c r="C14" s="1" t="str">
        <f>MID(aoc_03_input[[#This Row],[Forest]],MOD(aoc_03_input[[#This Row],[Pos1]]-1,LEN(aoc_03_input[[#This Row],[Forest]]))+1,1)</f>
        <v>.</v>
      </c>
      <c r="D14" s="1">
        <f>IF(aoc_03_input[[#This Row],[CharAtPos1]]="#",1,0)</f>
        <v>0</v>
      </c>
      <c r="E14" s="1">
        <f t="shared" si="1"/>
        <v>13</v>
      </c>
      <c r="F14" s="1" t="str">
        <f>MID(aoc_03_input[[#This Row],[Forest]],MOD(aoc_03_input[[#This Row],[Pos2_1]]-1,LEN(aoc_03_input[[#This Row],[Forest]]))+1,1)</f>
        <v>.</v>
      </c>
      <c r="G14" s="1">
        <f>IF(aoc_03_input[[#This Row],[CharAtPos2_1]]="#",1,0)</f>
        <v>0</v>
      </c>
      <c r="H14" s="1">
        <f t="shared" si="2"/>
        <v>61</v>
      </c>
      <c r="I14" s="1" t="str">
        <f>MID(aoc_03_input[[#This Row],[Forest]],MOD(aoc_03_input[[#This Row],[Pos2_3]]-1,LEN(aoc_03_input[[#This Row],[Forest]]))+1,1)</f>
        <v>.</v>
      </c>
      <c r="J14" s="1">
        <f>IF(aoc_03_input[[#This Row],[CharAtPos2_3]]="#",1,0)</f>
        <v>0</v>
      </c>
      <c r="K14" s="1">
        <f t="shared" si="3"/>
        <v>85</v>
      </c>
      <c r="L14" s="1" t="str">
        <f>MID(aoc_03_input[[#This Row],[Forest]],MOD(aoc_03_input[[#This Row],[Pos2_4]]-1,LEN(aoc_03_input[[#This Row],[Forest]]))+1,1)</f>
        <v>.</v>
      </c>
      <c r="M14" s="1">
        <f>IF(aoc_03_input[[#This Row],[CharAtPos2_4]]="#",1,0)</f>
        <v>0</v>
      </c>
      <c r="N14" s="1">
        <f>MOD(ROW(aoc_03_input[[#This Row],[CountRow2_5]])+1,2)</f>
        <v>1</v>
      </c>
      <c r="O14" s="1">
        <f t="shared" si="4"/>
        <v>7</v>
      </c>
      <c r="P14" s="1" t="str">
        <f>MID(aoc_03_input[[#This Row],[Forest]],MOD(aoc_03_input[[#This Row],[Pos2_5]]-1,LEN(aoc_03_input[[#This Row],[Forest]]))+1,1)</f>
        <v>#</v>
      </c>
      <c r="Q14" s="1">
        <f>IF(AND(aoc_03_input[[#This Row],[CountRow2_5]]=1,aoc_03_input[[#This Row],[CharAtPos2_5]]="#"),1,0)</f>
        <v>1</v>
      </c>
    </row>
    <row r="15" spans="1:17" x14ac:dyDescent="0.45">
      <c r="A15" s="1" t="s">
        <v>1399</v>
      </c>
      <c r="B15" s="1">
        <f t="shared" si="0"/>
        <v>40</v>
      </c>
      <c r="C15" s="1" t="str">
        <f>MID(aoc_03_input[[#This Row],[Forest]],MOD(aoc_03_input[[#This Row],[Pos1]]-1,LEN(aoc_03_input[[#This Row],[Forest]]))+1,1)</f>
        <v>#</v>
      </c>
      <c r="D15" s="1">
        <f>IF(aoc_03_input[[#This Row],[CharAtPos1]]="#",1,0)</f>
        <v>1</v>
      </c>
      <c r="E15" s="1">
        <f t="shared" si="1"/>
        <v>14</v>
      </c>
      <c r="F15" s="1" t="str">
        <f>MID(aoc_03_input[[#This Row],[Forest]],MOD(aoc_03_input[[#This Row],[Pos2_1]]-1,LEN(aoc_03_input[[#This Row],[Forest]]))+1,1)</f>
        <v>.</v>
      </c>
      <c r="G15" s="1">
        <f>IF(aoc_03_input[[#This Row],[CharAtPos2_1]]="#",1,0)</f>
        <v>0</v>
      </c>
      <c r="H15" s="1">
        <f t="shared" si="2"/>
        <v>66</v>
      </c>
      <c r="I15" s="1" t="str">
        <f>MID(aoc_03_input[[#This Row],[Forest]],MOD(aoc_03_input[[#This Row],[Pos2_3]]-1,LEN(aoc_03_input[[#This Row],[Forest]]))+1,1)</f>
        <v>#</v>
      </c>
      <c r="J15" s="1">
        <f>IF(aoc_03_input[[#This Row],[CharAtPos2_3]]="#",1,0)</f>
        <v>1</v>
      </c>
      <c r="K15" s="1">
        <f t="shared" si="3"/>
        <v>92</v>
      </c>
      <c r="L15" s="1" t="str">
        <f>MID(aoc_03_input[[#This Row],[Forest]],MOD(aoc_03_input[[#This Row],[Pos2_4]]-1,LEN(aoc_03_input[[#This Row],[Forest]]))+1,1)</f>
        <v>.</v>
      </c>
      <c r="M15" s="1">
        <f>IF(aoc_03_input[[#This Row],[CharAtPos2_4]]="#",1,0)</f>
        <v>0</v>
      </c>
      <c r="N15" s="1">
        <f>MOD(ROW(aoc_03_input[[#This Row],[CountRow2_5]])+1,2)</f>
        <v>0</v>
      </c>
      <c r="O15" s="1">
        <f t="shared" si="4"/>
        <v>7</v>
      </c>
      <c r="P15" s="1" t="str">
        <f>MID(aoc_03_input[[#This Row],[Forest]],MOD(aoc_03_input[[#This Row],[Pos2_5]]-1,LEN(aoc_03_input[[#This Row],[Forest]]))+1,1)</f>
        <v>.</v>
      </c>
      <c r="Q15" s="1">
        <f>IF(AND(aoc_03_input[[#This Row],[CountRow2_5]]=1,aoc_03_input[[#This Row],[CharAtPos2_5]]="#"),1,0)</f>
        <v>0</v>
      </c>
    </row>
    <row r="16" spans="1:17" x14ac:dyDescent="0.45">
      <c r="A16" s="1" t="s">
        <v>1400</v>
      </c>
      <c r="B16" s="1">
        <f t="shared" si="0"/>
        <v>43</v>
      </c>
      <c r="C16" s="1" t="str">
        <f>MID(aoc_03_input[[#This Row],[Forest]],MOD(aoc_03_input[[#This Row],[Pos1]]-1,LEN(aoc_03_input[[#This Row],[Forest]]))+1,1)</f>
        <v>.</v>
      </c>
      <c r="D16" s="1">
        <f>IF(aoc_03_input[[#This Row],[CharAtPos1]]="#",1,0)</f>
        <v>0</v>
      </c>
      <c r="E16" s="1">
        <f t="shared" si="1"/>
        <v>15</v>
      </c>
      <c r="F16" s="1" t="str">
        <f>MID(aoc_03_input[[#This Row],[Forest]],MOD(aoc_03_input[[#This Row],[Pos2_1]]-1,LEN(aoc_03_input[[#This Row],[Forest]]))+1,1)</f>
        <v>.</v>
      </c>
      <c r="G16" s="1">
        <f>IF(aoc_03_input[[#This Row],[CharAtPos2_1]]="#",1,0)</f>
        <v>0</v>
      </c>
      <c r="H16" s="1">
        <f t="shared" si="2"/>
        <v>71</v>
      </c>
      <c r="I16" s="1" t="str">
        <f>MID(aoc_03_input[[#This Row],[Forest]],MOD(aoc_03_input[[#This Row],[Pos2_3]]-1,LEN(aoc_03_input[[#This Row],[Forest]]))+1,1)</f>
        <v>.</v>
      </c>
      <c r="J16" s="1">
        <f>IF(aoc_03_input[[#This Row],[CharAtPos2_3]]="#",1,0)</f>
        <v>0</v>
      </c>
      <c r="K16" s="1">
        <f t="shared" si="3"/>
        <v>99</v>
      </c>
      <c r="L16" s="1" t="str">
        <f>MID(aoc_03_input[[#This Row],[Forest]],MOD(aoc_03_input[[#This Row],[Pos2_4]]-1,LEN(aoc_03_input[[#This Row],[Forest]]))+1,1)</f>
        <v>#</v>
      </c>
      <c r="M16" s="1">
        <f>IF(aoc_03_input[[#This Row],[CharAtPos2_4]]="#",1,0)</f>
        <v>1</v>
      </c>
      <c r="N16" s="1">
        <f>MOD(ROW(aoc_03_input[[#This Row],[CountRow2_5]])+1,2)</f>
        <v>1</v>
      </c>
      <c r="O16" s="1">
        <f t="shared" si="4"/>
        <v>8</v>
      </c>
      <c r="P16" s="1" t="str">
        <f>MID(aoc_03_input[[#This Row],[Forest]],MOD(aoc_03_input[[#This Row],[Pos2_5]]-1,LEN(aoc_03_input[[#This Row],[Forest]]))+1,1)</f>
        <v>.</v>
      </c>
      <c r="Q16" s="1">
        <f>IF(AND(aoc_03_input[[#This Row],[CountRow2_5]]=1,aoc_03_input[[#This Row],[CharAtPos2_5]]="#"),1,0)</f>
        <v>0</v>
      </c>
    </row>
    <row r="17" spans="1:17" x14ac:dyDescent="0.45">
      <c r="A17" s="1" t="s">
        <v>1401</v>
      </c>
      <c r="B17" s="1">
        <f t="shared" si="0"/>
        <v>46</v>
      </c>
      <c r="C17" s="1" t="str">
        <f>MID(aoc_03_input[[#This Row],[Forest]],MOD(aoc_03_input[[#This Row],[Pos1]]-1,LEN(aoc_03_input[[#This Row],[Forest]]))+1,1)</f>
        <v>#</v>
      </c>
      <c r="D17" s="1">
        <f>IF(aoc_03_input[[#This Row],[CharAtPos1]]="#",1,0)</f>
        <v>1</v>
      </c>
      <c r="E17" s="1">
        <f t="shared" si="1"/>
        <v>16</v>
      </c>
      <c r="F17" s="1" t="str">
        <f>MID(aoc_03_input[[#This Row],[Forest]],MOD(aoc_03_input[[#This Row],[Pos2_1]]-1,LEN(aoc_03_input[[#This Row],[Forest]]))+1,1)</f>
        <v>.</v>
      </c>
      <c r="G17" s="1">
        <f>IF(aoc_03_input[[#This Row],[CharAtPos2_1]]="#",1,0)</f>
        <v>0</v>
      </c>
      <c r="H17" s="1">
        <f t="shared" si="2"/>
        <v>76</v>
      </c>
      <c r="I17" s="1" t="str">
        <f>MID(aoc_03_input[[#This Row],[Forest]],MOD(aoc_03_input[[#This Row],[Pos2_3]]-1,LEN(aoc_03_input[[#This Row],[Forest]]))+1,1)</f>
        <v>.</v>
      </c>
      <c r="J17" s="1">
        <f>IF(aoc_03_input[[#This Row],[CharAtPos2_3]]="#",1,0)</f>
        <v>0</v>
      </c>
      <c r="K17" s="1">
        <f t="shared" si="3"/>
        <v>106</v>
      </c>
      <c r="L17" s="1" t="str">
        <f>MID(aoc_03_input[[#This Row],[Forest]],MOD(aoc_03_input[[#This Row],[Pos2_4]]-1,LEN(aoc_03_input[[#This Row],[Forest]]))+1,1)</f>
        <v>#</v>
      </c>
      <c r="M17" s="1">
        <f>IF(aoc_03_input[[#This Row],[CharAtPos2_4]]="#",1,0)</f>
        <v>1</v>
      </c>
      <c r="N17" s="1">
        <f>MOD(ROW(aoc_03_input[[#This Row],[CountRow2_5]])+1,2)</f>
        <v>0</v>
      </c>
      <c r="O17" s="1">
        <f t="shared" si="4"/>
        <v>8</v>
      </c>
      <c r="P17" s="1" t="str">
        <f>MID(aoc_03_input[[#This Row],[Forest]],MOD(aoc_03_input[[#This Row],[Pos2_5]]-1,LEN(aoc_03_input[[#This Row],[Forest]]))+1,1)</f>
        <v>#</v>
      </c>
      <c r="Q17" s="1">
        <f>IF(AND(aoc_03_input[[#This Row],[CountRow2_5]]=1,aoc_03_input[[#This Row],[CharAtPos2_5]]="#"),1,0)</f>
        <v>0</v>
      </c>
    </row>
    <row r="18" spans="1:17" x14ac:dyDescent="0.45">
      <c r="A18" s="1" t="s">
        <v>1402</v>
      </c>
      <c r="B18" s="1">
        <f t="shared" si="0"/>
        <v>49</v>
      </c>
      <c r="C18" s="1" t="str">
        <f>MID(aoc_03_input[[#This Row],[Forest]],MOD(aoc_03_input[[#This Row],[Pos1]]-1,LEN(aoc_03_input[[#This Row],[Forest]]))+1,1)</f>
        <v>#</v>
      </c>
      <c r="D18" s="1">
        <f>IF(aoc_03_input[[#This Row],[CharAtPos1]]="#",1,0)</f>
        <v>1</v>
      </c>
      <c r="E18" s="1">
        <f t="shared" si="1"/>
        <v>17</v>
      </c>
      <c r="F18" s="1" t="str">
        <f>MID(aoc_03_input[[#This Row],[Forest]],MOD(aoc_03_input[[#This Row],[Pos2_1]]-1,LEN(aoc_03_input[[#This Row],[Forest]]))+1,1)</f>
        <v>.</v>
      </c>
      <c r="G18" s="1">
        <f>IF(aoc_03_input[[#This Row],[CharAtPos2_1]]="#",1,0)</f>
        <v>0</v>
      </c>
      <c r="H18" s="1">
        <f t="shared" si="2"/>
        <v>81</v>
      </c>
      <c r="I18" s="1" t="str">
        <f>MID(aoc_03_input[[#This Row],[Forest]],MOD(aoc_03_input[[#This Row],[Pos2_3]]-1,LEN(aoc_03_input[[#This Row],[Forest]]))+1,1)</f>
        <v>.</v>
      </c>
      <c r="J18" s="1">
        <f>IF(aoc_03_input[[#This Row],[CharAtPos2_3]]="#",1,0)</f>
        <v>0</v>
      </c>
      <c r="K18" s="1">
        <f t="shared" si="3"/>
        <v>113</v>
      </c>
      <c r="L18" s="1" t="str">
        <f>MID(aoc_03_input[[#This Row],[Forest]],MOD(aoc_03_input[[#This Row],[Pos2_4]]-1,LEN(aoc_03_input[[#This Row],[Forest]]))+1,1)</f>
        <v>#</v>
      </c>
      <c r="M18" s="1">
        <f>IF(aoc_03_input[[#This Row],[CharAtPos2_4]]="#",1,0)</f>
        <v>1</v>
      </c>
      <c r="N18" s="1">
        <f>MOD(ROW(aoc_03_input[[#This Row],[CountRow2_5]])+1,2)</f>
        <v>1</v>
      </c>
      <c r="O18" s="1">
        <f t="shared" si="4"/>
        <v>9</v>
      </c>
      <c r="P18" s="1" t="str">
        <f>MID(aoc_03_input[[#This Row],[Forest]],MOD(aoc_03_input[[#This Row],[Pos2_5]]-1,LEN(aoc_03_input[[#This Row],[Forest]]))+1,1)</f>
        <v>.</v>
      </c>
      <c r="Q18" s="1">
        <f>IF(AND(aoc_03_input[[#This Row],[CountRow2_5]]=1,aoc_03_input[[#This Row],[CharAtPos2_5]]="#"),1,0)</f>
        <v>0</v>
      </c>
    </row>
    <row r="19" spans="1:17" x14ac:dyDescent="0.45">
      <c r="A19" s="1" t="s">
        <v>1403</v>
      </c>
      <c r="B19" s="1">
        <f t="shared" si="0"/>
        <v>52</v>
      </c>
      <c r="C19" s="1" t="str">
        <f>MID(aoc_03_input[[#This Row],[Forest]],MOD(aoc_03_input[[#This Row],[Pos1]]-1,LEN(aoc_03_input[[#This Row],[Forest]]))+1,1)</f>
        <v>#</v>
      </c>
      <c r="D19" s="1">
        <f>IF(aoc_03_input[[#This Row],[CharAtPos1]]="#",1,0)</f>
        <v>1</v>
      </c>
      <c r="E19" s="1">
        <f t="shared" si="1"/>
        <v>18</v>
      </c>
      <c r="F19" s="1" t="str">
        <f>MID(aoc_03_input[[#This Row],[Forest]],MOD(aoc_03_input[[#This Row],[Pos2_1]]-1,LEN(aoc_03_input[[#This Row],[Forest]]))+1,1)</f>
        <v>.</v>
      </c>
      <c r="G19" s="1">
        <f>IF(aoc_03_input[[#This Row],[CharAtPos2_1]]="#",1,0)</f>
        <v>0</v>
      </c>
      <c r="H19" s="1">
        <f t="shared" si="2"/>
        <v>86</v>
      </c>
      <c r="I19" s="1" t="str">
        <f>MID(aoc_03_input[[#This Row],[Forest]],MOD(aoc_03_input[[#This Row],[Pos2_3]]-1,LEN(aoc_03_input[[#This Row],[Forest]]))+1,1)</f>
        <v>.</v>
      </c>
      <c r="J19" s="1">
        <f>IF(aoc_03_input[[#This Row],[CharAtPos2_3]]="#",1,0)</f>
        <v>0</v>
      </c>
      <c r="K19" s="1">
        <f t="shared" si="3"/>
        <v>120</v>
      </c>
      <c r="L19" s="1" t="str">
        <f>MID(aoc_03_input[[#This Row],[Forest]],MOD(aoc_03_input[[#This Row],[Pos2_4]]-1,LEN(aoc_03_input[[#This Row],[Forest]]))+1,1)</f>
        <v>.</v>
      </c>
      <c r="M19" s="1">
        <f>IF(aoc_03_input[[#This Row],[CharAtPos2_4]]="#",1,0)</f>
        <v>0</v>
      </c>
      <c r="N19" s="1">
        <f>MOD(ROW(aoc_03_input[[#This Row],[CountRow2_5]])+1,2)</f>
        <v>0</v>
      </c>
      <c r="O19" s="1">
        <f t="shared" si="4"/>
        <v>9</v>
      </c>
      <c r="P19" s="1" t="str">
        <f>MID(aoc_03_input[[#This Row],[Forest]],MOD(aoc_03_input[[#This Row],[Pos2_5]]-1,LEN(aoc_03_input[[#This Row],[Forest]]))+1,1)</f>
        <v>.</v>
      </c>
      <c r="Q19" s="1">
        <f>IF(AND(aoc_03_input[[#This Row],[CountRow2_5]]=1,aoc_03_input[[#This Row],[CharAtPos2_5]]="#"),1,0)</f>
        <v>0</v>
      </c>
    </row>
    <row r="20" spans="1:17" x14ac:dyDescent="0.45">
      <c r="A20" s="1" t="s">
        <v>1404</v>
      </c>
      <c r="B20" s="1">
        <f t="shared" si="0"/>
        <v>55</v>
      </c>
      <c r="C20" s="1" t="str">
        <f>MID(aoc_03_input[[#This Row],[Forest]],MOD(aoc_03_input[[#This Row],[Pos1]]-1,LEN(aoc_03_input[[#This Row],[Forest]]))+1,1)</f>
        <v>.</v>
      </c>
      <c r="D20" s="1">
        <f>IF(aoc_03_input[[#This Row],[CharAtPos1]]="#",1,0)</f>
        <v>0</v>
      </c>
      <c r="E20" s="1">
        <f t="shared" si="1"/>
        <v>19</v>
      </c>
      <c r="F20" s="1" t="str">
        <f>MID(aoc_03_input[[#This Row],[Forest]],MOD(aoc_03_input[[#This Row],[Pos2_1]]-1,LEN(aoc_03_input[[#This Row],[Forest]]))+1,1)</f>
        <v>.</v>
      </c>
      <c r="G20" s="1">
        <f>IF(aoc_03_input[[#This Row],[CharAtPos2_1]]="#",1,0)</f>
        <v>0</v>
      </c>
      <c r="H20" s="1">
        <f t="shared" si="2"/>
        <v>91</v>
      </c>
      <c r="I20" s="1" t="str">
        <f>MID(aoc_03_input[[#This Row],[Forest]],MOD(aoc_03_input[[#This Row],[Pos2_3]]-1,LEN(aoc_03_input[[#This Row],[Forest]]))+1,1)</f>
        <v>.</v>
      </c>
      <c r="J20" s="1">
        <f>IF(aoc_03_input[[#This Row],[CharAtPos2_3]]="#",1,0)</f>
        <v>0</v>
      </c>
      <c r="K20" s="1">
        <f t="shared" si="3"/>
        <v>127</v>
      </c>
      <c r="L20" s="1" t="str">
        <f>MID(aoc_03_input[[#This Row],[Forest]],MOD(aoc_03_input[[#This Row],[Pos2_4]]-1,LEN(aoc_03_input[[#This Row],[Forest]]))+1,1)</f>
        <v>.</v>
      </c>
      <c r="M20" s="1">
        <f>IF(aoc_03_input[[#This Row],[CharAtPos2_4]]="#",1,0)</f>
        <v>0</v>
      </c>
      <c r="N20" s="1">
        <f>MOD(ROW(aoc_03_input[[#This Row],[CountRow2_5]])+1,2)</f>
        <v>1</v>
      </c>
      <c r="O20" s="1">
        <f t="shared" si="4"/>
        <v>10</v>
      </c>
      <c r="P20" s="1" t="str">
        <f>MID(aoc_03_input[[#This Row],[Forest]],MOD(aoc_03_input[[#This Row],[Pos2_5]]-1,LEN(aoc_03_input[[#This Row],[Forest]]))+1,1)</f>
        <v>.</v>
      </c>
      <c r="Q20" s="1">
        <f>IF(AND(aoc_03_input[[#This Row],[CountRow2_5]]=1,aoc_03_input[[#This Row],[CharAtPos2_5]]="#"),1,0)</f>
        <v>0</v>
      </c>
    </row>
    <row r="21" spans="1:17" x14ac:dyDescent="0.45">
      <c r="A21" s="1" t="s">
        <v>1405</v>
      </c>
      <c r="B21" s="1">
        <f t="shared" si="0"/>
        <v>58</v>
      </c>
      <c r="C21" s="1" t="str">
        <f>MID(aoc_03_input[[#This Row],[Forest]],MOD(aoc_03_input[[#This Row],[Pos1]]-1,LEN(aoc_03_input[[#This Row],[Forest]]))+1,1)</f>
        <v>.</v>
      </c>
      <c r="D21" s="1">
        <f>IF(aoc_03_input[[#This Row],[CharAtPos1]]="#",1,0)</f>
        <v>0</v>
      </c>
      <c r="E21" s="1">
        <f t="shared" si="1"/>
        <v>20</v>
      </c>
      <c r="F21" s="1" t="str">
        <f>MID(aoc_03_input[[#This Row],[Forest]],MOD(aoc_03_input[[#This Row],[Pos2_1]]-1,LEN(aoc_03_input[[#This Row],[Forest]]))+1,1)</f>
        <v>.</v>
      </c>
      <c r="G21" s="1">
        <f>IF(aoc_03_input[[#This Row],[CharAtPos2_1]]="#",1,0)</f>
        <v>0</v>
      </c>
      <c r="H21" s="1">
        <f t="shared" si="2"/>
        <v>96</v>
      </c>
      <c r="I21" s="1" t="str">
        <f>MID(aoc_03_input[[#This Row],[Forest]],MOD(aoc_03_input[[#This Row],[Pos2_3]]-1,LEN(aoc_03_input[[#This Row],[Forest]]))+1,1)</f>
        <v>.</v>
      </c>
      <c r="J21" s="1">
        <f>IF(aoc_03_input[[#This Row],[CharAtPos2_3]]="#",1,0)</f>
        <v>0</v>
      </c>
      <c r="K21" s="1">
        <f t="shared" si="3"/>
        <v>134</v>
      </c>
      <c r="L21" s="1" t="str">
        <f>MID(aoc_03_input[[#This Row],[Forest]],MOD(aoc_03_input[[#This Row],[Pos2_4]]-1,LEN(aoc_03_input[[#This Row],[Forest]]))+1,1)</f>
        <v>.</v>
      </c>
      <c r="M21" s="1">
        <f>IF(aoc_03_input[[#This Row],[CharAtPos2_4]]="#",1,0)</f>
        <v>0</v>
      </c>
      <c r="N21" s="1">
        <f>MOD(ROW(aoc_03_input[[#This Row],[CountRow2_5]])+1,2)</f>
        <v>0</v>
      </c>
      <c r="O21" s="1">
        <f t="shared" si="4"/>
        <v>10</v>
      </c>
      <c r="P21" s="1" t="str">
        <f>MID(aoc_03_input[[#This Row],[Forest]],MOD(aoc_03_input[[#This Row],[Pos2_5]]-1,LEN(aoc_03_input[[#This Row],[Forest]]))+1,1)</f>
        <v>.</v>
      </c>
      <c r="Q21" s="1">
        <f>IF(AND(aoc_03_input[[#This Row],[CountRow2_5]]=1,aoc_03_input[[#This Row],[CharAtPos2_5]]="#"),1,0)</f>
        <v>0</v>
      </c>
    </row>
    <row r="22" spans="1:17" x14ac:dyDescent="0.45">
      <c r="A22" s="1" t="s">
        <v>1406</v>
      </c>
      <c r="B22" s="1">
        <f t="shared" si="0"/>
        <v>61</v>
      </c>
      <c r="C22" s="1" t="str">
        <f>MID(aoc_03_input[[#This Row],[Forest]],MOD(aoc_03_input[[#This Row],[Pos1]]-1,LEN(aoc_03_input[[#This Row],[Forest]]))+1,1)</f>
        <v>#</v>
      </c>
      <c r="D22" s="1">
        <f>IF(aoc_03_input[[#This Row],[CharAtPos1]]="#",1,0)</f>
        <v>1</v>
      </c>
      <c r="E22" s="1">
        <f t="shared" si="1"/>
        <v>21</v>
      </c>
      <c r="F22" s="1" t="str">
        <f>MID(aoc_03_input[[#This Row],[Forest]],MOD(aoc_03_input[[#This Row],[Pos2_1]]-1,LEN(aoc_03_input[[#This Row],[Forest]]))+1,1)</f>
        <v>.</v>
      </c>
      <c r="G22" s="1">
        <f>IF(aoc_03_input[[#This Row],[CharAtPos2_1]]="#",1,0)</f>
        <v>0</v>
      </c>
      <c r="H22" s="1">
        <f t="shared" si="2"/>
        <v>101</v>
      </c>
      <c r="I22" s="1" t="str">
        <f>MID(aoc_03_input[[#This Row],[Forest]],MOD(aoc_03_input[[#This Row],[Pos2_3]]-1,LEN(aoc_03_input[[#This Row],[Forest]]))+1,1)</f>
        <v>.</v>
      </c>
      <c r="J22" s="1">
        <f>IF(aoc_03_input[[#This Row],[CharAtPos2_3]]="#",1,0)</f>
        <v>0</v>
      </c>
      <c r="K22" s="1">
        <f t="shared" si="3"/>
        <v>141</v>
      </c>
      <c r="L22" s="1" t="str">
        <f>MID(aoc_03_input[[#This Row],[Forest]],MOD(aoc_03_input[[#This Row],[Pos2_4]]-1,LEN(aoc_03_input[[#This Row],[Forest]]))+1,1)</f>
        <v>#</v>
      </c>
      <c r="M22" s="1">
        <f>IF(aoc_03_input[[#This Row],[CharAtPos2_4]]="#",1,0)</f>
        <v>1</v>
      </c>
      <c r="N22" s="1">
        <f>MOD(ROW(aoc_03_input[[#This Row],[CountRow2_5]])+1,2)</f>
        <v>1</v>
      </c>
      <c r="O22" s="1">
        <f t="shared" si="4"/>
        <v>11</v>
      </c>
      <c r="P22" s="1" t="str">
        <f>MID(aoc_03_input[[#This Row],[Forest]],MOD(aoc_03_input[[#This Row],[Pos2_5]]-1,LEN(aoc_03_input[[#This Row],[Forest]]))+1,1)</f>
        <v>.</v>
      </c>
      <c r="Q22" s="1">
        <f>IF(AND(aoc_03_input[[#This Row],[CountRow2_5]]=1,aoc_03_input[[#This Row],[CharAtPos2_5]]="#"),1,0)</f>
        <v>0</v>
      </c>
    </row>
    <row r="23" spans="1:17" x14ac:dyDescent="0.45">
      <c r="A23" s="1" t="s">
        <v>1407</v>
      </c>
      <c r="B23" s="1">
        <f t="shared" si="0"/>
        <v>64</v>
      </c>
      <c r="C23" s="1" t="str">
        <f>MID(aoc_03_input[[#This Row],[Forest]],MOD(aoc_03_input[[#This Row],[Pos1]]-1,LEN(aoc_03_input[[#This Row],[Forest]]))+1,1)</f>
        <v>.</v>
      </c>
      <c r="D23" s="1">
        <f>IF(aoc_03_input[[#This Row],[CharAtPos1]]="#",1,0)</f>
        <v>0</v>
      </c>
      <c r="E23" s="1">
        <f t="shared" si="1"/>
        <v>22</v>
      </c>
      <c r="F23" s="1" t="str">
        <f>MID(aoc_03_input[[#This Row],[Forest]],MOD(aoc_03_input[[#This Row],[Pos2_1]]-1,LEN(aoc_03_input[[#This Row],[Forest]]))+1,1)</f>
        <v>.</v>
      </c>
      <c r="G23" s="1">
        <f>IF(aoc_03_input[[#This Row],[CharAtPos2_1]]="#",1,0)</f>
        <v>0</v>
      </c>
      <c r="H23" s="1">
        <f t="shared" si="2"/>
        <v>106</v>
      </c>
      <c r="I23" s="1" t="str">
        <f>MID(aoc_03_input[[#This Row],[Forest]],MOD(aoc_03_input[[#This Row],[Pos2_3]]-1,LEN(aoc_03_input[[#This Row],[Forest]]))+1,1)</f>
        <v>.</v>
      </c>
      <c r="J23" s="1">
        <f>IF(aoc_03_input[[#This Row],[CharAtPos2_3]]="#",1,0)</f>
        <v>0</v>
      </c>
      <c r="K23" s="1">
        <f t="shared" si="3"/>
        <v>148</v>
      </c>
      <c r="L23" s="1" t="str">
        <f>MID(aoc_03_input[[#This Row],[Forest]],MOD(aoc_03_input[[#This Row],[Pos2_4]]-1,LEN(aoc_03_input[[#This Row],[Forest]]))+1,1)</f>
        <v>#</v>
      </c>
      <c r="M23" s="1">
        <f>IF(aoc_03_input[[#This Row],[CharAtPos2_4]]="#",1,0)</f>
        <v>1</v>
      </c>
      <c r="N23" s="1">
        <f>MOD(ROW(aoc_03_input[[#This Row],[CountRow2_5]])+1,2)</f>
        <v>0</v>
      </c>
      <c r="O23" s="1">
        <f t="shared" si="4"/>
        <v>11</v>
      </c>
      <c r="P23" s="1" t="str">
        <f>MID(aoc_03_input[[#This Row],[Forest]],MOD(aoc_03_input[[#This Row],[Pos2_5]]-1,LEN(aoc_03_input[[#This Row],[Forest]]))+1,1)</f>
        <v>.</v>
      </c>
      <c r="Q23" s="1">
        <f>IF(AND(aoc_03_input[[#This Row],[CountRow2_5]]=1,aoc_03_input[[#This Row],[CharAtPos2_5]]="#"),1,0)</f>
        <v>0</v>
      </c>
    </row>
    <row r="24" spans="1:17" x14ac:dyDescent="0.45">
      <c r="A24" s="1" t="s">
        <v>1408</v>
      </c>
      <c r="B24" s="1">
        <f t="shared" si="0"/>
        <v>67</v>
      </c>
      <c r="C24" s="1" t="str">
        <f>MID(aoc_03_input[[#This Row],[Forest]],MOD(aoc_03_input[[#This Row],[Pos1]]-1,LEN(aoc_03_input[[#This Row],[Forest]]))+1,1)</f>
        <v>.</v>
      </c>
      <c r="D24" s="1">
        <f>IF(aoc_03_input[[#This Row],[CharAtPos1]]="#",1,0)</f>
        <v>0</v>
      </c>
      <c r="E24" s="1">
        <f t="shared" si="1"/>
        <v>23</v>
      </c>
      <c r="F24" s="1" t="str">
        <f>MID(aoc_03_input[[#This Row],[Forest]],MOD(aoc_03_input[[#This Row],[Pos2_1]]-1,LEN(aoc_03_input[[#This Row],[Forest]]))+1,1)</f>
        <v>.</v>
      </c>
      <c r="G24" s="1">
        <f>IF(aoc_03_input[[#This Row],[CharAtPos2_1]]="#",1,0)</f>
        <v>0</v>
      </c>
      <c r="H24" s="1">
        <f t="shared" si="2"/>
        <v>111</v>
      </c>
      <c r="I24" s="1" t="str">
        <f>MID(aoc_03_input[[#This Row],[Forest]],MOD(aoc_03_input[[#This Row],[Pos2_3]]-1,LEN(aoc_03_input[[#This Row],[Forest]]))+1,1)</f>
        <v>.</v>
      </c>
      <c r="J24" s="1">
        <f>IF(aoc_03_input[[#This Row],[CharAtPos2_3]]="#",1,0)</f>
        <v>0</v>
      </c>
      <c r="K24" s="1">
        <f t="shared" si="3"/>
        <v>155</v>
      </c>
      <c r="L24" s="1" t="str">
        <f>MID(aoc_03_input[[#This Row],[Forest]],MOD(aoc_03_input[[#This Row],[Pos2_4]]-1,LEN(aoc_03_input[[#This Row],[Forest]]))+1,1)</f>
        <v>.</v>
      </c>
      <c r="M24" s="1">
        <f>IF(aoc_03_input[[#This Row],[CharAtPos2_4]]="#",1,0)</f>
        <v>0</v>
      </c>
      <c r="N24" s="1">
        <f>MOD(ROW(aoc_03_input[[#This Row],[CountRow2_5]])+1,2)</f>
        <v>1</v>
      </c>
      <c r="O24" s="1">
        <f t="shared" si="4"/>
        <v>12</v>
      </c>
      <c r="P24" s="1" t="str">
        <f>MID(aoc_03_input[[#This Row],[Forest]],MOD(aoc_03_input[[#This Row],[Pos2_5]]-1,LEN(aoc_03_input[[#This Row],[Forest]]))+1,1)</f>
        <v>.</v>
      </c>
      <c r="Q24" s="1">
        <f>IF(AND(aoc_03_input[[#This Row],[CountRow2_5]]=1,aoc_03_input[[#This Row],[CharAtPos2_5]]="#"),1,0)</f>
        <v>0</v>
      </c>
    </row>
    <row r="25" spans="1:17" x14ac:dyDescent="0.45">
      <c r="A25" s="1" t="s">
        <v>1409</v>
      </c>
      <c r="B25" s="1">
        <f t="shared" si="0"/>
        <v>70</v>
      </c>
      <c r="C25" s="1" t="str">
        <f>MID(aoc_03_input[[#This Row],[Forest]],MOD(aoc_03_input[[#This Row],[Pos1]]-1,LEN(aoc_03_input[[#This Row],[Forest]]))+1,1)</f>
        <v>#</v>
      </c>
      <c r="D25" s="1">
        <f>IF(aoc_03_input[[#This Row],[CharAtPos1]]="#",1,0)</f>
        <v>1</v>
      </c>
      <c r="E25" s="1">
        <f t="shared" si="1"/>
        <v>24</v>
      </c>
      <c r="F25" s="1" t="str">
        <f>MID(aoc_03_input[[#This Row],[Forest]],MOD(aoc_03_input[[#This Row],[Pos2_1]]-1,LEN(aoc_03_input[[#This Row],[Forest]]))+1,1)</f>
        <v>.</v>
      </c>
      <c r="G25" s="1">
        <f>IF(aoc_03_input[[#This Row],[CharAtPos2_1]]="#",1,0)</f>
        <v>0</v>
      </c>
      <c r="H25" s="1">
        <f t="shared" si="2"/>
        <v>116</v>
      </c>
      <c r="I25" s="1" t="str">
        <f>MID(aoc_03_input[[#This Row],[Forest]],MOD(aoc_03_input[[#This Row],[Pos2_3]]-1,LEN(aoc_03_input[[#This Row],[Forest]]))+1,1)</f>
        <v>#</v>
      </c>
      <c r="J25" s="1">
        <f>IF(aoc_03_input[[#This Row],[CharAtPos2_3]]="#",1,0)</f>
        <v>1</v>
      </c>
      <c r="K25" s="1">
        <f t="shared" si="3"/>
        <v>162</v>
      </c>
      <c r="L25" s="1" t="str">
        <f>MID(aoc_03_input[[#This Row],[Forest]],MOD(aoc_03_input[[#This Row],[Pos2_4]]-1,LEN(aoc_03_input[[#This Row],[Forest]]))+1,1)</f>
        <v>.</v>
      </c>
      <c r="M25" s="1">
        <f>IF(aoc_03_input[[#This Row],[CharAtPos2_4]]="#",1,0)</f>
        <v>0</v>
      </c>
      <c r="N25" s="1">
        <f>MOD(ROW(aoc_03_input[[#This Row],[CountRow2_5]])+1,2)</f>
        <v>0</v>
      </c>
      <c r="O25" s="1">
        <f t="shared" si="4"/>
        <v>12</v>
      </c>
      <c r="P25" s="1" t="str">
        <f>MID(aoc_03_input[[#This Row],[Forest]],MOD(aoc_03_input[[#This Row],[Pos2_5]]-1,LEN(aoc_03_input[[#This Row],[Forest]]))+1,1)</f>
        <v>#</v>
      </c>
      <c r="Q25" s="1">
        <f>IF(AND(aoc_03_input[[#This Row],[CountRow2_5]]=1,aoc_03_input[[#This Row],[CharAtPos2_5]]="#"),1,0)</f>
        <v>0</v>
      </c>
    </row>
    <row r="26" spans="1:17" x14ac:dyDescent="0.45">
      <c r="A26" s="1" t="s">
        <v>1410</v>
      </c>
      <c r="B26" s="1">
        <f t="shared" si="0"/>
        <v>73</v>
      </c>
      <c r="C26" s="1" t="str">
        <f>MID(aoc_03_input[[#This Row],[Forest]],MOD(aoc_03_input[[#This Row],[Pos1]]-1,LEN(aoc_03_input[[#This Row],[Forest]]))+1,1)</f>
        <v>.</v>
      </c>
      <c r="D26" s="1">
        <f>IF(aoc_03_input[[#This Row],[CharAtPos1]]="#",1,0)</f>
        <v>0</v>
      </c>
      <c r="E26" s="1">
        <f t="shared" si="1"/>
        <v>25</v>
      </c>
      <c r="F26" s="1" t="str">
        <f>MID(aoc_03_input[[#This Row],[Forest]],MOD(aoc_03_input[[#This Row],[Pos2_1]]-1,LEN(aoc_03_input[[#This Row],[Forest]]))+1,1)</f>
        <v>.</v>
      </c>
      <c r="G26" s="1">
        <f>IF(aoc_03_input[[#This Row],[CharAtPos2_1]]="#",1,0)</f>
        <v>0</v>
      </c>
      <c r="H26" s="1">
        <f t="shared" si="2"/>
        <v>121</v>
      </c>
      <c r="I26" s="1" t="str">
        <f>MID(aoc_03_input[[#This Row],[Forest]],MOD(aoc_03_input[[#This Row],[Pos2_3]]-1,LEN(aoc_03_input[[#This Row],[Forest]]))+1,1)</f>
        <v>.</v>
      </c>
      <c r="J26" s="1">
        <f>IF(aoc_03_input[[#This Row],[CharAtPos2_3]]="#",1,0)</f>
        <v>0</v>
      </c>
      <c r="K26" s="1">
        <f t="shared" si="3"/>
        <v>169</v>
      </c>
      <c r="L26" s="1" t="str">
        <f>MID(aoc_03_input[[#This Row],[Forest]],MOD(aoc_03_input[[#This Row],[Pos2_4]]-1,LEN(aoc_03_input[[#This Row],[Forest]]))+1,1)</f>
        <v>#</v>
      </c>
      <c r="M26" s="1">
        <f>IF(aoc_03_input[[#This Row],[CharAtPos2_4]]="#",1,0)</f>
        <v>1</v>
      </c>
      <c r="N26" s="1">
        <f>MOD(ROW(aoc_03_input[[#This Row],[CountRow2_5]])+1,2)</f>
        <v>1</v>
      </c>
      <c r="O26" s="1">
        <f t="shared" si="4"/>
        <v>13</v>
      </c>
      <c r="P26" s="1" t="str">
        <f>MID(aoc_03_input[[#This Row],[Forest]],MOD(aoc_03_input[[#This Row],[Pos2_5]]-1,LEN(aoc_03_input[[#This Row],[Forest]]))+1,1)</f>
        <v>#</v>
      </c>
      <c r="Q26" s="1">
        <f>IF(AND(aoc_03_input[[#This Row],[CountRow2_5]]=1,aoc_03_input[[#This Row],[CharAtPos2_5]]="#"),1,0)</f>
        <v>1</v>
      </c>
    </row>
    <row r="27" spans="1:17" x14ac:dyDescent="0.45">
      <c r="A27" s="1" t="s">
        <v>1411</v>
      </c>
      <c r="B27" s="1">
        <f t="shared" si="0"/>
        <v>76</v>
      </c>
      <c r="C27" s="1" t="str">
        <f>MID(aoc_03_input[[#This Row],[Forest]],MOD(aoc_03_input[[#This Row],[Pos1]]-1,LEN(aoc_03_input[[#This Row],[Forest]]))+1,1)</f>
        <v>#</v>
      </c>
      <c r="D27" s="1">
        <f>IF(aoc_03_input[[#This Row],[CharAtPos1]]="#",1,0)</f>
        <v>1</v>
      </c>
      <c r="E27" s="1">
        <f t="shared" si="1"/>
        <v>26</v>
      </c>
      <c r="F27" s="1" t="str">
        <f>MID(aoc_03_input[[#This Row],[Forest]],MOD(aoc_03_input[[#This Row],[Pos2_1]]-1,LEN(aoc_03_input[[#This Row],[Forest]]))+1,1)</f>
        <v>.</v>
      </c>
      <c r="G27" s="1">
        <f>IF(aoc_03_input[[#This Row],[CharAtPos2_1]]="#",1,0)</f>
        <v>0</v>
      </c>
      <c r="H27" s="1">
        <f t="shared" si="2"/>
        <v>126</v>
      </c>
      <c r="I27" s="1" t="str">
        <f>MID(aoc_03_input[[#This Row],[Forest]],MOD(aoc_03_input[[#This Row],[Pos2_3]]-1,LEN(aoc_03_input[[#This Row],[Forest]]))+1,1)</f>
        <v>#</v>
      </c>
      <c r="J27" s="1">
        <f>IF(aoc_03_input[[#This Row],[CharAtPos2_3]]="#",1,0)</f>
        <v>1</v>
      </c>
      <c r="K27" s="1">
        <f t="shared" si="3"/>
        <v>176</v>
      </c>
      <c r="L27" s="1" t="str">
        <f>MID(aoc_03_input[[#This Row],[Forest]],MOD(aoc_03_input[[#This Row],[Pos2_4]]-1,LEN(aoc_03_input[[#This Row],[Forest]]))+1,1)</f>
        <v>#</v>
      </c>
      <c r="M27" s="1">
        <f>IF(aoc_03_input[[#This Row],[CharAtPos2_4]]="#",1,0)</f>
        <v>1</v>
      </c>
      <c r="N27" s="1">
        <f>MOD(ROW(aoc_03_input[[#This Row],[CountRow2_5]])+1,2)</f>
        <v>0</v>
      </c>
      <c r="O27" s="1">
        <f t="shared" si="4"/>
        <v>13</v>
      </c>
      <c r="P27" s="1" t="str">
        <f>MID(aoc_03_input[[#This Row],[Forest]],MOD(aoc_03_input[[#This Row],[Pos2_5]]-1,LEN(aoc_03_input[[#This Row],[Forest]]))+1,1)</f>
        <v>.</v>
      </c>
      <c r="Q27" s="1">
        <f>IF(AND(aoc_03_input[[#This Row],[CountRow2_5]]=1,aoc_03_input[[#This Row],[CharAtPos2_5]]="#"),1,0)</f>
        <v>0</v>
      </c>
    </row>
    <row r="28" spans="1:17" x14ac:dyDescent="0.45">
      <c r="A28" s="1" t="s">
        <v>1412</v>
      </c>
      <c r="B28" s="1">
        <f t="shared" si="0"/>
        <v>79</v>
      </c>
      <c r="C28" s="1" t="str">
        <f>MID(aoc_03_input[[#This Row],[Forest]],MOD(aoc_03_input[[#This Row],[Pos1]]-1,LEN(aoc_03_input[[#This Row],[Forest]]))+1,1)</f>
        <v>#</v>
      </c>
      <c r="D28" s="1">
        <f>IF(aoc_03_input[[#This Row],[CharAtPos1]]="#",1,0)</f>
        <v>1</v>
      </c>
      <c r="E28" s="1">
        <f t="shared" si="1"/>
        <v>27</v>
      </c>
      <c r="F28" s="1" t="str">
        <f>MID(aoc_03_input[[#This Row],[Forest]],MOD(aoc_03_input[[#This Row],[Pos2_1]]-1,LEN(aoc_03_input[[#This Row],[Forest]]))+1,1)</f>
        <v>.</v>
      </c>
      <c r="G28" s="1">
        <f>IF(aoc_03_input[[#This Row],[CharAtPos2_1]]="#",1,0)</f>
        <v>0</v>
      </c>
      <c r="H28" s="1">
        <f t="shared" si="2"/>
        <v>131</v>
      </c>
      <c r="I28" s="1" t="str">
        <f>MID(aoc_03_input[[#This Row],[Forest]],MOD(aoc_03_input[[#This Row],[Pos2_3]]-1,LEN(aoc_03_input[[#This Row],[Forest]]))+1,1)</f>
        <v>.</v>
      </c>
      <c r="J28" s="1">
        <f>IF(aoc_03_input[[#This Row],[CharAtPos2_3]]="#",1,0)</f>
        <v>0</v>
      </c>
      <c r="K28" s="1">
        <f t="shared" si="3"/>
        <v>183</v>
      </c>
      <c r="L28" s="1" t="str">
        <f>MID(aoc_03_input[[#This Row],[Forest]],MOD(aoc_03_input[[#This Row],[Pos2_4]]-1,LEN(aoc_03_input[[#This Row],[Forest]]))+1,1)</f>
        <v>.</v>
      </c>
      <c r="M28" s="1">
        <f>IF(aoc_03_input[[#This Row],[CharAtPos2_4]]="#",1,0)</f>
        <v>0</v>
      </c>
      <c r="N28" s="1">
        <f>MOD(ROW(aoc_03_input[[#This Row],[CountRow2_5]])+1,2)</f>
        <v>1</v>
      </c>
      <c r="O28" s="1">
        <f t="shared" si="4"/>
        <v>14</v>
      </c>
      <c r="P28" s="1" t="str">
        <f>MID(aoc_03_input[[#This Row],[Forest]],MOD(aoc_03_input[[#This Row],[Pos2_5]]-1,LEN(aoc_03_input[[#This Row],[Forest]]))+1,1)</f>
        <v>.</v>
      </c>
      <c r="Q28" s="1">
        <f>IF(AND(aoc_03_input[[#This Row],[CountRow2_5]]=1,aoc_03_input[[#This Row],[CharAtPos2_5]]="#"),1,0)</f>
        <v>0</v>
      </c>
    </row>
    <row r="29" spans="1:17" x14ac:dyDescent="0.45">
      <c r="A29" s="1" t="s">
        <v>1413</v>
      </c>
      <c r="B29" s="1">
        <f t="shared" si="0"/>
        <v>82</v>
      </c>
      <c r="C29" s="1" t="str">
        <f>MID(aoc_03_input[[#This Row],[Forest]],MOD(aoc_03_input[[#This Row],[Pos1]]-1,LEN(aoc_03_input[[#This Row],[Forest]]))+1,1)</f>
        <v>#</v>
      </c>
      <c r="D29" s="1">
        <f>IF(aoc_03_input[[#This Row],[CharAtPos1]]="#",1,0)</f>
        <v>1</v>
      </c>
      <c r="E29" s="1">
        <f t="shared" si="1"/>
        <v>28</v>
      </c>
      <c r="F29" s="1" t="str">
        <f>MID(aoc_03_input[[#This Row],[Forest]],MOD(aoc_03_input[[#This Row],[Pos2_1]]-1,LEN(aoc_03_input[[#This Row],[Forest]]))+1,1)</f>
        <v>.</v>
      </c>
      <c r="G29" s="1">
        <f>IF(aoc_03_input[[#This Row],[CharAtPos2_1]]="#",1,0)</f>
        <v>0</v>
      </c>
      <c r="H29" s="1">
        <f t="shared" si="2"/>
        <v>136</v>
      </c>
      <c r="I29" s="1" t="str">
        <f>MID(aoc_03_input[[#This Row],[Forest]],MOD(aoc_03_input[[#This Row],[Pos2_3]]-1,LEN(aoc_03_input[[#This Row],[Forest]]))+1,1)</f>
        <v>#</v>
      </c>
      <c r="J29" s="1">
        <f>IF(aoc_03_input[[#This Row],[CharAtPos2_3]]="#",1,0)</f>
        <v>1</v>
      </c>
      <c r="K29" s="1">
        <f t="shared" si="3"/>
        <v>190</v>
      </c>
      <c r="L29" s="1" t="str">
        <f>MID(aoc_03_input[[#This Row],[Forest]],MOD(aoc_03_input[[#This Row],[Pos2_4]]-1,LEN(aoc_03_input[[#This Row],[Forest]]))+1,1)</f>
        <v>.</v>
      </c>
      <c r="M29" s="1">
        <f>IF(aoc_03_input[[#This Row],[CharAtPos2_4]]="#",1,0)</f>
        <v>0</v>
      </c>
      <c r="N29" s="1">
        <f>MOD(ROW(aoc_03_input[[#This Row],[CountRow2_5]])+1,2)</f>
        <v>0</v>
      </c>
      <c r="O29" s="1">
        <f t="shared" si="4"/>
        <v>14</v>
      </c>
      <c r="P29" s="1" t="str">
        <f>MID(aoc_03_input[[#This Row],[Forest]],MOD(aoc_03_input[[#This Row],[Pos2_5]]-1,LEN(aoc_03_input[[#This Row],[Forest]]))+1,1)</f>
        <v>.</v>
      </c>
      <c r="Q29" s="1">
        <f>IF(AND(aoc_03_input[[#This Row],[CountRow2_5]]=1,aoc_03_input[[#This Row],[CharAtPos2_5]]="#"),1,0)</f>
        <v>0</v>
      </c>
    </row>
    <row r="30" spans="1:17" x14ac:dyDescent="0.45">
      <c r="A30" s="1" t="s">
        <v>1414</v>
      </c>
      <c r="B30" s="1">
        <f t="shared" si="0"/>
        <v>85</v>
      </c>
      <c r="C30" s="1" t="str">
        <f>MID(aoc_03_input[[#This Row],[Forest]],MOD(aoc_03_input[[#This Row],[Pos1]]-1,LEN(aoc_03_input[[#This Row],[Forest]]))+1,1)</f>
        <v>.</v>
      </c>
      <c r="D30" s="1">
        <f>IF(aoc_03_input[[#This Row],[CharAtPos1]]="#",1,0)</f>
        <v>0</v>
      </c>
      <c r="E30" s="1">
        <f t="shared" si="1"/>
        <v>29</v>
      </c>
      <c r="F30" s="1" t="str">
        <f>MID(aoc_03_input[[#This Row],[Forest]],MOD(aoc_03_input[[#This Row],[Pos2_1]]-1,LEN(aoc_03_input[[#This Row],[Forest]]))+1,1)</f>
        <v>.</v>
      </c>
      <c r="G30" s="1">
        <f>IF(aoc_03_input[[#This Row],[CharAtPos2_1]]="#",1,0)</f>
        <v>0</v>
      </c>
      <c r="H30" s="1">
        <f t="shared" si="2"/>
        <v>141</v>
      </c>
      <c r="I30" s="1" t="str">
        <f>MID(aoc_03_input[[#This Row],[Forest]],MOD(aoc_03_input[[#This Row],[Pos2_3]]-1,LEN(aoc_03_input[[#This Row],[Forest]]))+1,1)</f>
        <v>.</v>
      </c>
      <c r="J30" s="1">
        <f>IF(aoc_03_input[[#This Row],[CharAtPos2_3]]="#",1,0)</f>
        <v>0</v>
      </c>
      <c r="K30" s="1">
        <f t="shared" si="3"/>
        <v>197</v>
      </c>
      <c r="L30" s="1" t="str">
        <f>MID(aoc_03_input[[#This Row],[Forest]],MOD(aoc_03_input[[#This Row],[Pos2_4]]-1,LEN(aoc_03_input[[#This Row],[Forest]]))+1,1)</f>
        <v>#</v>
      </c>
      <c r="M30" s="1">
        <f>IF(aoc_03_input[[#This Row],[CharAtPos2_4]]="#",1,0)</f>
        <v>1</v>
      </c>
      <c r="N30" s="1">
        <f>MOD(ROW(aoc_03_input[[#This Row],[CountRow2_5]])+1,2)</f>
        <v>1</v>
      </c>
      <c r="O30" s="1">
        <f t="shared" si="4"/>
        <v>15</v>
      </c>
      <c r="P30" s="1" t="str">
        <f>MID(aoc_03_input[[#This Row],[Forest]],MOD(aoc_03_input[[#This Row],[Pos2_5]]-1,LEN(aoc_03_input[[#This Row],[Forest]]))+1,1)</f>
        <v>.</v>
      </c>
      <c r="Q30" s="1">
        <f>IF(AND(aoc_03_input[[#This Row],[CountRow2_5]]=1,aoc_03_input[[#This Row],[CharAtPos2_5]]="#"),1,0)</f>
        <v>0</v>
      </c>
    </row>
    <row r="31" spans="1:17" x14ac:dyDescent="0.45">
      <c r="A31" s="1" t="s">
        <v>1415</v>
      </c>
      <c r="B31" s="1">
        <f t="shared" si="0"/>
        <v>88</v>
      </c>
      <c r="C31" s="1" t="str">
        <f>MID(aoc_03_input[[#This Row],[Forest]],MOD(aoc_03_input[[#This Row],[Pos1]]-1,LEN(aoc_03_input[[#This Row],[Forest]]))+1,1)</f>
        <v>.</v>
      </c>
      <c r="D31" s="1">
        <f>IF(aoc_03_input[[#This Row],[CharAtPos1]]="#",1,0)</f>
        <v>0</v>
      </c>
      <c r="E31" s="1">
        <f t="shared" si="1"/>
        <v>30</v>
      </c>
      <c r="F31" s="1" t="str">
        <f>MID(aoc_03_input[[#This Row],[Forest]],MOD(aoc_03_input[[#This Row],[Pos2_1]]-1,LEN(aoc_03_input[[#This Row],[Forest]]))+1,1)</f>
        <v>.</v>
      </c>
      <c r="G31" s="1">
        <f>IF(aoc_03_input[[#This Row],[CharAtPos2_1]]="#",1,0)</f>
        <v>0</v>
      </c>
      <c r="H31" s="1">
        <f t="shared" si="2"/>
        <v>146</v>
      </c>
      <c r="I31" s="1" t="str">
        <f>MID(aoc_03_input[[#This Row],[Forest]],MOD(aoc_03_input[[#This Row],[Pos2_3]]-1,LEN(aoc_03_input[[#This Row],[Forest]]))+1,1)</f>
        <v>.</v>
      </c>
      <c r="J31" s="1">
        <f>IF(aoc_03_input[[#This Row],[CharAtPos2_3]]="#",1,0)</f>
        <v>0</v>
      </c>
      <c r="K31" s="1">
        <f t="shared" si="3"/>
        <v>204</v>
      </c>
      <c r="L31" s="1" t="str">
        <f>MID(aoc_03_input[[#This Row],[Forest]],MOD(aoc_03_input[[#This Row],[Pos2_4]]-1,LEN(aoc_03_input[[#This Row],[Forest]]))+1,1)</f>
        <v>.</v>
      </c>
      <c r="M31" s="1">
        <f>IF(aoc_03_input[[#This Row],[CharAtPos2_4]]="#",1,0)</f>
        <v>0</v>
      </c>
      <c r="N31" s="1">
        <f>MOD(ROW(aoc_03_input[[#This Row],[CountRow2_5]])+1,2)</f>
        <v>0</v>
      </c>
      <c r="O31" s="1">
        <f t="shared" si="4"/>
        <v>15</v>
      </c>
      <c r="P31" s="1" t="str">
        <f>MID(aoc_03_input[[#This Row],[Forest]],MOD(aoc_03_input[[#This Row],[Pos2_5]]-1,LEN(aoc_03_input[[#This Row],[Forest]]))+1,1)</f>
        <v>.</v>
      </c>
      <c r="Q31" s="1">
        <f>IF(AND(aoc_03_input[[#This Row],[CountRow2_5]]=1,aoc_03_input[[#This Row],[CharAtPos2_5]]="#"),1,0)</f>
        <v>0</v>
      </c>
    </row>
    <row r="32" spans="1:17" x14ac:dyDescent="0.45">
      <c r="A32" s="1" t="s">
        <v>1416</v>
      </c>
      <c r="B32" s="1">
        <f t="shared" si="0"/>
        <v>91</v>
      </c>
      <c r="C32" s="1" t="str">
        <f>MID(aoc_03_input[[#This Row],[Forest]],MOD(aoc_03_input[[#This Row],[Pos1]]-1,LEN(aoc_03_input[[#This Row],[Forest]]))+1,1)</f>
        <v>.</v>
      </c>
      <c r="D32" s="1">
        <f>IF(aoc_03_input[[#This Row],[CharAtPos1]]="#",1,0)</f>
        <v>0</v>
      </c>
      <c r="E32" s="1">
        <f t="shared" si="1"/>
        <v>31</v>
      </c>
      <c r="F32" s="1" t="str">
        <f>MID(aoc_03_input[[#This Row],[Forest]],MOD(aoc_03_input[[#This Row],[Pos2_1]]-1,LEN(aoc_03_input[[#This Row],[Forest]]))+1,1)</f>
        <v>.</v>
      </c>
      <c r="G32" s="1">
        <f>IF(aoc_03_input[[#This Row],[CharAtPos2_1]]="#",1,0)</f>
        <v>0</v>
      </c>
      <c r="H32" s="1">
        <f t="shared" si="2"/>
        <v>151</v>
      </c>
      <c r="I32" s="1" t="str">
        <f>MID(aoc_03_input[[#This Row],[Forest]],MOD(aoc_03_input[[#This Row],[Pos2_3]]-1,LEN(aoc_03_input[[#This Row],[Forest]]))+1,1)</f>
        <v>.</v>
      </c>
      <c r="J32" s="1">
        <f>IF(aoc_03_input[[#This Row],[CharAtPos2_3]]="#",1,0)</f>
        <v>0</v>
      </c>
      <c r="K32" s="1">
        <f t="shared" si="3"/>
        <v>211</v>
      </c>
      <c r="L32" s="1" t="str">
        <f>MID(aoc_03_input[[#This Row],[Forest]],MOD(aoc_03_input[[#This Row],[Pos2_4]]-1,LEN(aoc_03_input[[#This Row],[Forest]]))+1,1)</f>
        <v>#</v>
      </c>
      <c r="M32" s="1">
        <f>IF(aoc_03_input[[#This Row],[CharAtPos2_4]]="#",1,0)</f>
        <v>1</v>
      </c>
      <c r="N32" s="1">
        <f>MOD(ROW(aoc_03_input[[#This Row],[CountRow2_5]])+1,2)</f>
        <v>1</v>
      </c>
      <c r="O32" s="1">
        <f t="shared" si="4"/>
        <v>16</v>
      </c>
      <c r="P32" s="1" t="str">
        <f>MID(aoc_03_input[[#This Row],[Forest]],MOD(aoc_03_input[[#This Row],[Pos2_5]]-1,LEN(aoc_03_input[[#This Row],[Forest]]))+1,1)</f>
        <v>.</v>
      </c>
      <c r="Q32" s="1">
        <f>IF(AND(aoc_03_input[[#This Row],[CountRow2_5]]=1,aoc_03_input[[#This Row],[CharAtPos2_5]]="#"),1,0)</f>
        <v>0</v>
      </c>
    </row>
    <row r="33" spans="1:17" x14ac:dyDescent="0.45">
      <c r="A33" s="1" t="s">
        <v>1417</v>
      </c>
      <c r="B33" s="1">
        <f t="shared" si="0"/>
        <v>94</v>
      </c>
      <c r="C33" s="1" t="str">
        <f>MID(aoc_03_input[[#This Row],[Forest]],MOD(aoc_03_input[[#This Row],[Pos1]]-1,LEN(aoc_03_input[[#This Row],[Forest]]))+1,1)</f>
        <v>#</v>
      </c>
      <c r="D33" s="1">
        <f>IF(aoc_03_input[[#This Row],[CharAtPos1]]="#",1,0)</f>
        <v>1</v>
      </c>
      <c r="E33" s="1">
        <f t="shared" si="1"/>
        <v>32</v>
      </c>
      <c r="F33" s="1" t="str">
        <f>MID(aoc_03_input[[#This Row],[Forest]],MOD(aoc_03_input[[#This Row],[Pos2_1]]-1,LEN(aoc_03_input[[#This Row],[Forest]]))+1,1)</f>
        <v>#</v>
      </c>
      <c r="G33" s="1">
        <f>IF(aoc_03_input[[#This Row],[CharAtPos2_1]]="#",1,0)</f>
        <v>1</v>
      </c>
      <c r="H33" s="1">
        <f t="shared" si="2"/>
        <v>156</v>
      </c>
      <c r="I33" s="1" t="str">
        <f>MID(aoc_03_input[[#This Row],[Forest]],MOD(aoc_03_input[[#This Row],[Pos2_3]]-1,LEN(aoc_03_input[[#This Row],[Forest]]))+1,1)</f>
        <v>#</v>
      </c>
      <c r="J33" s="1">
        <f>IF(aoc_03_input[[#This Row],[CharAtPos2_3]]="#",1,0)</f>
        <v>1</v>
      </c>
      <c r="K33" s="1">
        <f t="shared" si="3"/>
        <v>218</v>
      </c>
      <c r="L33" s="1" t="str">
        <f>MID(aoc_03_input[[#This Row],[Forest]],MOD(aoc_03_input[[#This Row],[Pos2_4]]-1,LEN(aoc_03_input[[#This Row],[Forest]]))+1,1)</f>
        <v>#</v>
      </c>
      <c r="M33" s="1">
        <f>IF(aoc_03_input[[#This Row],[CharAtPos2_4]]="#",1,0)</f>
        <v>1</v>
      </c>
      <c r="N33" s="1">
        <f>MOD(ROW(aoc_03_input[[#This Row],[CountRow2_5]])+1,2)</f>
        <v>0</v>
      </c>
      <c r="O33" s="1">
        <f t="shared" si="4"/>
        <v>16</v>
      </c>
      <c r="P33" s="1" t="str">
        <f>MID(aoc_03_input[[#This Row],[Forest]],MOD(aoc_03_input[[#This Row],[Pos2_5]]-1,LEN(aoc_03_input[[#This Row],[Forest]]))+1,1)</f>
        <v>.</v>
      </c>
      <c r="Q33" s="1">
        <f>IF(AND(aoc_03_input[[#This Row],[CountRow2_5]]=1,aoc_03_input[[#This Row],[CharAtPos2_5]]="#"),1,0)</f>
        <v>0</v>
      </c>
    </row>
    <row r="34" spans="1:17" x14ac:dyDescent="0.45">
      <c r="A34" s="1" t="s">
        <v>1418</v>
      </c>
      <c r="B34" s="1">
        <f t="shared" si="0"/>
        <v>97</v>
      </c>
      <c r="C34" s="1" t="str">
        <f>MID(aoc_03_input[[#This Row],[Forest]],MOD(aoc_03_input[[#This Row],[Pos1]]-1,LEN(aoc_03_input[[#This Row],[Forest]]))+1,1)</f>
        <v>.</v>
      </c>
      <c r="D34" s="1">
        <f>IF(aoc_03_input[[#This Row],[CharAtPos1]]="#",1,0)</f>
        <v>0</v>
      </c>
      <c r="E34" s="1">
        <f t="shared" si="1"/>
        <v>33</v>
      </c>
      <c r="F34" s="1" t="str">
        <f>MID(aoc_03_input[[#This Row],[Forest]],MOD(aoc_03_input[[#This Row],[Pos2_1]]-1,LEN(aoc_03_input[[#This Row],[Forest]]))+1,1)</f>
        <v>.</v>
      </c>
      <c r="G34" s="1">
        <f>IF(aoc_03_input[[#This Row],[CharAtPos2_1]]="#",1,0)</f>
        <v>0</v>
      </c>
      <c r="H34" s="1">
        <f t="shared" si="2"/>
        <v>161</v>
      </c>
      <c r="I34" s="1" t="str">
        <f>MID(aoc_03_input[[#This Row],[Forest]],MOD(aoc_03_input[[#This Row],[Pos2_3]]-1,LEN(aoc_03_input[[#This Row],[Forest]]))+1,1)</f>
        <v>.</v>
      </c>
      <c r="J34" s="1">
        <f>IF(aoc_03_input[[#This Row],[CharAtPos2_3]]="#",1,0)</f>
        <v>0</v>
      </c>
      <c r="K34" s="1">
        <f t="shared" si="3"/>
        <v>225</v>
      </c>
      <c r="L34" s="1" t="str">
        <f>MID(aoc_03_input[[#This Row],[Forest]],MOD(aoc_03_input[[#This Row],[Pos2_4]]-1,LEN(aoc_03_input[[#This Row],[Forest]]))+1,1)</f>
        <v>#</v>
      </c>
      <c r="M34" s="1">
        <f>IF(aoc_03_input[[#This Row],[CharAtPos2_4]]="#",1,0)</f>
        <v>1</v>
      </c>
      <c r="N34" s="1">
        <f>MOD(ROW(aoc_03_input[[#This Row],[CountRow2_5]])+1,2)</f>
        <v>1</v>
      </c>
      <c r="O34" s="1">
        <f t="shared" si="4"/>
        <v>17</v>
      </c>
      <c r="P34" s="1" t="str">
        <f>MID(aoc_03_input[[#This Row],[Forest]],MOD(aoc_03_input[[#This Row],[Pos2_5]]-1,LEN(aoc_03_input[[#This Row],[Forest]]))+1,1)</f>
        <v>.</v>
      </c>
      <c r="Q34" s="1">
        <f>IF(AND(aoc_03_input[[#This Row],[CountRow2_5]]=1,aoc_03_input[[#This Row],[CharAtPos2_5]]="#"),1,0)</f>
        <v>0</v>
      </c>
    </row>
    <row r="35" spans="1:17" x14ac:dyDescent="0.45">
      <c r="A35" s="1" t="s">
        <v>1419</v>
      </c>
      <c r="B35" s="1">
        <f t="shared" si="0"/>
        <v>100</v>
      </c>
      <c r="C35" s="1" t="str">
        <f>MID(aoc_03_input[[#This Row],[Forest]],MOD(aoc_03_input[[#This Row],[Pos1]]-1,LEN(aoc_03_input[[#This Row],[Forest]]))+1,1)</f>
        <v>#</v>
      </c>
      <c r="D35" s="1">
        <f>IF(aoc_03_input[[#This Row],[CharAtPos1]]="#",1,0)</f>
        <v>1</v>
      </c>
      <c r="E35" s="1">
        <f t="shared" si="1"/>
        <v>34</v>
      </c>
      <c r="F35" s="1" t="str">
        <f>MID(aoc_03_input[[#This Row],[Forest]],MOD(aoc_03_input[[#This Row],[Pos2_1]]-1,LEN(aoc_03_input[[#This Row],[Forest]]))+1,1)</f>
        <v>.</v>
      </c>
      <c r="G35" s="1">
        <f>IF(aoc_03_input[[#This Row],[CharAtPos2_1]]="#",1,0)</f>
        <v>0</v>
      </c>
      <c r="H35" s="1">
        <f t="shared" si="2"/>
        <v>166</v>
      </c>
      <c r="I35" s="1" t="str">
        <f>MID(aoc_03_input[[#This Row],[Forest]],MOD(aoc_03_input[[#This Row],[Pos2_3]]-1,LEN(aoc_03_input[[#This Row],[Forest]]))+1,1)</f>
        <v>.</v>
      </c>
      <c r="J35" s="1">
        <f>IF(aoc_03_input[[#This Row],[CharAtPos2_3]]="#",1,0)</f>
        <v>0</v>
      </c>
      <c r="K35" s="1">
        <f t="shared" si="3"/>
        <v>232</v>
      </c>
      <c r="L35" s="1" t="str">
        <f>MID(aoc_03_input[[#This Row],[Forest]],MOD(aoc_03_input[[#This Row],[Pos2_4]]-1,LEN(aoc_03_input[[#This Row],[Forest]]))+1,1)</f>
        <v>#</v>
      </c>
      <c r="M35" s="1">
        <f>IF(aoc_03_input[[#This Row],[CharAtPos2_4]]="#",1,0)</f>
        <v>1</v>
      </c>
      <c r="N35" s="1">
        <f>MOD(ROW(aoc_03_input[[#This Row],[CountRow2_5]])+1,2)</f>
        <v>0</v>
      </c>
      <c r="O35" s="1">
        <f t="shared" si="4"/>
        <v>17</v>
      </c>
      <c r="P35" s="1" t="str">
        <f>MID(aoc_03_input[[#This Row],[Forest]],MOD(aoc_03_input[[#This Row],[Pos2_5]]-1,LEN(aoc_03_input[[#This Row],[Forest]]))+1,1)</f>
        <v>.</v>
      </c>
      <c r="Q35" s="1">
        <f>IF(AND(aoc_03_input[[#This Row],[CountRow2_5]]=1,aoc_03_input[[#This Row],[CharAtPos2_5]]="#"),1,0)</f>
        <v>0</v>
      </c>
    </row>
    <row r="36" spans="1:17" x14ac:dyDescent="0.45">
      <c r="A36" s="1" t="s">
        <v>1420</v>
      </c>
      <c r="B36" s="1">
        <f t="shared" si="0"/>
        <v>103</v>
      </c>
      <c r="C36" s="1" t="str">
        <f>MID(aoc_03_input[[#This Row],[Forest]],MOD(aoc_03_input[[#This Row],[Pos1]]-1,LEN(aoc_03_input[[#This Row],[Forest]]))+1,1)</f>
        <v>#</v>
      </c>
      <c r="D36" s="1">
        <f>IF(aoc_03_input[[#This Row],[CharAtPos1]]="#",1,0)</f>
        <v>1</v>
      </c>
      <c r="E36" s="1">
        <f t="shared" si="1"/>
        <v>35</v>
      </c>
      <c r="F36" s="1" t="str">
        <f>MID(aoc_03_input[[#This Row],[Forest]],MOD(aoc_03_input[[#This Row],[Pos2_1]]-1,LEN(aoc_03_input[[#This Row],[Forest]]))+1,1)</f>
        <v>.</v>
      </c>
      <c r="G36" s="1">
        <f>IF(aoc_03_input[[#This Row],[CharAtPos2_1]]="#",1,0)</f>
        <v>0</v>
      </c>
      <c r="H36" s="1">
        <f t="shared" si="2"/>
        <v>171</v>
      </c>
      <c r="I36" s="1" t="str">
        <f>MID(aoc_03_input[[#This Row],[Forest]],MOD(aoc_03_input[[#This Row],[Pos2_3]]-1,LEN(aoc_03_input[[#This Row],[Forest]]))+1,1)</f>
        <v>.</v>
      </c>
      <c r="J36" s="1">
        <f>IF(aoc_03_input[[#This Row],[CharAtPos2_3]]="#",1,0)</f>
        <v>0</v>
      </c>
      <c r="K36" s="1">
        <f t="shared" si="3"/>
        <v>239</v>
      </c>
      <c r="L36" s="1" t="str">
        <f>MID(aoc_03_input[[#This Row],[Forest]],MOD(aoc_03_input[[#This Row],[Pos2_4]]-1,LEN(aoc_03_input[[#This Row],[Forest]]))+1,1)</f>
        <v>.</v>
      </c>
      <c r="M36" s="1">
        <f>IF(aoc_03_input[[#This Row],[CharAtPos2_4]]="#",1,0)</f>
        <v>0</v>
      </c>
      <c r="N36" s="1">
        <f>MOD(ROW(aoc_03_input[[#This Row],[CountRow2_5]])+1,2)</f>
        <v>1</v>
      </c>
      <c r="O36" s="1">
        <f t="shared" si="4"/>
        <v>18</v>
      </c>
      <c r="P36" s="1" t="str">
        <f>MID(aoc_03_input[[#This Row],[Forest]],MOD(aoc_03_input[[#This Row],[Pos2_5]]-1,LEN(aoc_03_input[[#This Row],[Forest]]))+1,1)</f>
        <v>.</v>
      </c>
      <c r="Q36" s="1">
        <f>IF(AND(aoc_03_input[[#This Row],[CountRow2_5]]=1,aoc_03_input[[#This Row],[CharAtPos2_5]]="#"),1,0)</f>
        <v>0</v>
      </c>
    </row>
    <row r="37" spans="1:17" x14ac:dyDescent="0.45">
      <c r="A37" s="1" t="s">
        <v>1421</v>
      </c>
      <c r="B37" s="1">
        <f t="shared" si="0"/>
        <v>106</v>
      </c>
      <c r="C37" s="1" t="str">
        <f>MID(aoc_03_input[[#This Row],[Forest]],MOD(aoc_03_input[[#This Row],[Pos1]]-1,LEN(aoc_03_input[[#This Row],[Forest]]))+1,1)</f>
        <v>.</v>
      </c>
      <c r="D37" s="1">
        <f>IF(aoc_03_input[[#This Row],[CharAtPos1]]="#",1,0)</f>
        <v>0</v>
      </c>
      <c r="E37" s="1">
        <f t="shared" si="1"/>
        <v>36</v>
      </c>
      <c r="F37" s="1" t="str">
        <f>MID(aoc_03_input[[#This Row],[Forest]],MOD(aoc_03_input[[#This Row],[Pos2_1]]-1,LEN(aoc_03_input[[#This Row],[Forest]]))+1,1)</f>
        <v>.</v>
      </c>
      <c r="G37" s="1">
        <f>IF(aoc_03_input[[#This Row],[CharAtPos2_1]]="#",1,0)</f>
        <v>0</v>
      </c>
      <c r="H37" s="1">
        <f t="shared" si="2"/>
        <v>176</v>
      </c>
      <c r="I37" s="1" t="str">
        <f>MID(aoc_03_input[[#This Row],[Forest]],MOD(aoc_03_input[[#This Row],[Pos2_3]]-1,LEN(aoc_03_input[[#This Row],[Forest]]))+1,1)</f>
        <v>.</v>
      </c>
      <c r="J37" s="1">
        <f>IF(aoc_03_input[[#This Row],[CharAtPos2_3]]="#",1,0)</f>
        <v>0</v>
      </c>
      <c r="K37" s="1">
        <f t="shared" si="3"/>
        <v>246</v>
      </c>
      <c r="L37" s="1" t="str">
        <f>MID(aoc_03_input[[#This Row],[Forest]],MOD(aoc_03_input[[#This Row],[Pos2_4]]-1,LEN(aoc_03_input[[#This Row],[Forest]]))+1,1)</f>
        <v>.</v>
      </c>
      <c r="M37" s="1">
        <f>IF(aoc_03_input[[#This Row],[CharAtPos2_4]]="#",1,0)</f>
        <v>0</v>
      </c>
      <c r="N37" s="1">
        <f>MOD(ROW(aoc_03_input[[#This Row],[CountRow2_5]])+1,2)</f>
        <v>0</v>
      </c>
      <c r="O37" s="1">
        <f t="shared" si="4"/>
        <v>18</v>
      </c>
      <c r="P37" s="1" t="str">
        <f>MID(aoc_03_input[[#This Row],[Forest]],MOD(aoc_03_input[[#This Row],[Pos2_5]]-1,LEN(aoc_03_input[[#This Row],[Forest]]))+1,1)</f>
        <v>#</v>
      </c>
      <c r="Q37" s="1">
        <f>IF(AND(aoc_03_input[[#This Row],[CountRow2_5]]=1,aoc_03_input[[#This Row],[CharAtPos2_5]]="#"),1,0)</f>
        <v>0</v>
      </c>
    </row>
    <row r="38" spans="1:17" x14ac:dyDescent="0.45">
      <c r="A38" s="1" t="s">
        <v>1422</v>
      </c>
      <c r="B38" s="1">
        <f t="shared" si="0"/>
        <v>109</v>
      </c>
      <c r="C38" s="1" t="str">
        <f>MID(aoc_03_input[[#This Row],[Forest]],MOD(aoc_03_input[[#This Row],[Pos1]]-1,LEN(aoc_03_input[[#This Row],[Forest]]))+1,1)</f>
        <v>#</v>
      </c>
      <c r="D38" s="1">
        <f>IF(aoc_03_input[[#This Row],[CharAtPos1]]="#",1,0)</f>
        <v>1</v>
      </c>
      <c r="E38" s="1">
        <f t="shared" si="1"/>
        <v>37</v>
      </c>
      <c r="F38" s="1" t="str">
        <f>MID(aoc_03_input[[#This Row],[Forest]],MOD(aoc_03_input[[#This Row],[Pos2_1]]-1,LEN(aoc_03_input[[#This Row],[Forest]]))+1,1)</f>
        <v>#</v>
      </c>
      <c r="G38" s="1">
        <f>IF(aoc_03_input[[#This Row],[CharAtPos2_1]]="#",1,0)</f>
        <v>1</v>
      </c>
      <c r="H38" s="1">
        <f t="shared" si="2"/>
        <v>181</v>
      </c>
      <c r="I38" s="1" t="str">
        <f>MID(aoc_03_input[[#This Row],[Forest]],MOD(aoc_03_input[[#This Row],[Pos2_3]]-1,LEN(aoc_03_input[[#This Row],[Forest]]))+1,1)</f>
        <v>.</v>
      </c>
      <c r="J38" s="1">
        <f>IF(aoc_03_input[[#This Row],[CharAtPos2_3]]="#",1,0)</f>
        <v>0</v>
      </c>
      <c r="K38" s="1">
        <f t="shared" si="3"/>
        <v>253</v>
      </c>
      <c r="L38" s="1" t="str">
        <f>MID(aoc_03_input[[#This Row],[Forest]],MOD(aoc_03_input[[#This Row],[Pos2_4]]-1,LEN(aoc_03_input[[#This Row],[Forest]]))+1,1)</f>
        <v>.</v>
      </c>
      <c r="M38" s="1">
        <f>IF(aoc_03_input[[#This Row],[CharAtPos2_4]]="#",1,0)</f>
        <v>0</v>
      </c>
      <c r="N38" s="1">
        <f>MOD(ROW(aoc_03_input[[#This Row],[CountRow2_5]])+1,2)</f>
        <v>1</v>
      </c>
      <c r="O38" s="1">
        <f t="shared" si="4"/>
        <v>19</v>
      </c>
      <c r="P38" s="1" t="str">
        <f>MID(aoc_03_input[[#This Row],[Forest]],MOD(aoc_03_input[[#This Row],[Pos2_5]]-1,LEN(aoc_03_input[[#This Row],[Forest]]))+1,1)</f>
        <v>.</v>
      </c>
      <c r="Q38" s="1">
        <f>IF(AND(aoc_03_input[[#This Row],[CountRow2_5]]=1,aoc_03_input[[#This Row],[CharAtPos2_5]]="#"),1,0)</f>
        <v>0</v>
      </c>
    </row>
    <row r="39" spans="1:17" x14ac:dyDescent="0.45">
      <c r="A39" s="1" t="s">
        <v>1423</v>
      </c>
      <c r="B39" s="1">
        <f t="shared" si="0"/>
        <v>112</v>
      </c>
      <c r="C39" s="1" t="str">
        <f>MID(aoc_03_input[[#This Row],[Forest]],MOD(aoc_03_input[[#This Row],[Pos1]]-1,LEN(aoc_03_input[[#This Row],[Forest]]))+1,1)</f>
        <v>.</v>
      </c>
      <c r="D39" s="1">
        <f>IF(aoc_03_input[[#This Row],[CharAtPos1]]="#",1,0)</f>
        <v>0</v>
      </c>
      <c r="E39" s="1">
        <f t="shared" si="1"/>
        <v>38</v>
      </c>
      <c r="F39" s="1" t="str">
        <f>MID(aoc_03_input[[#This Row],[Forest]],MOD(aoc_03_input[[#This Row],[Pos2_1]]-1,LEN(aoc_03_input[[#This Row],[Forest]]))+1,1)</f>
        <v>#</v>
      </c>
      <c r="G39" s="1">
        <f>IF(aoc_03_input[[#This Row],[CharAtPos2_1]]="#",1,0)</f>
        <v>1</v>
      </c>
      <c r="H39" s="1">
        <f t="shared" si="2"/>
        <v>186</v>
      </c>
      <c r="I39" s="1" t="str">
        <f>MID(aoc_03_input[[#This Row],[Forest]],MOD(aoc_03_input[[#This Row],[Pos2_3]]-1,LEN(aoc_03_input[[#This Row],[Forest]]))+1,1)</f>
        <v>.</v>
      </c>
      <c r="J39" s="1">
        <f>IF(aoc_03_input[[#This Row],[CharAtPos2_3]]="#",1,0)</f>
        <v>0</v>
      </c>
      <c r="K39" s="1">
        <f t="shared" si="3"/>
        <v>260</v>
      </c>
      <c r="L39" s="1" t="str">
        <f>MID(aoc_03_input[[#This Row],[Forest]],MOD(aoc_03_input[[#This Row],[Pos2_4]]-1,LEN(aoc_03_input[[#This Row],[Forest]]))+1,1)</f>
        <v>.</v>
      </c>
      <c r="M39" s="1">
        <f>IF(aoc_03_input[[#This Row],[CharAtPos2_4]]="#",1,0)</f>
        <v>0</v>
      </c>
      <c r="N39" s="1">
        <f>MOD(ROW(aoc_03_input[[#This Row],[CountRow2_5]])+1,2)</f>
        <v>0</v>
      </c>
      <c r="O39" s="1">
        <f t="shared" si="4"/>
        <v>19</v>
      </c>
      <c r="P39" s="1" t="str">
        <f>MID(aoc_03_input[[#This Row],[Forest]],MOD(aoc_03_input[[#This Row],[Pos2_5]]-1,LEN(aoc_03_input[[#This Row],[Forest]]))+1,1)</f>
        <v>.</v>
      </c>
      <c r="Q39" s="1">
        <f>IF(AND(aoc_03_input[[#This Row],[CountRow2_5]]=1,aoc_03_input[[#This Row],[CharAtPos2_5]]="#"),1,0)</f>
        <v>0</v>
      </c>
    </row>
    <row r="40" spans="1:17" x14ac:dyDescent="0.45">
      <c r="A40" s="1" t="s">
        <v>1424</v>
      </c>
      <c r="B40" s="1">
        <f t="shared" si="0"/>
        <v>115</v>
      </c>
      <c r="C40" s="1" t="str">
        <f>MID(aoc_03_input[[#This Row],[Forest]],MOD(aoc_03_input[[#This Row],[Pos1]]-1,LEN(aoc_03_input[[#This Row],[Forest]]))+1,1)</f>
        <v>#</v>
      </c>
      <c r="D40" s="1">
        <f>IF(aoc_03_input[[#This Row],[CharAtPos1]]="#",1,0)</f>
        <v>1</v>
      </c>
      <c r="E40" s="1">
        <f t="shared" si="1"/>
        <v>39</v>
      </c>
      <c r="F40" s="1" t="str">
        <f>MID(aoc_03_input[[#This Row],[Forest]],MOD(aoc_03_input[[#This Row],[Pos2_1]]-1,LEN(aoc_03_input[[#This Row],[Forest]]))+1,1)</f>
        <v>.</v>
      </c>
      <c r="G40" s="1">
        <f>IF(aoc_03_input[[#This Row],[CharAtPos2_1]]="#",1,0)</f>
        <v>0</v>
      </c>
      <c r="H40" s="1">
        <f t="shared" si="2"/>
        <v>191</v>
      </c>
      <c r="I40" s="1" t="str">
        <f>MID(aoc_03_input[[#This Row],[Forest]],MOD(aoc_03_input[[#This Row],[Pos2_3]]-1,LEN(aoc_03_input[[#This Row],[Forest]]))+1,1)</f>
        <v>.</v>
      </c>
      <c r="J40" s="1">
        <f>IF(aoc_03_input[[#This Row],[CharAtPos2_3]]="#",1,0)</f>
        <v>0</v>
      </c>
      <c r="K40" s="1">
        <f t="shared" si="3"/>
        <v>267</v>
      </c>
      <c r="L40" s="1" t="str">
        <f>MID(aoc_03_input[[#This Row],[Forest]],MOD(aoc_03_input[[#This Row],[Pos2_4]]-1,LEN(aoc_03_input[[#This Row],[Forest]]))+1,1)</f>
        <v>.</v>
      </c>
      <c r="M40" s="1">
        <f>IF(aoc_03_input[[#This Row],[CharAtPos2_4]]="#",1,0)</f>
        <v>0</v>
      </c>
      <c r="N40" s="1">
        <f>MOD(ROW(aoc_03_input[[#This Row],[CountRow2_5]])+1,2)</f>
        <v>1</v>
      </c>
      <c r="O40" s="1">
        <f t="shared" si="4"/>
        <v>20</v>
      </c>
      <c r="P40" s="1" t="str">
        <f>MID(aoc_03_input[[#This Row],[Forest]],MOD(aoc_03_input[[#This Row],[Pos2_5]]-1,LEN(aoc_03_input[[#This Row],[Forest]]))+1,1)</f>
        <v>#</v>
      </c>
      <c r="Q40" s="1">
        <f>IF(AND(aoc_03_input[[#This Row],[CountRow2_5]]=1,aoc_03_input[[#This Row],[CharAtPos2_5]]="#"),1,0)</f>
        <v>1</v>
      </c>
    </row>
    <row r="41" spans="1:17" x14ac:dyDescent="0.45">
      <c r="A41" s="1" t="s">
        <v>1425</v>
      </c>
      <c r="B41" s="1">
        <f t="shared" si="0"/>
        <v>118</v>
      </c>
      <c r="C41" s="1" t="str">
        <f>MID(aoc_03_input[[#This Row],[Forest]],MOD(aoc_03_input[[#This Row],[Pos1]]-1,LEN(aoc_03_input[[#This Row],[Forest]]))+1,1)</f>
        <v>.</v>
      </c>
      <c r="D41" s="1">
        <f>IF(aoc_03_input[[#This Row],[CharAtPos1]]="#",1,0)</f>
        <v>0</v>
      </c>
      <c r="E41" s="1">
        <f t="shared" si="1"/>
        <v>40</v>
      </c>
      <c r="F41" s="1" t="str">
        <f>MID(aoc_03_input[[#This Row],[Forest]],MOD(aoc_03_input[[#This Row],[Pos2_1]]-1,LEN(aoc_03_input[[#This Row],[Forest]]))+1,1)</f>
        <v>.</v>
      </c>
      <c r="G41" s="1">
        <f>IF(aoc_03_input[[#This Row],[CharAtPos2_1]]="#",1,0)</f>
        <v>0</v>
      </c>
      <c r="H41" s="1">
        <f t="shared" si="2"/>
        <v>196</v>
      </c>
      <c r="I41" s="1" t="str">
        <f>MID(aoc_03_input[[#This Row],[Forest]],MOD(aoc_03_input[[#This Row],[Pos2_3]]-1,LEN(aoc_03_input[[#This Row],[Forest]]))+1,1)</f>
        <v>#</v>
      </c>
      <c r="J41" s="1">
        <f>IF(aoc_03_input[[#This Row],[CharAtPos2_3]]="#",1,0)</f>
        <v>1</v>
      </c>
      <c r="K41" s="1">
        <f t="shared" si="3"/>
        <v>274</v>
      </c>
      <c r="L41" s="1" t="str">
        <f>MID(aoc_03_input[[#This Row],[Forest]],MOD(aoc_03_input[[#This Row],[Pos2_4]]-1,LEN(aoc_03_input[[#This Row],[Forest]]))+1,1)</f>
        <v>#</v>
      </c>
      <c r="M41" s="1">
        <f>IF(aoc_03_input[[#This Row],[CharAtPos2_4]]="#",1,0)</f>
        <v>1</v>
      </c>
      <c r="N41" s="1">
        <f>MOD(ROW(aoc_03_input[[#This Row],[CountRow2_5]])+1,2)</f>
        <v>0</v>
      </c>
      <c r="O41" s="1">
        <f t="shared" si="4"/>
        <v>20</v>
      </c>
      <c r="P41" s="1" t="str">
        <f>MID(aoc_03_input[[#This Row],[Forest]],MOD(aoc_03_input[[#This Row],[Pos2_5]]-1,LEN(aoc_03_input[[#This Row],[Forest]]))+1,1)</f>
        <v>.</v>
      </c>
      <c r="Q41" s="1">
        <f>IF(AND(aoc_03_input[[#This Row],[CountRow2_5]]=1,aoc_03_input[[#This Row],[CharAtPos2_5]]="#"),1,0)</f>
        <v>0</v>
      </c>
    </row>
    <row r="42" spans="1:17" x14ac:dyDescent="0.45">
      <c r="A42" s="1" t="s">
        <v>1426</v>
      </c>
      <c r="B42" s="1">
        <f t="shared" si="0"/>
        <v>121</v>
      </c>
      <c r="C42" s="1" t="str">
        <f>MID(aoc_03_input[[#This Row],[Forest]],MOD(aoc_03_input[[#This Row],[Pos1]]-1,LEN(aoc_03_input[[#This Row],[Forest]]))+1,1)</f>
        <v>#</v>
      </c>
      <c r="D42" s="1">
        <f>IF(aoc_03_input[[#This Row],[CharAtPos1]]="#",1,0)</f>
        <v>1</v>
      </c>
      <c r="E42" s="1">
        <f t="shared" si="1"/>
        <v>41</v>
      </c>
      <c r="F42" s="1" t="str">
        <f>MID(aoc_03_input[[#This Row],[Forest]],MOD(aoc_03_input[[#This Row],[Pos2_1]]-1,LEN(aoc_03_input[[#This Row],[Forest]]))+1,1)</f>
        <v>.</v>
      </c>
      <c r="G42" s="1">
        <f>IF(aoc_03_input[[#This Row],[CharAtPos2_1]]="#",1,0)</f>
        <v>0</v>
      </c>
      <c r="H42" s="1">
        <f t="shared" si="2"/>
        <v>201</v>
      </c>
      <c r="I42" s="1" t="str">
        <f>MID(aoc_03_input[[#This Row],[Forest]],MOD(aoc_03_input[[#This Row],[Pos2_3]]-1,LEN(aoc_03_input[[#This Row],[Forest]]))+1,1)</f>
        <v>#</v>
      </c>
      <c r="J42" s="1">
        <f>IF(aoc_03_input[[#This Row],[CharAtPos2_3]]="#",1,0)</f>
        <v>1</v>
      </c>
      <c r="K42" s="1">
        <f t="shared" si="3"/>
        <v>281</v>
      </c>
      <c r="L42" s="1" t="str">
        <f>MID(aoc_03_input[[#This Row],[Forest]],MOD(aoc_03_input[[#This Row],[Pos2_4]]-1,LEN(aoc_03_input[[#This Row],[Forest]]))+1,1)</f>
        <v>.</v>
      </c>
      <c r="M42" s="1">
        <f>IF(aoc_03_input[[#This Row],[CharAtPos2_4]]="#",1,0)</f>
        <v>0</v>
      </c>
      <c r="N42" s="1">
        <f>MOD(ROW(aoc_03_input[[#This Row],[CountRow2_5]])+1,2)</f>
        <v>1</v>
      </c>
      <c r="O42" s="1">
        <f t="shared" si="4"/>
        <v>21</v>
      </c>
      <c r="P42" s="1" t="str">
        <f>MID(aoc_03_input[[#This Row],[Forest]],MOD(aoc_03_input[[#This Row],[Pos2_5]]-1,LEN(aoc_03_input[[#This Row],[Forest]]))+1,1)</f>
        <v>.</v>
      </c>
      <c r="Q42" s="1">
        <f>IF(AND(aoc_03_input[[#This Row],[CountRow2_5]]=1,aoc_03_input[[#This Row],[CharAtPos2_5]]="#"),1,0)</f>
        <v>0</v>
      </c>
    </row>
    <row r="43" spans="1:17" x14ac:dyDescent="0.45">
      <c r="A43" s="1" t="s">
        <v>1427</v>
      </c>
      <c r="B43" s="1">
        <f t="shared" si="0"/>
        <v>124</v>
      </c>
      <c r="C43" s="1" t="str">
        <f>MID(aoc_03_input[[#This Row],[Forest]],MOD(aoc_03_input[[#This Row],[Pos1]]-1,LEN(aoc_03_input[[#This Row],[Forest]]))+1,1)</f>
        <v>.</v>
      </c>
      <c r="D43" s="1">
        <f>IF(aoc_03_input[[#This Row],[CharAtPos1]]="#",1,0)</f>
        <v>0</v>
      </c>
      <c r="E43" s="1">
        <f t="shared" si="1"/>
        <v>42</v>
      </c>
      <c r="F43" s="1" t="str">
        <f>MID(aoc_03_input[[#This Row],[Forest]],MOD(aoc_03_input[[#This Row],[Pos2_1]]-1,LEN(aoc_03_input[[#This Row],[Forest]]))+1,1)</f>
        <v>.</v>
      </c>
      <c r="G43" s="1">
        <f>IF(aoc_03_input[[#This Row],[CharAtPos2_1]]="#",1,0)</f>
        <v>0</v>
      </c>
      <c r="H43" s="1">
        <f t="shared" si="2"/>
        <v>206</v>
      </c>
      <c r="I43" s="1" t="str">
        <f>MID(aoc_03_input[[#This Row],[Forest]],MOD(aoc_03_input[[#This Row],[Pos2_3]]-1,LEN(aoc_03_input[[#This Row],[Forest]]))+1,1)</f>
        <v>#</v>
      </c>
      <c r="J43" s="1">
        <f>IF(aoc_03_input[[#This Row],[CharAtPos2_3]]="#",1,0)</f>
        <v>1</v>
      </c>
      <c r="K43" s="1">
        <f t="shared" si="3"/>
        <v>288</v>
      </c>
      <c r="L43" s="1" t="str">
        <f>MID(aoc_03_input[[#This Row],[Forest]],MOD(aoc_03_input[[#This Row],[Pos2_4]]-1,LEN(aoc_03_input[[#This Row],[Forest]]))+1,1)</f>
        <v>#</v>
      </c>
      <c r="M43" s="1">
        <f>IF(aoc_03_input[[#This Row],[CharAtPos2_4]]="#",1,0)</f>
        <v>1</v>
      </c>
      <c r="N43" s="1">
        <f>MOD(ROW(aoc_03_input[[#This Row],[CountRow2_5]])+1,2)</f>
        <v>0</v>
      </c>
      <c r="O43" s="1">
        <f t="shared" si="4"/>
        <v>21</v>
      </c>
      <c r="P43" s="1" t="str">
        <f>MID(aoc_03_input[[#This Row],[Forest]],MOD(aoc_03_input[[#This Row],[Pos2_5]]-1,LEN(aoc_03_input[[#This Row],[Forest]]))+1,1)</f>
        <v>.</v>
      </c>
      <c r="Q43" s="1">
        <f>IF(AND(aoc_03_input[[#This Row],[CountRow2_5]]=1,aoc_03_input[[#This Row],[CharAtPos2_5]]="#"),1,0)</f>
        <v>0</v>
      </c>
    </row>
    <row r="44" spans="1:17" x14ac:dyDescent="0.45">
      <c r="A44" s="1" t="s">
        <v>1428</v>
      </c>
      <c r="B44" s="1">
        <f t="shared" si="0"/>
        <v>127</v>
      </c>
      <c r="C44" s="1" t="str">
        <f>MID(aoc_03_input[[#This Row],[Forest]],MOD(aoc_03_input[[#This Row],[Pos1]]-1,LEN(aoc_03_input[[#This Row],[Forest]]))+1,1)</f>
        <v>#</v>
      </c>
      <c r="D44" s="1">
        <f>IF(aoc_03_input[[#This Row],[CharAtPos1]]="#",1,0)</f>
        <v>1</v>
      </c>
      <c r="E44" s="1">
        <f t="shared" si="1"/>
        <v>43</v>
      </c>
      <c r="F44" s="1" t="str">
        <f>MID(aoc_03_input[[#This Row],[Forest]],MOD(aoc_03_input[[#This Row],[Pos2_1]]-1,LEN(aoc_03_input[[#This Row],[Forest]]))+1,1)</f>
        <v>.</v>
      </c>
      <c r="G44" s="1">
        <f>IF(aoc_03_input[[#This Row],[CharAtPos2_1]]="#",1,0)</f>
        <v>0</v>
      </c>
      <c r="H44" s="1">
        <f t="shared" si="2"/>
        <v>211</v>
      </c>
      <c r="I44" s="1" t="str">
        <f>MID(aoc_03_input[[#This Row],[Forest]],MOD(aoc_03_input[[#This Row],[Pos2_3]]-1,LEN(aoc_03_input[[#This Row],[Forest]]))+1,1)</f>
        <v>#</v>
      </c>
      <c r="J44" s="1">
        <f>IF(aoc_03_input[[#This Row],[CharAtPos2_3]]="#",1,0)</f>
        <v>1</v>
      </c>
      <c r="K44" s="1">
        <f t="shared" si="3"/>
        <v>295</v>
      </c>
      <c r="L44" s="1" t="str">
        <f>MID(aoc_03_input[[#This Row],[Forest]],MOD(aoc_03_input[[#This Row],[Pos2_4]]-1,LEN(aoc_03_input[[#This Row],[Forest]]))+1,1)</f>
        <v>#</v>
      </c>
      <c r="M44" s="1">
        <f>IF(aoc_03_input[[#This Row],[CharAtPos2_4]]="#",1,0)</f>
        <v>1</v>
      </c>
      <c r="N44" s="1">
        <f>MOD(ROW(aoc_03_input[[#This Row],[CountRow2_5]])+1,2)</f>
        <v>1</v>
      </c>
      <c r="O44" s="1">
        <f t="shared" si="4"/>
        <v>22</v>
      </c>
      <c r="P44" s="1" t="str">
        <f>MID(aoc_03_input[[#This Row],[Forest]],MOD(aoc_03_input[[#This Row],[Pos2_5]]-1,LEN(aoc_03_input[[#This Row],[Forest]]))+1,1)</f>
        <v>#</v>
      </c>
      <c r="Q44" s="1">
        <f>IF(AND(aoc_03_input[[#This Row],[CountRow2_5]]=1,aoc_03_input[[#This Row],[CharAtPos2_5]]="#"),1,0)</f>
        <v>1</v>
      </c>
    </row>
    <row r="45" spans="1:17" x14ac:dyDescent="0.45">
      <c r="A45" s="1" t="s">
        <v>1429</v>
      </c>
      <c r="B45" s="1">
        <f t="shared" si="0"/>
        <v>130</v>
      </c>
      <c r="C45" s="1" t="str">
        <f>MID(aoc_03_input[[#This Row],[Forest]],MOD(aoc_03_input[[#This Row],[Pos1]]-1,LEN(aoc_03_input[[#This Row],[Forest]]))+1,1)</f>
        <v>#</v>
      </c>
      <c r="D45" s="1">
        <f>IF(aoc_03_input[[#This Row],[CharAtPos1]]="#",1,0)</f>
        <v>1</v>
      </c>
      <c r="E45" s="1">
        <f t="shared" si="1"/>
        <v>44</v>
      </c>
      <c r="F45" s="1" t="str">
        <f>MID(aoc_03_input[[#This Row],[Forest]],MOD(aoc_03_input[[#This Row],[Pos2_1]]-1,LEN(aoc_03_input[[#This Row],[Forest]]))+1,1)</f>
        <v>.</v>
      </c>
      <c r="G45" s="1">
        <f>IF(aoc_03_input[[#This Row],[CharAtPos2_1]]="#",1,0)</f>
        <v>0</v>
      </c>
      <c r="H45" s="1">
        <f t="shared" si="2"/>
        <v>216</v>
      </c>
      <c r="I45" s="1" t="str">
        <f>MID(aoc_03_input[[#This Row],[Forest]],MOD(aoc_03_input[[#This Row],[Pos2_3]]-1,LEN(aoc_03_input[[#This Row],[Forest]]))+1,1)</f>
        <v>.</v>
      </c>
      <c r="J45" s="1">
        <f>IF(aoc_03_input[[#This Row],[CharAtPos2_3]]="#",1,0)</f>
        <v>0</v>
      </c>
      <c r="K45" s="1">
        <f t="shared" si="3"/>
        <v>302</v>
      </c>
      <c r="L45" s="1" t="str">
        <f>MID(aoc_03_input[[#This Row],[Forest]],MOD(aoc_03_input[[#This Row],[Pos2_4]]-1,LEN(aoc_03_input[[#This Row],[Forest]]))+1,1)</f>
        <v>#</v>
      </c>
      <c r="M45" s="1">
        <f>IF(aoc_03_input[[#This Row],[CharAtPos2_4]]="#",1,0)</f>
        <v>1</v>
      </c>
      <c r="N45" s="1">
        <f>MOD(ROW(aoc_03_input[[#This Row],[CountRow2_5]])+1,2)</f>
        <v>0</v>
      </c>
      <c r="O45" s="1">
        <f t="shared" si="4"/>
        <v>22</v>
      </c>
      <c r="P45" s="1" t="str">
        <f>MID(aoc_03_input[[#This Row],[Forest]],MOD(aoc_03_input[[#This Row],[Pos2_5]]-1,LEN(aoc_03_input[[#This Row],[Forest]]))+1,1)</f>
        <v>.</v>
      </c>
      <c r="Q45" s="1">
        <f>IF(AND(aoc_03_input[[#This Row],[CountRow2_5]]=1,aoc_03_input[[#This Row],[CharAtPos2_5]]="#"),1,0)</f>
        <v>0</v>
      </c>
    </row>
    <row r="46" spans="1:17" x14ac:dyDescent="0.45">
      <c r="A46" s="1" t="s">
        <v>1430</v>
      </c>
      <c r="B46" s="1">
        <f t="shared" si="0"/>
        <v>133</v>
      </c>
      <c r="C46" s="1" t="str">
        <f>MID(aoc_03_input[[#This Row],[Forest]],MOD(aoc_03_input[[#This Row],[Pos1]]-1,LEN(aoc_03_input[[#This Row],[Forest]]))+1,1)</f>
        <v>#</v>
      </c>
      <c r="D46" s="1">
        <f>IF(aoc_03_input[[#This Row],[CharAtPos1]]="#",1,0)</f>
        <v>1</v>
      </c>
      <c r="E46" s="1">
        <f t="shared" si="1"/>
        <v>45</v>
      </c>
      <c r="F46" s="1" t="str">
        <f>MID(aoc_03_input[[#This Row],[Forest]],MOD(aoc_03_input[[#This Row],[Pos2_1]]-1,LEN(aoc_03_input[[#This Row],[Forest]]))+1,1)</f>
        <v>.</v>
      </c>
      <c r="G46" s="1">
        <f>IF(aoc_03_input[[#This Row],[CharAtPos2_1]]="#",1,0)</f>
        <v>0</v>
      </c>
      <c r="H46" s="1">
        <f t="shared" si="2"/>
        <v>221</v>
      </c>
      <c r="I46" s="1" t="str">
        <f>MID(aoc_03_input[[#This Row],[Forest]],MOD(aoc_03_input[[#This Row],[Pos2_3]]-1,LEN(aoc_03_input[[#This Row],[Forest]]))+1,1)</f>
        <v>.</v>
      </c>
      <c r="J46" s="1">
        <f>IF(aoc_03_input[[#This Row],[CharAtPos2_3]]="#",1,0)</f>
        <v>0</v>
      </c>
      <c r="K46" s="1">
        <f t="shared" si="3"/>
        <v>309</v>
      </c>
      <c r="L46" s="1" t="str">
        <f>MID(aoc_03_input[[#This Row],[Forest]],MOD(aoc_03_input[[#This Row],[Pos2_4]]-1,LEN(aoc_03_input[[#This Row],[Forest]]))+1,1)</f>
        <v>#</v>
      </c>
      <c r="M46" s="1">
        <f>IF(aoc_03_input[[#This Row],[CharAtPos2_4]]="#",1,0)</f>
        <v>1</v>
      </c>
      <c r="N46" s="1">
        <f>MOD(ROW(aoc_03_input[[#This Row],[CountRow2_5]])+1,2)</f>
        <v>1</v>
      </c>
      <c r="O46" s="1">
        <f t="shared" si="4"/>
        <v>23</v>
      </c>
      <c r="P46" s="1" t="str">
        <f>MID(aoc_03_input[[#This Row],[Forest]],MOD(aoc_03_input[[#This Row],[Pos2_5]]-1,LEN(aoc_03_input[[#This Row],[Forest]]))+1,1)</f>
        <v>.</v>
      </c>
      <c r="Q46" s="1">
        <f>IF(AND(aoc_03_input[[#This Row],[CountRow2_5]]=1,aoc_03_input[[#This Row],[CharAtPos2_5]]="#"),1,0)</f>
        <v>0</v>
      </c>
    </row>
    <row r="47" spans="1:17" x14ac:dyDescent="0.45">
      <c r="A47" s="1" t="s">
        <v>1431</v>
      </c>
      <c r="B47" s="1">
        <f t="shared" si="0"/>
        <v>136</v>
      </c>
      <c r="C47" s="1" t="str">
        <f>MID(aoc_03_input[[#This Row],[Forest]],MOD(aoc_03_input[[#This Row],[Pos1]]-1,LEN(aoc_03_input[[#This Row],[Forest]]))+1,1)</f>
        <v>.</v>
      </c>
      <c r="D47" s="1">
        <f>IF(aoc_03_input[[#This Row],[CharAtPos1]]="#",1,0)</f>
        <v>0</v>
      </c>
      <c r="E47" s="1">
        <f t="shared" si="1"/>
        <v>46</v>
      </c>
      <c r="F47" s="1" t="str">
        <f>MID(aoc_03_input[[#This Row],[Forest]],MOD(aoc_03_input[[#This Row],[Pos2_1]]-1,LEN(aoc_03_input[[#This Row],[Forest]]))+1,1)</f>
        <v>.</v>
      </c>
      <c r="G47" s="1">
        <f>IF(aoc_03_input[[#This Row],[CharAtPos2_1]]="#",1,0)</f>
        <v>0</v>
      </c>
      <c r="H47" s="1">
        <f t="shared" si="2"/>
        <v>226</v>
      </c>
      <c r="I47" s="1" t="str">
        <f>MID(aoc_03_input[[#This Row],[Forest]],MOD(aoc_03_input[[#This Row],[Pos2_3]]-1,LEN(aoc_03_input[[#This Row],[Forest]]))+1,1)</f>
        <v>.</v>
      </c>
      <c r="J47" s="1">
        <f>IF(aoc_03_input[[#This Row],[CharAtPos2_3]]="#",1,0)</f>
        <v>0</v>
      </c>
      <c r="K47" s="1">
        <f t="shared" si="3"/>
        <v>316</v>
      </c>
      <c r="L47" s="1" t="str">
        <f>MID(aoc_03_input[[#This Row],[Forest]],MOD(aoc_03_input[[#This Row],[Pos2_4]]-1,LEN(aoc_03_input[[#This Row],[Forest]]))+1,1)</f>
        <v>#</v>
      </c>
      <c r="M47" s="1">
        <f>IF(aoc_03_input[[#This Row],[CharAtPos2_4]]="#",1,0)</f>
        <v>1</v>
      </c>
      <c r="N47" s="1">
        <f>MOD(ROW(aoc_03_input[[#This Row],[CountRow2_5]])+1,2)</f>
        <v>0</v>
      </c>
      <c r="O47" s="1">
        <f t="shared" si="4"/>
        <v>23</v>
      </c>
      <c r="P47" s="1" t="str">
        <f>MID(aoc_03_input[[#This Row],[Forest]],MOD(aoc_03_input[[#This Row],[Pos2_5]]-1,LEN(aoc_03_input[[#This Row],[Forest]]))+1,1)</f>
        <v>.</v>
      </c>
      <c r="Q47" s="1">
        <f>IF(AND(aoc_03_input[[#This Row],[CountRow2_5]]=1,aoc_03_input[[#This Row],[CharAtPos2_5]]="#"),1,0)</f>
        <v>0</v>
      </c>
    </row>
    <row r="48" spans="1:17" x14ac:dyDescent="0.45">
      <c r="A48" s="1" t="s">
        <v>1432</v>
      </c>
      <c r="B48" s="1">
        <f t="shared" si="0"/>
        <v>139</v>
      </c>
      <c r="C48" s="1" t="str">
        <f>MID(aoc_03_input[[#This Row],[Forest]],MOD(aoc_03_input[[#This Row],[Pos1]]-1,LEN(aoc_03_input[[#This Row],[Forest]]))+1,1)</f>
        <v>.</v>
      </c>
      <c r="D48" s="1">
        <f>IF(aoc_03_input[[#This Row],[CharAtPos1]]="#",1,0)</f>
        <v>0</v>
      </c>
      <c r="E48" s="1">
        <f t="shared" si="1"/>
        <v>47</v>
      </c>
      <c r="F48" s="1" t="str">
        <f>MID(aoc_03_input[[#This Row],[Forest]],MOD(aoc_03_input[[#This Row],[Pos2_1]]-1,LEN(aoc_03_input[[#This Row],[Forest]]))+1,1)</f>
        <v>.</v>
      </c>
      <c r="G48" s="1">
        <f>IF(aoc_03_input[[#This Row],[CharAtPos2_1]]="#",1,0)</f>
        <v>0</v>
      </c>
      <c r="H48" s="1">
        <f t="shared" si="2"/>
        <v>231</v>
      </c>
      <c r="I48" s="1" t="str">
        <f>MID(aoc_03_input[[#This Row],[Forest]],MOD(aoc_03_input[[#This Row],[Pos2_3]]-1,LEN(aoc_03_input[[#This Row],[Forest]]))+1,1)</f>
        <v>#</v>
      </c>
      <c r="J48" s="1">
        <f>IF(aoc_03_input[[#This Row],[CharAtPos2_3]]="#",1,0)</f>
        <v>1</v>
      </c>
      <c r="K48" s="1">
        <f t="shared" si="3"/>
        <v>323</v>
      </c>
      <c r="L48" s="1" t="str">
        <f>MID(aoc_03_input[[#This Row],[Forest]],MOD(aoc_03_input[[#This Row],[Pos2_4]]-1,LEN(aoc_03_input[[#This Row],[Forest]]))+1,1)</f>
        <v>.</v>
      </c>
      <c r="M48" s="1">
        <f>IF(aoc_03_input[[#This Row],[CharAtPos2_4]]="#",1,0)</f>
        <v>0</v>
      </c>
      <c r="N48" s="1">
        <f>MOD(ROW(aoc_03_input[[#This Row],[CountRow2_5]])+1,2)</f>
        <v>1</v>
      </c>
      <c r="O48" s="1">
        <f t="shared" si="4"/>
        <v>24</v>
      </c>
      <c r="P48" s="1" t="str">
        <f>MID(aoc_03_input[[#This Row],[Forest]],MOD(aoc_03_input[[#This Row],[Pos2_5]]-1,LEN(aoc_03_input[[#This Row],[Forest]]))+1,1)</f>
        <v>.</v>
      </c>
      <c r="Q48" s="1">
        <f>IF(AND(aoc_03_input[[#This Row],[CountRow2_5]]=1,aoc_03_input[[#This Row],[CharAtPos2_5]]="#"),1,0)</f>
        <v>0</v>
      </c>
    </row>
    <row r="49" spans="1:17" x14ac:dyDescent="0.45">
      <c r="A49" s="1" t="s">
        <v>1433</v>
      </c>
      <c r="B49" s="1">
        <f t="shared" si="0"/>
        <v>142</v>
      </c>
      <c r="C49" s="1" t="str">
        <f>MID(aoc_03_input[[#This Row],[Forest]],MOD(aoc_03_input[[#This Row],[Pos1]]-1,LEN(aoc_03_input[[#This Row],[Forest]]))+1,1)</f>
        <v>.</v>
      </c>
      <c r="D49" s="1">
        <f>IF(aoc_03_input[[#This Row],[CharAtPos1]]="#",1,0)</f>
        <v>0</v>
      </c>
      <c r="E49" s="1">
        <f t="shared" si="1"/>
        <v>48</v>
      </c>
      <c r="F49" s="1" t="str">
        <f>MID(aoc_03_input[[#This Row],[Forest]],MOD(aoc_03_input[[#This Row],[Pos2_1]]-1,LEN(aoc_03_input[[#This Row],[Forest]]))+1,1)</f>
        <v>#</v>
      </c>
      <c r="G49" s="1">
        <f>IF(aoc_03_input[[#This Row],[CharAtPos2_1]]="#",1,0)</f>
        <v>1</v>
      </c>
      <c r="H49" s="1">
        <f t="shared" si="2"/>
        <v>236</v>
      </c>
      <c r="I49" s="1" t="str">
        <f>MID(aoc_03_input[[#This Row],[Forest]],MOD(aoc_03_input[[#This Row],[Pos2_3]]-1,LEN(aoc_03_input[[#This Row],[Forest]]))+1,1)</f>
        <v>.</v>
      </c>
      <c r="J49" s="1">
        <f>IF(aoc_03_input[[#This Row],[CharAtPos2_3]]="#",1,0)</f>
        <v>0</v>
      </c>
      <c r="K49" s="1">
        <f t="shared" si="3"/>
        <v>330</v>
      </c>
      <c r="L49" s="1" t="str">
        <f>MID(aoc_03_input[[#This Row],[Forest]],MOD(aoc_03_input[[#This Row],[Pos2_4]]-1,LEN(aoc_03_input[[#This Row],[Forest]]))+1,1)</f>
        <v>.</v>
      </c>
      <c r="M49" s="1">
        <f>IF(aoc_03_input[[#This Row],[CharAtPos2_4]]="#",1,0)</f>
        <v>0</v>
      </c>
      <c r="N49" s="1">
        <f>MOD(ROW(aoc_03_input[[#This Row],[CountRow2_5]])+1,2)</f>
        <v>0</v>
      </c>
      <c r="O49" s="1">
        <f t="shared" si="4"/>
        <v>24</v>
      </c>
      <c r="P49" s="1" t="str">
        <f>MID(aoc_03_input[[#This Row],[Forest]],MOD(aoc_03_input[[#This Row],[Pos2_5]]-1,LEN(aoc_03_input[[#This Row],[Forest]]))+1,1)</f>
        <v>.</v>
      </c>
      <c r="Q49" s="1">
        <f>IF(AND(aoc_03_input[[#This Row],[CountRow2_5]]=1,aoc_03_input[[#This Row],[CharAtPos2_5]]="#"),1,0)</f>
        <v>0</v>
      </c>
    </row>
    <row r="50" spans="1:17" x14ac:dyDescent="0.45">
      <c r="A50" s="1" t="s">
        <v>1434</v>
      </c>
      <c r="B50" s="1">
        <f t="shared" si="0"/>
        <v>145</v>
      </c>
      <c r="C50" s="1" t="str">
        <f>MID(aoc_03_input[[#This Row],[Forest]],MOD(aoc_03_input[[#This Row],[Pos1]]-1,LEN(aoc_03_input[[#This Row],[Forest]]))+1,1)</f>
        <v>.</v>
      </c>
      <c r="D50" s="1">
        <f>IF(aoc_03_input[[#This Row],[CharAtPos1]]="#",1,0)</f>
        <v>0</v>
      </c>
      <c r="E50" s="1">
        <f t="shared" si="1"/>
        <v>49</v>
      </c>
      <c r="F50" s="1" t="str">
        <f>MID(aoc_03_input[[#This Row],[Forest]],MOD(aoc_03_input[[#This Row],[Pos2_1]]-1,LEN(aoc_03_input[[#This Row],[Forest]]))+1,1)</f>
        <v>.</v>
      </c>
      <c r="G50" s="1">
        <f>IF(aoc_03_input[[#This Row],[CharAtPos2_1]]="#",1,0)</f>
        <v>0</v>
      </c>
      <c r="H50" s="1">
        <f t="shared" si="2"/>
        <v>241</v>
      </c>
      <c r="I50" s="1" t="str">
        <f>MID(aoc_03_input[[#This Row],[Forest]],MOD(aoc_03_input[[#This Row],[Pos2_3]]-1,LEN(aoc_03_input[[#This Row],[Forest]]))+1,1)</f>
        <v>.</v>
      </c>
      <c r="J50" s="1">
        <f>IF(aoc_03_input[[#This Row],[CharAtPos2_3]]="#",1,0)</f>
        <v>0</v>
      </c>
      <c r="K50" s="1">
        <f t="shared" si="3"/>
        <v>337</v>
      </c>
      <c r="L50" s="1" t="str">
        <f>MID(aoc_03_input[[#This Row],[Forest]],MOD(aoc_03_input[[#This Row],[Pos2_4]]-1,LEN(aoc_03_input[[#This Row],[Forest]]))+1,1)</f>
        <v>.</v>
      </c>
      <c r="M50" s="1">
        <f>IF(aoc_03_input[[#This Row],[CharAtPos2_4]]="#",1,0)</f>
        <v>0</v>
      </c>
      <c r="N50" s="1">
        <f>MOD(ROW(aoc_03_input[[#This Row],[CountRow2_5]])+1,2)</f>
        <v>1</v>
      </c>
      <c r="O50" s="1">
        <f t="shared" si="4"/>
        <v>25</v>
      </c>
      <c r="P50" s="1" t="str">
        <f>MID(aoc_03_input[[#This Row],[Forest]],MOD(aoc_03_input[[#This Row],[Pos2_5]]-1,LEN(aoc_03_input[[#This Row],[Forest]]))+1,1)</f>
        <v>#</v>
      </c>
      <c r="Q50" s="1">
        <f>IF(AND(aoc_03_input[[#This Row],[CountRow2_5]]=1,aoc_03_input[[#This Row],[CharAtPos2_5]]="#"),1,0)</f>
        <v>1</v>
      </c>
    </row>
    <row r="51" spans="1:17" x14ac:dyDescent="0.45">
      <c r="A51" s="1" t="s">
        <v>1435</v>
      </c>
      <c r="B51" s="1">
        <f t="shared" si="0"/>
        <v>148</v>
      </c>
      <c r="C51" s="1" t="str">
        <f>MID(aoc_03_input[[#This Row],[Forest]],MOD(aoc_03_input[[#This Row],[Pos1]]-1,LEN(aoc_03_input[[#This Row],[Forest]]))+1,1)</f>
        <v>.</v>
      </c>
      <c r="D51" s="1">
        <f>IF(aoc_03_input[[#This Row],[CharAtPos1]]="#",1,0)</f>
        <v>0</v>
      </c>
      <c r="E51" s="1">
        <f t="shared" si="1"/>
        <v>50</v>
      </c>
      <c r="F51" s="1" t="str">
        <f>MID(aoc_03_input[[#This Row],[Forest]],MOD(aoc_03_input[[#This Row],[Pos2_1]]-1,LEN(aoc_03_input[[#This Row],[Forest]]))+1,1)</f>
        <v>.</v>
      </c>
      <c r="G51" s="1">
        <f>IF(aoc_03_input[[#This Row],[CharAtPos2_1]]="#",1,0)</f>
        <v>0</v>
      </c>
      <c r="H51" s="1">
        <f t="shared" si="2"/>
        <v>246</v>
      </c>
      <c r="I51" s="1" t="str">
        <f>MID(aoc_03_input[[#This Row],[Forest]],MOD(aoc_03_input[[#This Row],[Pos2_3]]-1,LEN(aoc_03_input[[#This Row],[Forest]]))+1,1)</f>
        <v>.</v>
      </c>
      <c r="J51" s="1">
        <f>IF(aoc_03_input[[#This Row],[CharAtPos2_3]]="#",1,0)</f>
        <v>0</v>
      </c>
      <c r="K51" s="1">
        <f t="shared" si="3"/>
        <v>344</v>
      </c>
      <c r="L51" s="1" t="str">
        <f>MID(aoc_03_input[[#This Row],[Forest]],MOD(aoc_03_input[[#This Row],[Pos2_4]]-1,LEN(aoc_03_input[[#This Row],[Forest]]))+1,1)</f>
        <v>#</v>
      </c>
      <c r="M51" s="1">
        <f>IF(aoc_03_input[[#This Row],[CharAtPos2_4]]="#",1,0)</f>
        <v>1</v>
      </c>
      <c r="N51" s="1">
        <f>MOD(ROW(aoc_03_input[[#This Row],[CountRow2_5]])+1,2)</f>
        <v>0</v>
      </c>
      <c r="O51" s="1">
        <f t="shared" si="4"/>
        <v>25</v>
      </c>
      <c r="P51" s="1" t="str">
        <f>MID(aoc_03_input[[#This Row],[Forest]],MOD(aoc_03_input[[#This Row],[Pos2_5]]-1,LEN(aoc_03_input[[#This Row],[Forest]]))+1,1)</f>
        <v>.</v>
      </c>
      <c r="Q51" s="1">
        <f>IF(AND(aoc_03_input[[#This Row],[CountRow2_5]]=1,aoc_03_input[[#This Row],[CharAtPos2_5]]="#"),1,0)</f>
        <v>0</v>
      </c>
    </row>
    <row r="52" spans="1:17" x14ac:dyDescent="0.45">
      <c r="A52" s="1" t="s">
        <v>1436</v>
      </c>
      <c r="B52" s="1">
        <f t="shared" si="0"/>
        <v>151</v>
      </c>
      <c r="C52" s="1" t="str">
        <f>MID(aoc_03_input[[#This Row],[Forest]],MOD(aoc_03_input[[#This Row],[Pos1]]-1,LEN(aoc_03_input[[#This Row],[Forest]]))+1,1)</f>
        <v>.</v>
      </c>
      <c r="D52" s="1">
        <f>IF(aoc_03_input[[#This Row],[CharAtPos1]]="#",1,0)</f>
        <v>0</v>
      </c>
      <c r="E52" s="1">
        <f t="shared" si="1"/>
        <v>51</v>
      </c>
      <c r="F52" s="1" t="str">
        <f>MID(aoc_03_input[[#This Row],[Forest]],MOD(aoc_03_input[[#This Row],[Pos2_1]]-1,LEN(aoc_03_input[[#This Row],[Forest]]))+1,1)</f>
        <v>#</v>
      </c>
      <c r="G52" s="1">
        <f>IF(aoc_03_input[[#This Row],[CharAtPos2_1]]="#",1,0)</f>
        <v>1</v>
      </c>
      <c r="H52" s="1">
        <f t="shared" si="2"/>
        <v>251</v>
      </c>
      <c r="I52" s="1" t="str">
        <f>MID(aoc_03_input[[#This Row],[Forest]],MOD(aoc_03_input[[#This Row],[Pos2_3]]-1,LEN(aoc_03_input[[#This Row],[Forest]]))+1,1)</f>
        <v>.</v>
      </c>
      <c r="J52" s="1">
        <f>IF(aoc_03_input[[#This Row],[CharAtPos2_3]]="#",1,0)</f>
        <v>0</v>
      </c>
      <c r="K52" s="1">
        <f t="shared" si="3"/>
        <v>351</v>
      </c>
      <c r="L52" s="1" t="str">
        <f>MID(aoc_03_input[[#This Row],[Forest]],MOD(aoc_03_input[[#This Row],[Pos2_4]]-1,LEN(aoc_03_input[[#This Row],[Forest]]))+1,1)</f>
        <v>#</v>
      </c>
      <c r="M52" s="1">
        <f>IF(aoc_03_input[[#This Row],[CharAtPos2_4]]="#",1,0)</f>
        <v>1</v>
      </c>
      <c r="N52" s="1">
        <f>MOD(ROW(aoc_03_input[[#This Row],[CountRow2_5]])+1,2)</f>
        <v>1</v>
      </c>
      <c r="O52" s="1">
        <f t="shared" si="4"/>
        <v>26</v>
      </c>
      <c r="P52" s="1" t="str">
        <f>MID(aoc_03_input[[#This Row],[Forest]],MOD(aoc_03_input[[#This Row],[Pos2_5]]-1,LEN(aoc_03_input[[#This Row],[Forest]]))+1,1)</f>
        <v>.</v>
      </c>
      <c r="Q52" s="1">
        <f>IF(AND(aoc_03_input[[#This Row],[CountRow2_5]]=1,aoc_03_input[[#This Row],[CharAtPos2_5]]="#"),1,0)</f>
        <v>0</v>
      </c>
    </row>
    <row r="53" spans="1:17" x14ac:dyDescent="0.45">
      <c r="A53" s="1" t="s">
        <v>1437</v>
      </c>
      <c r="B53" s="1">
        <f t="shared" si="0"/>
        <v>154</v>
      </c>
      <c r="C53" s="1" t="str">
        <f>MID(aoc_03_input[[#This Row],[Forest]],MOD(aoc_03_input[[#This Row],[Pos1]]-1,LEN(aoc_03_input[[#This Row],[Forest]]))+1,1)</f>
        <v>.</v>
      </c>
      <c r="D53" s="1">
        <f>IF(aoc_03_input[[#This Row],[CharAtPos1]]="#",1,0)</f>
        <v>0</v>
      </c>
      <c r="E53" s="1">
        <f t="shared" si="1"/>
        <v>52</v>
      </c>
      <c r="F53" s="1" t="str">
        <f>MID(aoc_03_input[[#This Row],[Forest]],MOD(aoc_03_input[[#This Row],[Pos2_1]]-1,LEN(aoc_03_input[[#This Row],[Forest]]))+1,1)</f>
        <v>.</v>
      </c>
      <c r="G53" s="1">
        <f>IF(aoc_03_input[[#This Row],[CharAtPos2_1]]="#",1,0)</f>
        <v>0</v>
      </c>
      <c r="H53" s="1">
        <f t="shared" si="2"/>
        <v>256</v>
      </c>
      <c r="I53" s="1" t="str">
        <f>MID(aoc_03_input[[#This Row],[Forest]],MOD(aoc_03_input[[#This Row],[Pos2_3]]-1,LEN(aoc_03_input[[#This Row],[Forest]]))+1,1)</f>
        <v>.</v>
      </c>
      <c r="J53" s="1">
        <f>IF(aoc_03_input[[#This Row],[CharAtPos2_3]]="#",1,0)</f>
        <v>0</v>
      </c>
      <c r="K53" s="1">
        <f t="shared" si="3"/>
        <v>358</v>
      </c>
      <c r="L53" s="1" t="str">
        <f>MID(aoc_03_input[[#This Row],[Forest]],MOD(aoc_03_input[[#This Row],[Pos2_4]]-1,LEN(aoc_03_input[[#This Row],[Forest]]))+1,1)</f>
        <v>.</v>
      </c>
      <c r="M53" s="1">
        <f>IF(aoc_03_input[[#This Row],[CharAtPos2_4]]="#",1,0)</f>
        <v>0</v>
      </c>
      <c r="N53" s="1">
        <f>MOD(ROW(aoc_03_input[[#This Row],[CountRow2_5]])+1,2)</f>
        <v>0</v>
      </c>
      <c r="O53" s="1">
        <f t="shared" si="4"/>
        <v>26</v>
      </c>
      <c r="P53" s="1" t="str">
        <f>MID(aoc_03_input[[#This Row],[Forest]],MOD(aoc_03_input[[#This Row],[Pos2_5]]-1,LEN(aoc_03_input[[#This Row],[Forest]]))+1,1)</f>
        <v>.</v>
      </c>
      <c r="Q53" s="1">
        <f>IF(AND(aoc_03_input[[#This Row],[CountRow2_5]]=1,aoc_03_input[[#This Row],[CharAtPos2_5]]="#"),1,0)</f>
        <v>0</v>
      </c>
    </row>
    <row r="54" spans="1:17" x14ac:dyDescent="0.45">
      <c r="A54" s="1" t="s">
        <v>1438</v>
      </c>
      <c r="B54" s="1">
        <f t="shared" si="0"/>
        <v>157</v>
      </c>
      <c r="C54" s="1" t="str">
        <f>MID(aoc_03_input[[#This Row],[Forest]],MOD(aoc_03_input[[#This Row],[Pos1]]-1,LEN(aoc_03_input[[#This Row],[Forest]]))+1,1)</f>
        <v>.</v>
      </c>
      <c r="D54" s="1">
        <f>IF(aoc_03_input[[#This Row],[CharAtPos1]]="#",1,0)</f>
        <v>0</v>
      </c>
      <c r="E54" s="1">
        <f t="shared" si="1"/>
        <v>53</v>
      </c>
      <c r="F54" s="1" t="str">
        <f>MID(aoc_03_input[[#This Row],[Forest]],MOD(aoc_03_input[[#This Row],[Pos2_1]]-1,LEN(aoc_03_input[[#This Row],[Forest]]))+1,1)</f>
        <v>.</v>
      </c>
      <c r="G54" s="1">
        <f>IF(aoc_03_input[[#This Row],[CharAtPos2_1]]="#",1,0)</f>
        <v>0</v>
      </c>
      <c r="H54" s="1">
        <f t="shared" si="2"/>
        <v>261</v>
      </c>
      <c r="I54" s="1" t="str">
        <f>MID(aoc_03_input[[#This Row],[Forest]],MOD(aoc_03_input[[#This Row],[Pos2_3]]-1,LEN(aoc_03_input[[#This Row],[Forest]]))+1,1)</f>
        <v>.</v>
      </c>
      <c r="J54" s="1">
        <f>IF(aoc_03_input[[#This Row],[CharAtPos2_3]]="#",1,0)</f>
        <v>0</v>
      </c>
      <c r="K54" s="1">
        <f t="shared" si="3"/>
        <v>365</v>
      </c>
      <c r="L54" s="1" t="str">
        <f>MID(aoc_03_input[[#This Row],[Forest]],MOD(aoc_03_input[[#This Row],[Pos2_4]]-1,LEN(aoc_03_input[[#This Row],[Forest]]))+1,1)</f>
        <v>.</v>
      </c>
      <c r="M54" s="1">
        <f>IF(aoc_03_input[[#This Row],[CharAtPos2_4]]="#",1,0)</f>
        <v>0</v>
      </c>
      <c r="N54" s="1">
        <f>MOD(ROW(aoc_03_input[[#This Row],[CountRow2_5]])+1,2)</f>
        <v>1</v>
      </c>
      <c r="O54" s="1">
        <f t="shared" si="4"/>
        <v>27</v>
      </c>
      <c r="P54" s="1" t="str">
        <f>MID(aoc_03_input[[#This Row],[Forest]],MOD(aoc_03_input[[#This Row],[Pos2_5]]-1,LEN(aoc_03_input[[#This Row],[Forest]]))+1,1)</f>
        <v>#</v>
      </c>
      <c r="Q54" s="1">
        <f>IF(AND(aoc_03_input[[#This Row],[CountRow2_5]]=1,aoc_03_input[[#This Row],[CharAtPos2_5]]="#"),1,0)</f>
        <v>1</v>
      </c>
    </row>
    <row r="55" spans="1:17" x14ac:dyDescent="0.45">
      <c r="A55" s="1" t="s">
        <v>1439</v>
      </c>
      <c r="B55" s="1">
        <f t="shared" si="0"/>
        <v>160</v>
      </c>
      <c r="C55" s="1" t="str">
        <f>MID(aoc_03_input[[#This Row],[Forest]],MOD(aoc_03_input[[#This Row],[Pos1]]-1,LEN(aoc_03_input[[#This Row],[Forest]]))+1,1)</f>
        <v>#</v>
      </c>
      <c r="D55" s="1">
        <f>IF(aoc_03_input[[#This Row],[CharAtPos1]]="#",1,0)</f>
        <v>1</v>
      </c>
      <c r="E55" s="1">
        <f t="shared" si="1"/>
        <v>54</v>
      </c>
      <c r="F55" s="1" t="str">
        <f>MID(aoc_03_input[[#This Row],[Forest]],MOD(aoc_03_input[[#This Row],[Pos2_1]]-1,LEN(aoc_03_input[[#This Row],[Forest]]))+1,1)</f>
        <v>#</v>
      </c>
      <c r="G55" s="1">
        <f>IF(aoc_03_input[[#This Row],[CharAtPos2_1]]="#",1,0)</f>
        <v>1</v>
      </c>
      <c r="H55" s="1">
        <f t="shared" si="2"/>
        <v>266</v>
      </c>
      <c r="I55" s="1" t="str">
        <f>MID(aoc_03_input[[#This Row],[Forest]],MOD(aoc_03_input[[#This Row],[Pos2_3]]-1,LEN(aoc_03_input[[#This Row],[Forest]]))+1,1)</f>
        <v>.</v>
      </c>
      <c r="J55" s="1">
        <f>IF(aoc_03_input[[#This Row],[CharAtPos2_3]]="#",1,0)</f>
        <v>0</v>
      </c>
      <c r="K55" s="1">
        <f t="shared" si="3"/>
        <v>372</v>
      </c>
      <c r="L55" s="1" t="str">
        <f>MID(aoc_03_input[[#This Row],[Forest]],MOD(aoc_03_input[[#This Row],[Pos2_4]]-1,LEN(aoc_03_input[[#This Row],[Forest]]))+1,1)</f>
        <v>.</v>
      </c>
      <c r="M55" s="1">
        <f>IF(aoc_03_input[[#This Row],[CharAtPos2_4]]="#",1,0)</f>
        <v>0</v>
      </c>
      <c r="N55" s="1">
        <f>MOD(ROW(aoc_03_input[[#This Row],[CountRow2_5]])+1,2)</f>
        <v>0</v>
      </c>
      <c r="O55" s="1">
        <f t="shared" si="4"/>
        <v>27</v>
      </c>
      <c r="P55" s="1" t="str">
        <f>MID(aoc_03_input[[#This Row],[Forest]],MOD(aoc_03_input[[#This Row],[Pos2_5]]-1,LEN(aoc_03_input[[#This Row],[Forest]]))+1,1)</f>
        <v>.</v>
      </c>
      <c r="Q55" s="1">
        <f>IF(AND(aoc_03_input[[#This Row],[CountRow2_5]]=1,aoc_03_input[[#This Row],[CharAtPos2_5]]="#"),1,0)</f>
        <v>0</v>
      </c>
    </row>
    <row r="56" spans="1:17" x14ac:dyDescent="0.45">
      <c r="A56" s="1" t="s">
        <v>1440</v>
      </c>
      <c r="B56" s="1">
        <f t="shared" si="0"/>
        <v>163</v>
      </c>
      <c r="C56" s="1" t="str">
        <f>MID(aoc_03_input[[#This Row],[Forest]],MOD(aoc_03_input[[#This Row],[Pos1]]-1,LEN(aoc_03_input[[#This Row],[Forest]]))+1,1)</f>
        <v>#</v>
      </c>
      <c r="D56" s="1">
        <f>IF(aoc_03_input[[#This Row],[CharAtPos1]]="#",1,0)</f>
        <v>1</v>
      </c>
      <c r="E56" s="1">
        <f t="shared" si="1"/>
        <v>55</v>
      </c>
      <c r="F56" s="1" t="str">
        <f>MID(aoc_03_input[[#This Row],[Forest]],MOD(aoc_03_input[[#This Row],[Pos2_1]]-1,LEN(aoc_03_input[[#This Row],[Forest]]))+1,1)</f>
        <v>.</v>
      </c>
      <c r="G56" s="1">
        <f>IF(aoc_03_input[[#This Row],[CharAtPos2_1]]="#",1,0)</f>
        <v>0</v>
      </c>
      <c r="H56" s="1">
        <f t="shared" si="2"/>
        <v>271</v>
      </c>
      <c r="I56" s="1" t="str">
        <f>MID(aoc_03_input[[#This Row],[Forest]],MOD(aoc_03_input[[#This Row],[Pos2_3]]-1,LEN(aoc_03_input[[#This Row],[Forest]]))+1,1)</f>
        <v>.</v>
      </c>
      <c r="J56" s="1">
        <f>IF(aoc_03_input[[#This Row],[CharAtPos2_3]]="#",1,0)</f>
        <v>0</v>
      </c>
      <c r="K56" s="1">
        <f t="shared" si="3"/>
        <v>379</v>
      </c>
      <c r="L56" s="1" t="str">
        <f>MID(aoc_03_input[[#This Row],[Forest]],MOD(aoc_03_input[[#This Row],[Pos2_4]]-1,LEN(aoc_03_input[[#This Row],[Forest]]))+1,1)</f>
        <v>#</v>
      </c>
      <c r="M56" s="1">
        <f>IF(aoc_03_input[[#This Row],[CharAtPos2_4]]="#",1,0)</f>
        <v>1</v>
      </c>
      <c r="N56" s="1">
        <f>MOD(ROW(aoc_03_input[[#This Row],[CountRow2_5]])+1,2)</f>
        <v>1</v>
      </c>
      <c r="O56" s="1">
        <f t="shared" si="4"/>
        <v>28</v>
      </c>
      <c r="P56" s="1" t="str">
        <f>MID(aoc_03_input[[#This Row],[Forest]],MOD(aoc_03_input[[#This Row],[Pos2_5]]-1,LEN(aoc_03_input[[#This Row],[Forest]]))+1,1)</f>
        <v>.</v>
      </c>
      <c r="Q56" s="1">
        <f>IF(AND(aoc_03_input[[#This Row],[CountRow2_5]]=1,aoc_03_input[[#This Row],[CharAtPos2_5]]="#"),1,0)</f>
        <v>0</v>
      </c>
    </row>
    <row r="57" spans="1:17" x14ac:dyDescent="0.45">
      <c r="A57" s="1" t="s">
        <v>1441</v>
      </c>
      <c r="B57" s="1">
        <f t="shared" si="0"/>
        <v>166</v>
      </c>
      <c r="C57" s="1" t="str">
        <f>MID(aoc_03_input[[#This Row],[Forest]],MOD(aoc_03_input[[#This Row],[Pos1]]-1,LEN(aoc_03_input[[#This Row],[Forest]]))+1,1)</f>
        <v>#</v>
      </c>
      <c r="D57" s="1">
        <f>IF(aoc_03_input[[#This Row],[CharAtPos1]]="#",1,0)</f>
        <v>1</v>
      </c>
      <c r="E57" s="1">
        <f t="shared" si="1"/>
        <v>56</v>
      </c>
      <c r="F57" s="1" t="str">
        <f>MID(aoc_03_input[[#This Row],[Forest]],MOD(aoc_03_input[[#This Row],[Pos2_1]]-1,LEN(aoc_03_input[[#This Row],[Forest]]))+1,1)</f>
        <v>.</v>
      </c>
      <c r="G57" s="1">
        <f>IF(aoc_03_input[[#This Row],[CharAtPos2_1]]="#",1,0)</f>
        <v>0</v>
      </c>
      <c r="H57" s="1">
        <f t="shared" si="2"/>
        <v>276</v>
      </c>
      <c r="I57" s="1" t="str">
        <f>MID(aoc_03_input[[#This Row],[Forest]],MOD(aoc_03_input[[#This Row],[Pos2_3]]-1,LEN(aoc_03_input[[#This Row],[Forest]]))+1,1)</f>
        <v>#</v>
      </c>
      <c r="J57" s="1">
        <f>IF(aoc_03_input[[#This Row],[CharAtPos2_3]]="#",1,0)</f>
        <v>1</v>
      </c>
      <c r="K57" s="1">
        <f t="shared" si="3"/>
        <v>386</v>
      </c>
      <c r="L57" s="1" t="str">
        <f>MID(aoc_03_input[[#This Row],[Forest]],MOD(aoc_03_input[[#This Row],[Pos2_4]]-1,LEN(aoc_03_input[[#This Row],[Forest]]))+1,1)</f>
        <v>.</v>
      </c>
      <c r="M57" s="1">
        <f>IF(aoc_03_input[[#This Row],[CharAtPos2_4]]="#",1,0)</f>
        <v>0</v>
      </c>
      <c r="N57" s="1">
        <f>MOD(ROW(aoc_03_input[[#This Row],[CountRow2_5]])+1,2)</f>
        <v>0</v>
      </c>
      <c r="O57" s="1">
        <f t="shared" si="4"/>
        <v>28</v>
      </c>
      <c r="P57" s="1" t="str">
        <f>MID(aoc_03_input[[#This Row],[Forest]],MOD(aoc_03_input[[#This Row],[Pos2_5]]-1,LEN(aoc_03_input[[#This Row],[Forest]]))+1,1)</f>
        <v>#</v>
      </c>
      <c r="Q57" s="1">
        <f>IF(AND(aoc_03_input[[#This Row],[CountRow2_5]]=1,aoc_03_input[[#This Row],[CharAtPos2_5]]="#"),1,0)</f>
        <v>0</v>
      </c>
    </row>
    <row r="58" spans="1:17" x14ac:dyDescent="0.45">
      <c r="A58" s="1" t="s">
        <v>1442</v>
      </c>
      <c r="B58" s="1">
        <f t="shared" si="0"/>
        <v>169</v>
      </c>
      <c r="C58" s="1" t="str">
        <f>MID(aoc_03_input[[#This Row],[Forest]],MOD(aoc_03_input[[#This Row],[Pos1]]-1,LEN(aoc_03_input[[#This Row],[Forest]]))+1,1)</f>
        <v>.</v>
      </c>
      <c r="D58" s="1">
        <f>IF(aoc_03_input[[#This Row],[CharAtPos1]]="#",1,0)</f>
        <v>0</v>
      </c>
      <c r="E58" s="1">
        <f t="shared" si="1"/>
        <v>57</v>
      </c>
      <c r="F58" s="1" t="str">
        <f>MID(aoc_03_input[[#This Row],[Forest]],MOD(aoc_03_input[[#This Row],[Pos2_1]]-1,LEN(aoc_03_input[[#This Row],[Forest]]))+1,1)</f>
        <v>.</v>
      </c>
      <c r="G58" s="1">
        <f>IF(aoc_03_input[[#This Row],[CharAtPos2_1]]="#",1,0)</f>
        <v>0</v>
      </c>
      <c r="H58" s="1">
        <f t="shared" si="2"/>
        <v>281</v>
      </c>
      <c r="I58" s="1" t="str">
        <f>MID(aoc_03_input[[#This Row],[Forest]],MOD(aoc_03_input[[#This Row],[Pos2_3]]-1,LEN(aoc_03_input[[#This Row],[Forest]]))+1,1)</f>
        <v>#</v>
      </c>
      <c r="J58" s="1">
        <f>IF(aoc_03_input[[#This Row],[CharAtPos2_3]]="#",1,0)</f>
        <v>1</v>
      </c>
      <c r="K58" s="1">
        <f t="shared" si="3"/>
        <v>393</v>
      </c>
      <c r="L58" s="1" t="str">
        <f>MID(aoc_03_input[[#This Row],[Forest]],MOD(aoc_03_input[[#This Row],[Pos2_4]]-1,LEN(aoc_03_input[[#This Row],[Forest]]))+1,1)</f>
        <v>.</v>
      </c>
      <c r="M58" s="1">
        <f>IF(aoc_03_input[[#This Row],[CharAtPos2_4]]="#",1,0)</f>
        <v>0</v>
      </c>
      <c r="N58" s="1">
        <f>MOD(ROW(aoc_03_input[[#This Row],[CountRow2_5]])+1,2)</f>
        <v>1</v>
      </c>
      <c r="O58" s="1">
        <f t="shared" si="4"/>
        <v>29</v>
      </c>
      <c r="P58" s="1" t="str">
        <f>MID(aoc_03_input[[#This Row],[Forest]],MOD(aoc_03_input[[#This Row],[Pos2_5]]-1,LEN(aoc_03_input[[#This Row],[Forest]]))+1,1)</f>
        <v>.</v>
      </c>
      <c r="Q58" s="1">
        <f>IF(AND(aoc_03_input[[#This Row],[CountRow2_5]]=1,aoc_03_input[[#This Row],[CharAtPos2_5]]="#"),1,0)</f>
        <v>0</v>
      </c>
    </row>
    <row r="59" spans="1:17" x14ac:dyDescent="0.45">
      <c r="A59" s="1" t="s">
        <v>1443</v>
      </c>
      <c r="B59" s="1">
        <f t="shared" si="0"/>
        <v>172</v>
      </c>
      <c r="C59" s="1" t="str">
        <f>MID(aoc_03_input[[#This Row],[Forest]],MOD(aoc_03_input[[#This Row],[Pos1]]-1,LEN(aoc_03_input[[#This Row],[Forest]]))+1,1)</f>
        <v>.</v>
      </c>
      <c r="D59" s="1">
        <f>IF(aoc_03_input[[#This Row],[CharAtPos1]]="#",1,0)</f>
        <v>0</v>
      </c>
      <c r="E59" s="1">
        <f t="shared" si="1"/>
        <v>58</v>
      </c>
      <c r="F59" s="1" t="str">
        <f>MID(aoc_03_input[[#This Row],[Forest]],MOD(aoc_03_input[[#This Row],[Pos2_1]]-1,LEN(aoc_03_input[[#This Row],[Forest]]))+1,1)</f>
        <v>.</v>
      </c>
      <c r="G59" s="1">
        <f>IF(aoc_03_input[[#This Row],[CharAtPos2_1]]="#",1,0)</f>
        <v>0</v>
      </c>
      <c r="H59" s="1">
        <f t="shared" si="2"/>
        <v>286</v>
      </c>
      <c r="I59" s="1" t="str">
        <f>MID(aoc_03_input[[#This Row],[Forest]],MOD(aoc_03_input[[#This Row],[Pos2_3]]-1,LEN(aoc_03_input[[#This Row],[Forest]]))+1,1)</f>
        <v>.</v>
      </c>
      <c r="J59" s="1">
        <f>IF(aoc_03_input[[#This Row],[CharAtPos2_3]]="#",1,0)</f>
        <v>0</v>
      </c>
      <c r="K59" s="1">
        <f t="shared" si="3"/>
        <v>400</v>
      </c>
      <c r="L59" s="1" t="str">
        <f>MID(aoc_03_input[[#This Row],[Forest]],MOD(aoc_03_input[[#This Row],[Pos2_4]]-1,LEN(aoc_03_input[[#This Row],[Forest]]))+1,1)</f>
        <v>.</v>
      </c>
      <c r="M59" s="1">
        <f>IF(aoc_03_input[[#This Row],[CharAtPos2_4]]="#",1,0)</f>
        <v>0</v>
      </c>
      <c r="N59" s="1">
        <f>MOD(ROW(aoc_03_input[[#This Row],[CountRow2_5]])+1,2)</f>
        <v>0</v>
      </c>
      <c r="O59" s="1">
        <f t="shared" si="4"/>
        <v>29</v>
      </c>
      <c r="P59" s="1" t="str">
        <f>MID(aoc_03_input[[#This Row],[Forest]],MOD(aoc_03_input[[#This Row],[Pos2_5]]-1,LEN(aoc_03_input[[#This Row],[Forest]]))+1,1)</f>
        <v>.</v>
      </c>
      <c r="Q59" s="1">
        <f>IF(AND(aoc_03_input[[#This Row],[CountRow2_5]]=1,aoc_03_input[[#This Row],[CharAtPos2_5]]="#"),1,0)</f>
        <v>0</v>
      </c>
    </row>
    <row r="60" spans="1:17" x14ac:dyDescent="0.45">
      <c r="A60" s="1" t="s">
        <v>1444</v>
      </c>
      <c r="B60" s="1">
        <f t="shared" si="0"/>
        <v>175</v>
      </c>
      <c r="C60" s="1" t="str">
        <f>MID(aoc_03_input[[#This Row],[Forest]],MOD(aoc_03_input[[#This Row],[Pos1]]-1,LEN(aoc_03_input[[#This Row],[Forest]]))+1,1)</f>
        <v>.</v>
      </c>
      <c r="D60" s="1">
        <f>IF(aoc_03_input[[#This Row],[CharAtPos1]]="#",1,0)</f>
        <v>0</v>
      </c>
      <c r="E60" s="1">
        <f t="shared" si="1"/>
        <v>59</v>
      </c>
      <c r="F60" s="1" t="str">
        <f>MID(aoc_03_input[[#This Row],[Forest]],MOD(aoc_03_input[[#This Row],[Pos2_1]]-1,LEN(aoc_03_input[[#This Row],[Forest]]))+1,1)</f>
        <v>.</v>
      </c>
      <c r="G60" s="1">
        <f>IF(aoc_03_input[[#This Row],[CharAtPos2_1]]="#",1,0)</f>
        <v>0</v>
      </c>
      <c r="H60" s="1">
        <f t="shared" si="2"/>
        <v>291</v>
      </c>
      <c r="I60" s="1" t="str">
        <f>MID(aoc_03_input[[#This Row],[Forest]],MOD(aoc_03_input[[#This Row],[Pos2_3]]-1,LEN(aoc_03_input[[#This Row],[Forest]]))+1,1)</f>
        <v>.</v>
      </c>
      <c r="J60" s="1">
        <f>IF(aoc_03_input[[#This Row],[CharAtPos2_3]]="#",1,0)</f>
        <v>0</v>
      </c>
      <c r="K60" s="1">
        <f t="shared" si="3"/>
        <v>407</v>
      </c>
      <c r="L60" s="1" t="str">
        <f>MID(aoc_03_input[[#This Row],[Forest]],MOD(aoc_03_input[[#This Row],[Pos2_4]]-1,LEN(aoc_03_input[[#This Row],[Forest]]))+1,1)</f>
        <v>.</v>
      </c>
      <c r="M60" s="1">
        <f>IF(aoc_03_input[[#This Row],[CharAtPos2_4]]="#",1,0)</f>
        <v>0</v>
      </c>
      <c r="N60" s="1">
        <f>MOD(ROW(aoc_03_input[[#This Row],[CountRow2_5]])+1,2)</f>
        <v>1</v>
      </c>
      <c r="O60" s="1">
        <f t="shared" si="4"/>
        <v>30</v>
      </c>
      <c r="P60" s="1" t="str">
        <f>MID(aoc_03_input[[#This Row],[Forest]],MOD(aoc_03_input[[#This Row],[Pos2_5]]-1,LEN(aoc_03_input[[#This Row],[Forest]]))+1,1)</f>
        <v>.</v>
      </c>
      <c r="Q60" s="1">
        <f>IF(AND(aoc_03_input[[#This Row],[CountRow2_5]]=1,aoc_03_input[[#This Row],[CharAtPos2_5]]="#"),1,0)</f>
        <v>0</v>
      </c>
    </row>
    <row r="61" spans="1:17" x14ac:dyDescent="0.45">
      <c r="A61" s="1" t="s">
        <v>1445</v>
      </c>
      <c r="B61" s="1">
        <f t="shared" si="0"/>
        <v>178</v>
      </c>
      <c r="C61" s="1" t="str">
        <f>MID(aoc_03_input[[#This Row],[Forest]],MOD(aoc_03_input[[#This Row],[Pos1]]-1,LEN(aoc_03_input[[#This Row],[Forest]]))+1,1)</f>
        <v>.</v>
      </c>
      <c r="D61" s="1">
        <f>IF(aoc_03_input[[#This Row],[CharAtPos1]]="#",1,0)</f>
        <v>0</v>
      </c>
      <c r="E61" s="1">
        <f t="shared" si="1"/>
        <v>60</v>
      </c>
      <c r="F61" s="1" t="str">
        <f>MID(aoc_03_input[[#This Row],[Forest]],MOD(aoc_03_input[[#This Row],[Pos2_1]]-1,LEN(aoc_03_input[[#This Row],[Forest]]))+1,1)</f>
        <v>.</v>
      </c>
      <c r="G61" s="1">
        <f>IF(aoc_03_input[[#This Row],[CharAtPos2_1]]="#",1,0)</f>
        <v>0</v>
      </c>
      <c r="H61" s="1">
        <f t="shared" si="2"/>
        <v>296</v>
      </c>
      <c r="I61" s="1" t="str">
        <f>MID(aoc_03_input[[#This Row],[Forest]],MOD(aoc_03_input[[#This Row],[Pos2_3]]-1,LEN(aoc_03_input[[#This Row],[Forest]]))+1,1)</f>
        <v>.</v>
      </c>
      <c r="J61" s="1">
        <f>IF(aoc_03_input[[#This Row],[CharAtPos2_3]]="#",1,0)</f>
        <v>0</v>
      </c>
      <c r="K61" s="1">
        <f t="shared" si="3"/>
        <v>414</v>
      </c>
      <c r="L61" s="1" t="str">
        <f>MID(aoc_03_input[[#This Row],[Forest]],MOD(aoc_03_input[[#This Row],[Pos2_4]]-1,LEN(aoc_03_input[[#This Row],[Forest]]))+1,1)</f>
        <v>.</v>
      </c>
      <c r="M61" s="1">
        <f>IF(aoc_03_input[[#This Row],[CharAtPos2_4]]="#",1,0)</f>
        <v>0</v>
      </c>
      <c r="N61" s="1">
        <f>MOD(ROW(aoc_03_input[[#This Row],[CountRow2_5]])+1,2)</f>
        <v>0</v>
      </c>
      <c r="O61" s="1">
        <f t="shared" si="4"/>
        <v>30</v>
      </c>
      <c r="P61" s="1" t="str">
        <f>MID(aoc_03_input[[#This Row],[Forest]],MOD(aoc_03_input[[#This Row],[Pos2_5]]-1,LEN(aoc_03_input[[#This Row],[Forest]]))+1,1)</f>
        <v>.</v>
      </c>
      <c r="Q61" s="1">
        <f>IF(AND(aoc_03_input[[#This Row],[CountRow2_5]]=1,aoc_03_input[[#This Row],[CharAtPos2_5]]="#"),1,0)</f>
        <v>0</v>
      </c>
    </row>
    <row r="62" spans="1:17" x14ac:dyDescent="0.45">
      <c r="A62" s="1" t="s">
        <v>1446</v>
      </c>
      <c r="B62" s="1">
        <f t="shared" si="0"/>
        <v>181</v>
      </c>
      <c r="C62" s="1" t="str">
        <f>MID(aoc_03_input[[#This Row],[Forest]],MOD(aoc_03_input[[#This Row],[Pos1]]-1,LEN(aoc_03_input[[#This Row],[Forest]]))+1,1)</f>
        <v>#</v>
      </c>
      <c r="D62" s="1">
        <f>IF(aoc_03_input[[#This Row],[CharAtPos1]]="#",1,0)</f>
        <v>1</v>
      </c>
      <c r="E62" s="1">
        <f t="shared" si="1"/>
        <v>61</v>
      </c>
      <c r="F62" s="1" t="str">
        <f>MID(aoc_03_input[[#This Row],[Forest]],MOD(aoc_03_input[[#This Row],[Pos2_1]]-1,LEN(aoc_03_input[[#This Row],[Forest]]))+1,1)</f>
        <v>.</v>
      </c>
      <c r="G62" s="1">
        <f>IF(aoc_03_input[[#This Row],[CharAtPos2_1]]="#",1,0)</f>
        <v>0</v>
      </c>
      <c r="H62" s="1">
        <f t="shared" si="2"/>
        <v>301</v>
      </c>
      <c r="I62" s="1" t="str">
        <f>MID(aoc_03_input[[#This Row],[Forest]],MOD(aoc_03_input[[#This Row],[Pos2_3]]-1,LEN(aoc_03_input[[#This Row],[Forest]]))+1,1)</f>
        <v>.</v>
      </c>
      <c r="J62" s="1">
        <f>IF(aoc_03_input[[#This Row],[CharAtPos2_3]]="#",1,0)</f>
        <v>0</v>
      </c>
      <c r="K62" s="1">
        <f t="shared" si="3"/>
        <v>421</v>
      </c>
      <c r="L62" s="1" t="str">
        <f>MID(aoc_03_input[[#This Row],[Forest]],MOD(aoc_03_input[[#This Row],[Pos2_4]]-1,LEN(aoc_03_input[[#This Row],[Forest]]))+1,1)</f>
        <v>.</v>
      </c>
      <c r="M62" s="1">
        <f>IF(aoc_03_input[[#This Row],[CharAtPos2_4]]="#",1,0)</f>
        <v>0</v>
      </c>
      <c r="N62" s="1">
        <f>MOD(ROW(aoc_03_input[[#This Row],[CountRow2_5]])+1,2)</f>
        <v>1</v>
      </c>
      <c r="O62" s="1">
        <f t="shared" si="4"/>
        <v>31</v>
      </c>
      <c r="P62" s="1" t="str">
        <f>MID(aoc_03_input[[#This Row],[Forest]],MOD(aoc_03_input[[#This Row],[Pos2_5]]-1,LEN(aoc_03_input[[#This Row],[Forest]]))+1,1)</f>
        <v>.</v>
      </c>
      <c r="Q62" s="1">
        <f>IF(AND(aoc_03_input[[#This Row],[CountRow2_5]]=1,aoc_03_input[[#This Row],[CharAtPos2_5]]="#"),1,0)</f>
        <v>0</v>
      </c>
    </row>
    <row r="63" spans="1:17" x14ac:dyDescent="0.45">
      <c r="A63" s="1" t="s">
        <v>1447</v>
      </c>
      <c r="B63" s="1">
        <f t="shared" si="0"/>
        <v>184</v>
      </c>
      <c r="C63" s="1" t="str">
        <f>MID(aoc_03_input[[#This Row],[Forest]],MOD(aoc_03_input[[#This Row],[Pos1]]-1,LEN(aoc_03_input[[#This Row],[Forest]]))+1,1)</f>
        <v>.</v>
      </c>
      <c r="D63" s="1">
        <f>IF(aoc_03_input[[#This Row],[CharAtPos1]]="#",1,0)</f>
        <v>0</v>
      </c>
      <c r="E63" s="1">
        <f t="shared" si="1"/>
        <v>62</v>
      </c>
      <c r="F63" s="1" t="str">
        <f>MID(aoc_03_input[[#This Row],[Forest]],MOD(aoc_03_input[[#This Row],[Pos2_1]]-1,LEN(aoc_03_input[[#This Row],[Forest]]))+1,1)</f>
        <v>.</v>
      </c>
      <c r="G63" s="1">
        <f>IF(aoc_03_input[[#This Row],[CharAtPos2_1]]="#",1,0)</f>
        <v>0</v>
      </c>
      <c r="H63" s="1">
        <f t="shared" si="2"/>
        <v>306</v>
      </c>
      <c r="I63" s="1" t="str">
        <f>MID(aoc_03_input[[#This Row],[Forest]],MOD(aoc_03_input[[#This Row],[Pos2_3]]-1,LEN(aoc_03_input[[#This Row],[Forest]]))+1,1)</f>
        <v>.</v>
      </c>
      <c r="J63" s="1">
        <f>IF(aoc_03_input[[#This Row],[CharAtPos2_3]]="#",1,0)</f>
        <v>0</v>
      </c>
      <c r="K63" s="1">
        <f t="shared" si="3"/>
        <v>428</v>
      </c>
      <c r="L63" s="1" t="str">
        <f>MID(aoc_03_input[[#This Row],[Forest]],MOD(aoc_03_input[[#This Row],[Pos2_4]]-1,LEN(aoc_03_input[[#This Row],[Forest]]))+1,1)</f>
        <v>.</v>
      </c>
      <c r="M63" s="1">
        <f>IF(aoc_03_input[[#This Row],[CharAtPos2_4]]="#",1,0)</f>
        <v>0</v>
      </c>
      <c r="N63" s="1">
        <f>MOD(ROW(aoc_03_input[[#This Row],[CountRow2_5]])+1,2)</f>
        <v>0</v>
      </c>
      <c r="O63" s="1">
        <f t="shared" si="4"/>
        <v>31</v>
      </c>
      <c r="P63" s="1" t="str">
        <f>MID(aoc_03_input[[#This Row],[Forest]],MOD(aoc_03_input[[#This Row],[Pos2_5]]-1,LEN(aoc_03_input[[#This Row],[Forest]]))+1,1)</f>
        <v>.</v>
      </c>
      <c r="Q63" s="1">
        <f>IF(AND(aoc_03_input[[#This Row],[CountRow2_5]]=1,aoc_03_input[[#This Row],[CharAtPos2_5]]="#"),1,0)</f>
        <v>0</v>
      </c>
    </row>
    <row r="64" spans="1:17" x14ac:dyDescent="0.45">
      <c r="A64" s="1" t="s">
        <v>1448</v>
      </c>
      <c r="B64" s="1">
        <f t="shared" si="0"/>
        <v>187</v>
      </c>
      <c r="C64" s="1" t="str">
        <f>MID(aoc_03_input[[#This Row],[Forest]],MOD(aoc_03_input[[#This Row],[Pos1]]-1,LEN(aoc_03_input[[#This Row],[Forest]]))+1,1)</f>
        <v>#</v>
      </c>
      <c r="D64" s="1">
        <f>IF(aoc_03_input[[#This Row],[CharAtPos1]]="#",1,0)</f>
        <v>1</v>
      </c>
      <c r="E64" s="1">
        <f t="shared" si="1"/>
        <v>63</v>
      </c>
      <c r="F64" s="1" t="str">
        <f>MID(aoc_03_input[[#This Row],[Forest]],MOD(aoc_03_input[[#This Row],[Pos2_1]]-1,LEN(aoc_03_input[[#This Row],[Forest]]))+1,1)</f>
        <v>#</v>
      </c>
      <c r="G64" s="1">
        <f>IF(aoc_03_input[[#This Row],[CharAtPos2_1]]="#",1,0)</f>
        <v>1</v>
      </c>
      <c r="H64" s="1">
        <f t="shared" si="2"/>
        <v>311</v>
      </c>
      <c r="I64" s="1" t="str">
        <f>MID(aoc_03_input[[#This Row],[Forest]],MOD(aoc_03_input[[#This Row],[Pos2_3]]-1,LEN(aoc_03_input[[#This Row],[Forest]]))+1,1)</f>
        <v>#</v>
      </c>
      <c r="J64" s="1">
        <f>IF(aoc_03_input[[#This Row],[CharAtPos2_3]]="#",1,0)</f>
        <v>1</v>
      </c>
      <c r="K64" s="1">
        <f t="shared" si="3"/>
        <v>435</v>
      </c>
      <c r="L64" s="1" t="str">
        <f>MID(aoc_03_input[[#This Row],[Forest]],MOD(aoc_03_input[[#This Row],[Pos2_4]]-1,LEN(aoc_03_input[[#This Row],[Forest]]))+1,1)</f>
        <v>#</v>
      </c>
      <c r="M64" s="1">
        <f>IF(aoc_03_input[[#This Row],[CharAtPos2_4]]="#",1,0)</f>
        <v>1</v>
      </c>
      <c r="N64" s="1">
        <f>MOD(ROW(aoc_03_input[[#This Row],[CountRow2_5]])+1,2)</f>
        <v>1</v>
      </c>
      <c r="O64" s="1">
        <f t="shared" si="4"/>
        <v>32</v>
      </c>
      <c r="P64" s="1" t="str">
        <f>MID(aoc_03_input[[#This Row],[Forest]],MOD(aoc_03_input[[#This Row],[Pos2_5]]-1,LEN(aoc_03_input[[#This Row],[Forest]]))+1,1)</f>
        <v>#</v>
      </c>
      <c r="Q64" s="1">
        <f>IF(AND(aoc_03_input[[#This Row],[CountRow2_5]]=1,aoc_03_input[[#This Row],[CharAtPos2_5]]="#"),1,0)</f>
        <v>1</v>
      </c>
    </row>
    <row r="65" spans="1:17" x14ac:dyDescent="0.45">
      <c r="A65" s="1" t="s">
        <v>1449</v>
      </c>
      <c r="B65" s="1">
        <f t="shared" si="0"/>
        <v>190</v>
      </c>
      <c r="C65" s="1" t="str">
        <f>MID(aoc_03_input[[#This Row],[Forest]],MOD(aoc_03_input[[#This Row],[Pos1]]-1,LEN(aoc_03_input[[#This Row],[Forest]]))+1,1)</f>
        <v>#</v>
      </c>
      <c r="D65" s="1">
        <f>IF(aoc_03_input[[#This Row],[CharAtPos1]]="#",1,0)</f>
        <v>1</v>
      </c>
      <c r="E65" s="1">
        <f t="shared" si="1"/>
        <v>64</v>
      </c>
      <c r="F65" s="1" t="str">
        <f>MID(aoc_03_input[[#This Row],[Forest]],MOD(aoc_03_input[[#This Row],[Pos2_1]]-1,LEN(aoc_03_input[[#This Row],[Forest]]))+1,1)</f>
        <v>#</v>
      </c>
      <c r="G65" s="1">
        <f>IF(aoc_03_input[[#This Row],[CharAtPos2_1]]="#",1,0)</f>
        <v>1</v>
      </c>
      <c r="H65" s="1">
        <f t="shared" si="2"/>
        <v>316</v>
      </c>
      <c r="I65" s="1" t="str">
        <f>MID(aoc_03_input[[#This Row],[Forest]],MOD(aoc_03_input[[#This Row],[Pos2_3]]-1,LEN(aoc_03_input[[#This Row],[Forest]]))+1,1)</f>
        <v>.</v>
      </c>
      <c r="J65" s="1">
        <f>IF(aoc_03_input[[#This Row],[CharAtPos2_3]]="#",1,0)</f>
        <v>0</v>
      </c>
      <c r="K65" s="1">
        <f t="shared" si="3"/>
        <v>442</v>
      </c>
      <c r="L65" s="1" t="str">
        <f>MID(aoc_03_input[[#This Row],[Forest]],MOD(aoc_03_input[[#This Row],[Pos2_4]]-1,LEN(aoc_03_input[[#This Row],[Forest]]))+1,1)</f>
        <v>.</v>
      </c>
      <c r="M65" s="1">
        <f>IF(aoc_03_input[[#This Row],[CharAtPos2_4]]="#",1,0)</f>
        <v>0</v>
      </c>
      <c r="N65" s="1">
        <f>MOD(ROW(aoc_03_input[[#This Row],[CountRow2_5]])+1,2)</f>
        <v>0</v>
      </c>
      <c r="O65" s="1">
        <f t="shared" si="4"/>
        <v>32</v>
      </c>
      <c r="P65" s="1" t="str">
        <f>MID(aoc_03_input[[#This Row],[Forest]],MOD(aoc_03_input[[#This Row],[Pos2_5]]-1,LEN(aoc_03_input[[#This Row],[Forest]]))+1,1)</f>
        <v>#</v>
      </c>
      <c r="Q65" s="1">
        <f>IF(AND(aoc_03_input[[#This Row],[CountRow2_5]]=1,aoc_03_input[[#This Row],[CharAtPos2_5]]="#"),1,0)</f>
        <v>0</v>
      </c>
    </row>
    <row r="66" spans="1:17" x14ac:dyDescent="0.45">
      <c r="A66" s="1" t="s">
        <v>1450</v>
      </c>
      <c r="B66" s="1">
        <f t="shared" si="0"/>
        <v>193</v>
      </c>
      <c r="C66" s="1" t="str">
        <f>MID(aoc_03_input[[#This Row],[Forest]],MOD(aoc_03_input[[#This Row],[Pos1]]-1,LEN(aoc_03_input[[#This Row],[Forest]]))+1,1)</f>
        <v>#</v>
      </c>
      <c r="D66" s="1">
        <f>IF(aoc_03_input[[#This Row],[CharAtPos1]]="#",1,0)</f>
        <v>1</v>
      </c>
      <c r="E66" s="1">
        <f t="shared" si="1"/>
        <v>65</v>
      </c>
      <c r="F66" s="1" t="str">
        <f>MID(aoc_03_input[[#This Row],[Forest]],MOD(aoc_03_input[[#This Row],[Pos2_1]]-1,LEN(aoc_03_input[[#This Row],[Forest]]))+1,1)</f>
        <v>.</v>
      </c>
      <c r="G66" s="1">
        <f>IF(aoc_03_input[[#This Row],[CharAtPos2_1]]="#",1,0)</f>
        <v>0</v>
      </c>
      <c r="H66" s="1">
        <f t="shared" si="2"/>
        <v>321</v>
      </c>
      <c r="I66" s="1" t="str">
        <f>MID(aoc_03_input[[#This Row],[Forest]],MOD(aoc_03_input[[#This Row],[Pos2_3]]-1,LEN(aoc_03_input[[#This Row],[Forest]]))+1,1)</f>
        <v>#</v>
      </c>
      <c r="J66" s="1">
        <f>IF(aoc_03_input[[#This Row],[CharAtPos2_3]]="#",1,0)</f>
        <v>1</v>
      </c>
      <c r="K66" s="1">
        <f t="shared" si="3"/>
        <v>449</v>
      </c>
      <c r="L66" s="1" t="str">
        <f>MID(aoc_03_input[[#This Row],[Forest]],MOD(aoc_03_input[[#This Row],[Pos2_4]]-1,LEN(aoc_03_input[[#This Row],[Forest]]))+1,1)</f>
        <v>.</v>
      </c>
      <c r="M66" s="1">
        <f>IF(aoc_03_input[[#This Row],[CharAtPos2_4]]="#",1,0)</f>
        <v>0</v>
      </c>
      <c r="N66" s="1">
        <f>MOD(ROW(aoc_03_input[[#This Row],[CountRow2_5]])+1,2)</f>
        <v>1</v>
      </c>
      <c r="O66" s="1">
        <f t="shared" si="4"/>
        <v>33</v>
      </c>
      <c r="P66" s="1" t="str">
        <f>MID(aoc_03_input[[#This Row],[Forest]],MOD(aoc_03_input[[#This Row],[Pos2_5]]-1,LEN(aoc_03_input[[#This Row],[Forest]]))+1,1)</f>
        <v>.</v>
      </c>
      <c r="Q66" s="1">
        <f>IF(AND(aoc_03_input[[#This Row],[CountRow2_5]]=1,aoc_03_input[[#This Row],[CharAtPos2_5]]="#"),1,0)</f>
        <v>0</v>
      </c>
    </row>
    <row r="67" spans="1:17" x14ac:dyDescent="0.45">
      <c r="A67" s="1" t="s">
        <v>1451</v>
      </c>
      <c r="B67" s="1">
        <f t="shared" si="0"/>
        <v>196</v>
      </c>
      <c r="C67" s="1" t="str">
        <f>MID(aoc_03_input[[#This Row],[Forest]],MOD(aoc_03_input[[#This Row],[Pos1]]-1,LEN(aoc_03_input[[#This Row],[Forest]]))+1,1)</f>
        <v>#</v>
      </c>
      <c r="D67" s="1">
        <f>IF(aoc_03_input[[#This Row],[CharAtPos1]]="#",1,0)</f>
        <v>1</v>
      </c>
      <c r="E67" s="1">
        <f t="shared" si="1"/>
        <v>66</v>
      </c>
      <c r="F67" s="1" t="str">
        <f>MID(aoc_03_input[[#This Row],[Forest]],MOD(aoc_03_input[[#This Row],[Pos2_1]]-1,LEN(aoc_03_input[[#This Row],[Forest]]))+1,1)</f>
        <v>.</v>
      </c>
      <c r="G67" s="1">
        <f>IF(aoc_03_input[[#This Row],[CharAtPos2_1]]="#",1,0)</f>
        <v>0</v>
      </c>
      <c r="H67" s="1">
        <f t="shared" si="2"/>
        <v>326</v>
      </c>
      <c r="I67" s="1" t="str">
        <f>MID(aoc_03_input[[#This Row],[Forest]],MOD(aoc_03_input[[#This Row],[Pos2_3]]-1,LEN(aoc_03_input[[#This Row],[Forest]]))+1,1)</f>
        <v>#</v>
      </c>
      <c r="J67" s="1">
        <f>IF(aoc_03_input[[#This Row],[CharAtPos2_3]]="#",1,0)</f>
        <v>1</v>
      </c>
      <c r="K67" s="1">
        <f t="shared" si="3"/>
        <v>456</v>
      </c>
      <c r="L67" s="1" t="str">
        <f>MID(aoc_03_input[[#This Row],[Forest]],MOD(aoc_03_input[[#This Row],[Pos2_4]]-1,LEN(aoc_03_input[[#This Row],[Forest]]))+1,1)</f>
        <v>.</v>
      </c>
      <c r="M67" s="1">
        <f>IF(aoc_03_input[[#This Row],[CharAtPos2_4]]="#",1,0)</f>
        <v>0</v>
      </c>
      <c r="N67" s="1">
        <f>MOD(ROW(aoc_03_input[[#This Row],[CountRow2_5]])+1,2)</f>
        <v>0</v>
      </c>
      <c r="O67" s="1">
        <f t="shared" si="4"/>
        <v>33</v>
      </c>
      <c r="P67" s="1" t="str">
        <f>MID(aoc_03_input[[#This Row],[Forest]],MOD(aoc_03_input[[#This Row],[Pos2_5]]-1,LEN(aoc_03_input[[#This Row],[Forest]]))+1,1)</f>
        <v>#</v>
      </c>
      <c r="Q67" s="1">
        <f>IF(AND(aoc_03_input[[#This Row],[CountRow2_5]]=1,aoc_03_input[[#This Row],[CharAtPos2_5]]="#"),1,0)</f>
        <v>0</v>
      </c>
    </row>
    <row r="68" spans="1:17" x14ac:dyDescent="0.45">
      <c r="A68" s="1" t="s">
        <v>1452</v>
      </c>
      <c r="B68" s="1">
        <f t="shared" ref="B68:B131" si="5">B67+3</f>
        <v>199</v>
      </c>
      <c r="C68" s="1" t="str">
        <f>MID(aoc_03_input[[#This Row],[Forest]],MOD(aoc_03_input[[#This Row],[Pos1]]-1,LEN(aoc_03_input[[#This Row],[Forest]]))+1,1)</f>
        <v>.</v>
      </c>
      <c r="D68" s="1">
        <f>IF(aoc_03_input[[#This Row],[CharAtPos1]]="#",1,0)</f>
        <v>0</v>
      </c>
      <c r="E68" s="1">
        <f t="shared" ref="E68:E131" si="6">E67+1</f>
        <v>67</v>
      </c>
      <c r="F68" s="1" t="str">
        <f>MID(aoc_03_input[[#This Row],[Forest]],MOD(aoc_03_input[[#This Row],[Pos2_1]]-1,LEN(aoc_03_input[[#This Row],[Forest]]))+1,1)</f>
        <v>#</v>
      </c>
      <c r="G68" s="1">
        <f>IF(aoc_03_input[[#This Row],[CharAtPos2_1]]="#",1,0)</f>
        <v>1</v>
      </c>
      <c r="H68" s="1">
        <f t="shared" ref="H68:H131" si="7">H67+5</f>
        <v>331</v>
      </c>
      <c r="I68" s="1" t="str">
        <f>MID(aoc_03_input[[#This Row],[Forest]],MOD(aoc_03_input[[#This Row],[Pos2_3]]-1,LEN(aoc_03_input[[#This Row],[Forest]]))+1,1)</f>
        <v>.</v>
      </c>
      <c r="J68" s="1">
        <f>IF(aoc_03_input[[#This Row],[CharAtPos2_3]]="#",1,0)</f>
        <v>0</v>
      </c>
      <c r="K68" s="1">
        <f t="shared" ref="K68:K131" si="8">K67+7</f>
        <v>463</v>
      </c>
      <c r="L68" s="1" t="str">
        <f>MID(aoc_03_input[[#This Row],[Forest]],MOD(aoc_03_input[[#This Row],[Pos2_4]]-1,LEN(aoc_03_input[[#This Row],[Forest]]))+1,1)</f>
        <v>.</v>
      </c>
      <c r="M68" s="1">
        <f>IF(aoc_03_input[[#This Row],[CharAtPos2_4]]="#",1,0)</f>
        <v>0</v>
      </c>
      <c r="N68" s="1">
        <f>MOD(ROW(aoc_03_input[[#This Row],[CountRow2_5]])+1,2)</f>
        <v>1</v>
      </c>
      <c r="O68" s="1">
        <f t="shared" si="4"/>
        <v>34</v>
      </c>
      <c r="P68" s="1" t="str">
        <f>MID(aoc_03_input[[#This Row],[Forest]],MOD(aoc_03_input[[#This Row],[Pos2_5]]-1,LEN(aoc_03_input[[#This Row],[Forest]]))+1,1)</f>
        <v>.</v>
      </c>
      <c r="Q68" s="1">
        <f>IF(AND(aoc_03_input[[#This Row],[CountRow2_5]]=1,aoc_03_input[[#This Row],[CharAtPos2_5]]="#"),1,0)</f>
        <v>0</v>
      </c>
    </row>
    <row r="69" spans="1:17" x14ac:dyDescent="0.45">
      <c r="A69" s="1" t="s">
        <v>1453</v>
      </c>
      <c r="B69" s="1">
        <f t="shared" si="5"/>
        <v>202</v>
      </c>
      <c r="C69" s="1" t="str">
        <f>MID(aoc_03_input[[#This Row],[Forest]],MOD(aoc_03_input[[#This Row],[Pos1]]-1,LEN(aoc_03_input[[#This Row],[Forest]]))+1,1)</f>
        <v>#</v>
      </c>
      <c r="D69" s="1">
        <f>IF(aoc_03_input[[#This Row],[CharAtPos1]]="#",1,0)</f>
        <v>1</v>
      </c>
      <c r="E69" s="1">
        <f t="shared" si="6"/>
        <v>68</v>
      </c>
      <c r="F69" s="1" t="str">
        <f>MID(aoc_03_input[[#This Row],[Forest]],MOD(aoc_03_input[[#This Row],[Pos2_1]]-1,LEN(aoc_03_input[[#This Row],[Forest]]))+1,1)</f>
        <v>.</v>
      </c>
      <c r="G69" s="1">
        <f>IF(aoc_03_input[[#This Row],[CharAtPos2_1]]="#",1,0)</f>
        <v>0</v>
      </c>
      <c r="H69" s="1">
        <f t="shared" si="7"/>
        <v>336</v>
      </c>
      <c r="I69" s="1" t="str">
        <f>MID(aoc_03_input[[#This Row],[Forest]],MOD(aoc_03_input[[#This Row],[Pos2_3]]-1,LEN(aoc_03_input[[#This Row],[Forest]]))+1,1)</f>
        <v>.</v>
      </c>
      <c r="J69" s="1">
        <f>IF(aoc_03_input[[#This Row],[CharAtPos2_3]]="#",1,0)</f>
        <v>0</v>
      </c>
      <c r="K69" s="1">
        <f t="shared" si="8"/>
        <v>470</v>
      </c>
      <c r="L69" s="1" t="str">
        <f>MID(aoc_03_input[[#This Row],[Forest]],MOD(aoc_03_input[[#This Row],[Pos2_4]]-1,LEN(aoc_03_input[[#This Row],[Forest]]))+1,1)</f>
        <v>#</v>
      </c>
      <c r="M69" s="1">
        <f>IF(aoc_03_input[[#This Row],[CharAtPos2_4]]="#",1,0)</f>
        <v>1</v>
      </c>
      <c r="N69" s="1">
        <f>MOD(ROW(aoc_03_input[[#This Row],[CountRow2_5]])+1,2)</f>
        <v>0</v>
      </c>
      <c r="O69" s="1">
        <f t="shared" si="4"/>
        <v>34</v>
      </c>
      <c r="P69" s="1" t="str">
        <f>MID(aoc_03_input[[#This Row],[Forest]],MOD(aoc_03_input[[#This Row],[Pos2_5]]-1,LEN(aoc_03_input[[#This Row],[Forest]]))+1,1)</f>
        <v>.</v>
      </c>
      <c r="Q69" s="1">
        <f>IF(AND(aoc_03_input[[#This Row],[CountRow2_5]]=1,aoc_03_input[[#This Row],[CharAtPos2_5]]="#"),1,0)</f>
        <v>0</v>
      </c>
    </row>
    <row r="70" spans="1:17" x14ac:dyDescent="0.45">
      <c r="A70" s="1" t="s">
        <v>1454</v>
      </c>
      <c r="B70" s="1">
        <f t="shared" si="5"/>
        <v>205</v>
      </c>
      <c r="C70" s="1" t="str">
        <f>MID(aoc_03_input[[#This Row],[Forest]],MOD(aoc_03_input[[#This Row],[Pos1]]-1,LEN(aoc_03_input[[#This Row],[Forest]]))+1,1)</f>
        <v>.</v>
      </c>
      <c r="D70" s="1">
        <f>IF(aoc_03_input[[#This Row],[CharAtPos1]]="#",1,0)</f>
        <v>0</v>
      </c>
      <c r="E70" s="1">
        <f t="shared" si="6"/>
        <v>69</v>
      </c>
      <c r="F70" s="1" t="str">
        <f>MID(aoc_03_input[[#This Row],[Forest]],MOD(aoc_03_input[[#This Row],[Pos2_1]]-1,LEN(aoc_03_input[[#This Row],[Forest]]))+1,1)</f>
        <v>.</v>
      </c>
      <c r="G70" s="1">
        <f>IF(aoc_03_input[[#This Row],[CharAtPos2_1]]="#",1,0)</f>
        <v>0</v>
      </c>
      <c r="H70" s="1">
        <f t="shared" si="7"/>
        <v>341</v>
      </c>
      <c r="I70" s="1" t="str">
        <f>MID(aoc_03_input[[#This Row],[Forest]],MOD(aoc_03_input[[#This Row],[Pos2_3]]-1,LEN(aoc_03_input[[#This Row],[Forest]]))+1,1)</f>
        <v>#</v>
      </c>
      <c r="J70" s="1">
        <f>IF(aoc_03_input[[#This Row],[CharAtPos2_3]]="#",1,0)</f>
        <v>1</v>
      </c>
      <c r="K70" s="1">
        <f t="shared" si="8"/>
        <v>477</v>
      </c>
      <c r="L70" s="1" t="str">
        <f>MID(aoc_03_input[[#This Row],[Forest]],MOD(aoc_03_input[[#This Row],[Pos2_4]]-1,LEN(aoc_03_input[[#This Row],[Forest]]))+1,1)</f>
        <v>#</v>
      </c>
      <c r="M70" s="1">
        <f>IF(aoc_03_input[[#This Row],[CharAtPos2_4]]="#",1,0)</f>
        <v>1</v>
      </c>
      <c r="N70" s="1">
        <f>MOD(ROW(aoc_03_input[[#This Row],[CountRow2_5]])+1,2)</f>
        <v>1</v>
      </c>
      <c r="O70" s="1">
        <f t="shared" ref="O70:O133" si="9">O68+1</f>
        <v>35</v>
      </c>
      <c r="P70" s="1" t="str">
        <f>MID(aoc_03_input[[#This Row],[Forest]],MOD(aoc_03_input[[#This Row],[Pos2_5]]-1,LEN(aoc_03_input[[#This Row],[Forest]]))+1,1)</f>
        <v>.</v>
      </c>
      <c r="Q70" s="1">
        <f>IF(AND(aoc_03_input[[#This Row],[CountRow2_5]]=1,aoc_03_input[[#This Row],[CharAtPos2_5]]="#"),1,0)</f>
        <v>0</v>
      </c>
    </row>
    <row r="71" spans="1:17" x14ac:dyDescent="0.45">
      <c r="A71" s="1" t="s">
        <v>1455</v>
      </c>
      <c r="B71" s="1">
        <f t="shared" si="5"/>
        <v>208</v>
      </c>
      <c r="C71" s="1" t="str">
        <f>MID(aoc_03_input[[#This Row],[Forest]],MOD(aoc_03_input[[#This Row],[Pos1]]-1,LEN(aoc_03_input[[#This Row],[Forest]]))+1,1)</f>
        <v>#</v>
      </c>
      <c r="D71" s="1">
        <f>IF(aoc_03_input[[#This Row],[CharAtPos1]]="#",1,0)</f>
        <v>1</v>
      </c>
      <c r="E71" s="1">
        <f t="shared" si="6"/>
        <v>70</v>
      </c>
      <c r="F71" s="1" t="str">
        <f>MID(aoc_03_input[[#This Row],[Forest]],MOD(aoc_03_input[[#This Row],[Pos2_1]]-1,LEN(aoc_03_input[[#This Row],[Forest]]))+1,1)</f>
        <v>.</v>
      </c>
      <c r="G71" s="1">
        <f>IF(aoc_03_input[[#This Row],[CharAtPos2_1]]="#",1,0)</f>
        <v>0</v>
      </c>
      <c r="H71" s="1">
        <f t="shared" si="7"/>
        <v>346</v>
      </c>
      <c r="I71" s="1" t="str">
        <f>MID(aoc_03_input[[#This Row],[Forest]],MOD(aoc_03_input[[#This Row],[Pos2_3]]-1,LEN(aoc_03_input[[#This Row],[Forest]]))+1,1)</f>
        <v>.</v>
      </c>
      <c r="J71" s="1">
        <f>IF(aoc_03_input[[#This Row],[CharAtPos2_3]]="#",1,0)</f>
        <v>0</v>
      </c>
      <c r="K71" s="1">
        <f t="shared" si="8"/>
        <v>484</v>
      </c>
      <c r="L71" s="1" t="str">
        <f>MID(aoc_03_input[[#This Row],[Forest]],MOD(aoc_03_input[[#This Row],[Pos2_4]]-1,LEN(aoc_03_input[[#This Row],[Forest]]))+1,1)</f>
        <v>.</v>
      </c>
      <c r="M71" s="1">
        <f>IF(aoc_03_input[[#This Row],[CharAtPos2_4]]="#",1,0)</f>
        <v>0</v>
      </c>
      <c r="N71" s="1">
        <f>MOD(ROW(aoc_03_input[[#This Row],[CountRow2_5]])+1,2)</f>
        <v>0</v>
      </c>
      <c r="O71" s="1">
        <f t="shared" si="9"/>
        <v>35</v>
      </c>
      <c r="P71" s="1" t="str">
        <f>MID(aoc_03_input[[#This Row],[Forest]],MOD(aoc_03_input[[#This Row],[Pos2_5]]-1,LEN(aoc_03_input[[#This Row],[Forest]]))+1,1)</f>
        <v>.</v>
      </c>
      <c r="Q71" s="1">
        <f>IF(AND(aoc_03_input[[#This Row],[CountRow2_5]]=1,aoc_03_input[[#This Row],[CharAtPos2_5]]="#"),1,0)</f>
        <v>0</v>
      </c>
    </row>
    <row r="72" spans="1:17" x14ac:dyDescent="0.45">
      <c r="A72" s="1" t="s">
        <v>1456</v>
      </c>
      <c r="B72" s="1">
        <f t="shared" si="5"/>
        <v>211</v>
      </c>
      <c r="C72" s="1" t="str">
        <f>MID(aoc_03_input[[#This Row],[Forest]],MOD(aoc_03_input[[#This Row],[Pos1]]-1,LEN(aoc_03_input[[#This Row],[Forest]]))+1,1)</f>
        <v>.</v>
      </c>
      <c r="D72" s="1">
        <f>IF(aoc_03_input[[#This Row],[CharAtPos1]]="#",1,0)</f>
        <v>0</v>
      </c>
      <c r="E72" s="1">
        <f t="shared" si="6"/>
        <v>71</v>
      </c>
      <c r="F72" s="1" t="str">
        <f>MID(aoc_03_input[[#This Row],[Forest]],MOD(aoc_03_input[[#This Row],[Pos2_1]]-1,LEN(aoc_03_input[[#This Row],[Forest]]))+1,1)</f>
        <v>#</v>
      </c>
      <c r="G72" s="1">
        <f>IF(aoc_03_input[[#This Row],[CharAtPos2_1]]="#",1,0)</f>
        <v>1</v>
      </c>
      <c r="H72" s="1">
        <f t="shared" si="7"/>
        <v>351</v>
      </c>
      <c r="I72" s="1" t="str">
        <f>MID(aoc_03_input[[#This Row],[Forest]],MOD(aoc_03_input[[#This Row],[Pos2_3]]-1,LEN(aoc_03_input[[#This Row],[Forest]]))+1,1)</f>
        <v>#</v>
      </c>
      <c r="J72" s="1">
        <f>IF(aoc_03_input[[#This Row],[CharAtPos2_3]]="#",1,0)</f>
        <v>1</v>
      </c>
      <c r="K72" s="1">
        <f t="shared" si="8"/>
        <v>491</v>
      </c>
      <c r="L72" s="1" t="str">
        <f>MID(aoc_03_input[[#This Row],[Forest]],MOD(aoc_03_input[[#This Row],[Pos2_4]]-1,LEN(aoc_03_input[[#This Row],[Forest]]))+1,1)</f>
        <v>#</v>
      </c>
      <c r="M72" s="1">
        <f>IF(aoc_03_input[[#This Row],[CharAtPos2_4]]="#",1,0)</f>
        <v>1</v>
      </c>
      <c r="N72" s="1">
        <f>MOD(ROW(aoc_03_input[[#This Row],[CountRow2_5]])+1,2)</f>
        <v>1</v>
      </c>
      <c r="O72" s="1">
        <f t="shared" si="9"/>
        <v>36</v>
      </c>
      <c r="P72" s="1" t="str">
        <f>MID(aoc_03_input[[#This Row],[Forest]],MOD(aoc_03_input[[#This Row],[Pos2_5]]-1,LEN(aoc_03_input[[#This Row],[Forest]]))+1,1)</f>
        <v>.</v>
      </c>
      <c r="Q72" s="1">
        <f>IF(AND(aoc_03_input[[#This Row],[CountRow2_5]]=1,aoc_03_input[[#This Row],[CharAtPos2_5]]="#"),1,0)</f>
        <v>0</v>
      </c>
    </row>
    <row r="73" spans="1:17" x14ac:dyDescent="0.45">
      <c r="A73" s="1" t="s">
        <v>1457</v>
      </c>
      <c r="B73" s="1">
        <f t="shared" si="5"/>
        <v>214</v>
      </c>
      <c r="C73" s="1" t="str">
        <f>MID(aoc_03_input[[#This Row],[Forest]],MOD(aoc_03_input[[#This Row],[Pos1]]-1,LEN(aoc_03_input[[#This Row],[Forest]]))+1,1)</f>
        <v>.</v>
      </c>
      <c r="D73" s="1">
        <f>IF(aoc_03_input[[#This Row],[CharAtPos1]]="#",1,0)</f>
        <v>0</v>
      </c>
      <c r="E73" s="1">
        <f t="shared" si="6"/>
        <v>72</v>
      </c>
      <c r="F73" s="1" t="str">
        <f>MID(aoc_03_input[[#This Row],[Forest]],MOD(aoc_03_input[[#This Row],[Pos2_1]]-1,LEN(aoc_03_input[[#This Row],[Forest]]))+1,1)</f>
        <v>.</v>
      </c>
      <c r="G73" s="1">
        <f>IF(aoc_03_input[[#This Row],[CharAtPos2_1]]="#",1,0)</f>
        <v>0</v>
      </c>
      <c r="H73" s="1">
        <f t="shared" si="7"/>
        <v>356</v>
      </c>
      <c r="I73" s="1" t="str">
        <f>MID(aoc_03_input[[#This Row],[Forest]],MOD(aoc_03_input[[#This Row],[Pos2_3]]-1,LEN(aoc_03_input[[#This Row],[Forest]]))+1,1)</f>
        <v>.</v>
      </c>
      <c r="J73" s="1">
        <f>IF(aoc_03_input[[#This Row],[CharAtPos2_3]]="#",1,0)</f>
        <v>0</v>
      </c>
      <c r="K73" s="1">
        <f t="shared" si="8"/>
        <v>498</v>
      </c>
      <c r="L73" s="1" t="str">
        <f>MID(aoc_03_input[[#This Row],[Forest]],MOD(aoc_03_input[[#This Row],[Pos2_4]]-1,LEN(aoc_03_input[[#This Row],[Forest]]))+1,1)</f>
        <v>.</v>
      </c>
      <c r="M73" s="1">
        <f>IF(aoc_03_input[[#This Row],[CharAtPos2_4]]="#",1,0)</f>
        <v>0</v>
      </c>
      <c r="N73" s="1">
        <f>MOD(ROW(aoc_03_input[[#This Row],[CountRow2_5]])+1,2)</f>
        <v>0</v>
      </c>
      <c r="O73" s="1">
        <f t="shared" si="9"/>
        <v>36</v>
      </c>
      <c r="P73" s="1" t="str">
        <f>MID(aoc_03_input[[#This Row],[Forest]],MOD(aoc_03_input[[#This Row],[Pos2_5]]-1,LEN(aoc_03_input[[#This Row],[Forest]]))+1,1)</f>
        <v>.</v>
      </c>
      <c r="Q73" s="1">
        <f>IF(AND(aoc_03_input[[#This Row],[CountRow2_5]]=1,aoc_03_input[[#This Row],[CharAtPos2_5]]="#"),1,0)</f>
        <v>0</v>
      </c>
    </row>
    <row r="74" spans="1:17" x14ac:dyDescent="0.45">
      <c r="A74" s="1" t="s">
        <v>1458</v>
      </c>
      <c r="B74" s="1">
        <f t="shared" si="5"/>
        <v>217</v>
      </c>
      <c r="C74" s="1" t="str">
        <f>MID(aoc_03_input[[#This Row],[Forest]],MOD(aoc_03_input[[#This Row],[Pos1]]-1,LEN(aoc_03_input[[#This Row],[Forest]]))+1,1)</f>
        <v>.</v>
      </c>
      <c r="D74" s="1">
        <f>IF(aoc_03_input[[#This Row],[CharAtPos1]]="#",1,0)</f>
        <v>0</v>
      </c>
      <c r="E74" s="1">
        <f t="shared" si="6"/>
        <v>73</v>
      </c>
      <c r="F74" s="1" t="str">
        <f>MID(aoc_03_input[[#This Row],[Forest]],MOD(aoc_03_input[[#This Row],[Pos2_1]]-1,LEN(aoc_03_input[[#This Row],[Forest]]))+1,1)</f>
        <v>.</v>
      </c>
      <c r="G74" s="1">
        <f>IF(aoc_03_input[[#This Row],[CharAtPos2_1]]="#",1,0)</f>
        <v>0</v>
      </c>
      <c r="H74" s="1">
        <f t="shared" si="7"/>
        <v>361</v>
      </c>
      <c r="I74" s="1" t="str">
        <f>MID(aoc_03_input[[#This Row],[Forest]],MOD(aoc_03_input[[#This Row],[Pos2_3]]-1,LEN(aoc_03_input[[#This Row],[Forest]]))+1,1)</f>
        <v>#</v>
      </c>
      <c r="J74" s="1">
        <f>IF(aoc_03_input[[#This Row],[CharAtPos2_3]]="#",1,0)</f>
        <v>1</v>
      </c>
      <c r="K74" s="1">
        <f t="shared" si="8"/>
        <v>505</v>
      </c>
      <c r="L74" s="1" t="str">
        <f>MID(aoc_03_input[[#This Row],[Forest]],MOD(aoc_03_input[[#This Row],[Pos2_4]]-1,LEN(aoc_03_input[[#This Row],[Forest]]))+1,1)</f>
        <v>.</v>
      </c>
      <c r="M74" s="1">
        <f>IF(aoc_03_input[[#This Row],[CharAtPos2_4]]="#",1,0)</f>
        <v>0</v>
      </c>
      <c r="N74" s="1">
        <f>MOD(ROW(aoc_03_input[[#This Row],[CountRow2_5]])+1,2)</f>
        <v>1</v>
      </c>
      <c r="O74" s="1">
        <f t="shared" si="9"/>
        <v>37</v>
      </c>
      <c r="P74" s="1" t="str">
        <f>MID(aoc_03_input[[#This Row],[Forest]],MOD(aoc_03_input[[#This Row],[Pos2_5]]-1,LEN(aoc_03_input[[#This Row],[Forest]]))+1,1)</f>
        <v>#</v>
      </c>
      <c r="Q74" s="1">
        <f>IF(AND(aoc_03_input[[#This Row],[CountRow2_5]]=1,aoc_03_input[[#This Row],[CharAtPos2_5]]="#"),1,0)</f>
        <v>1</v>
      </c>
    </row>
    <row r="75" spans="1:17" x14ac:dyDescent="0.45">
      <c r="A75" s="1" t="s">
        <v>1459</v>
      </c>
      <c r="B75" s="1">
        <f t="shared" si="5"/>
        <v>220</v>
      </c>
      <c r="C75" s="1" t="str">
        <f>MID(aoc_03_input[[#This Row],[Forest]],MOD(aoc_03_input[[#This Row],[Pos1]]-1,LEN(aoc_03_input[[#This Row],[Forest]]))+1,1)</f>
        <v>#</v>
      </c>
      <c r="D75" s="1">
        <f>IF(aoc_03_input[[#This Row],[CharAtPos1]]="#",1,0)</f>
        <v>1</v>
      </c>
      <c r="E75" s="1">
        <f t="shared" si="6"/>
        <v>74</v>
      </c>
      <c r="F75" s="1" t="str">
        <f>MID(aoc_03_input[[#This Row],[Forest]],MOD(aoc_03_input[[#This Row],[Pos2_1]]-1,LEN(aoc_03_input[[#This Row],[Forest]]))+1,1)</f>
        <v>.</v>
      </c>
      <c r="G75" s="1">
        <f>IF(aoc_03_input[[#This Row],[CharAtPos2_1]]="#",1,0)</f>
        <v>0</v>
      </c>
      <c r="H75" s="1">
        <f t="shared" si="7"/>
        <v>366</v>
      </c>
      <c r="I75" s="1" t="str">
        <f>MID(aoc_03_input[[#This Row],[Forest]],MOD(aoc_03_input[[#This Row],[Pos2_3]]-1,LEN(aoc_03_input[[#This Row],[Forest]]))+1,1)</f>
        <v>.</v>
      </c>
      <c r="J75" s="1">
        <f>IF(aoc_03_input[[#This Row],[CharAtPos2_3]]="#",1,0)</f>
        <v>0</v>
      </c>
      <c r="K75" s="1">
        <f t="shared" si="8"/>
        <v>512</v>
      </c>
      <c r="L75" s="1" t="str">
        <f>MID(aoc_03_input[[#This Row],[Forest]],MOD(aoc_03_input[[#This Row],[Pos2_4]]-1,LEN(aoc_03_input[[#This Row],[Forest]]))+1,1)</f>
        <v>.</v>
      </c>
      <c r="M75" s="1">
        <f>IF(aoc_03_input[[#This Row],[CharAtPos2_4]]="#",1,0)</f>
        <v>0</v>
      </c>
      <c r="N75" s="1">
        <f>MOD(ROW(aoc_03_input[[#This Row],[CountRow2_5]])+1,2)</f>
        <v>0</v>
      </c>
      <c r="O75" s="1">
        <f t="shared" si="9"/>
        <v>37</v>
      </c>
      <c r="P75" s="1" t="str">
        <f>MID(aoc_03_input[[#This Row],[Forest]],MOD(aoc_03_input[[#This Row],[Pos2_5]]-1,LEN(aoc_03_input[[#This Row],[Forest]]))+1,1)</f>
        <v>.</v>
      </c>
      <c r="Q75" s="1">
        <f>IF(AND(aoc_03_input[[#This Row],[CountRow2_5]]=1,aoc_03_input[[#This Row],[CharAtPos2_5]]="#"),1,0)</f>
        <v>0</v>
      </c>
    </row>
    <row r="76" spans="1:17" x14ac:dyDescent="0.45">
      <c r="A76" s="1" t="s">
        <v>1460</v>
      </c>
      <c r="B76" s="1">
        <f t="shared" si="5"/>
        <v>223</v>
      </c>
      <c r="C76" s="1" t="str">
        <f>MID(aoc_03_input[[#This Row],[Forest]],MOD(aoc_03_input[[#This Row],[Pos1]]-1,LEN(aoc_03_input[[#This Row],[Forest]]))+1,1)</f>
        <v>#</v>
      </c>
      <c r="D76" s="1">
        <f>IF(aoc_03_input[[#This Row],[CharAtPos1]]="#",1,0)</f>
        <v>1</v>
      </c>
      <c r="E76" s="1">
        <f t="shared" si="6"/>
        <v>75</v>
      </c>
      <c r="F76" s="1" t="str">
        <f>MID(aoc_03_input[[#This Row],[Forest]],MOD(aoc_03_input[[#This Row],[Pos2_1]]-1,LEN(aoc_03_input[[#This Row],[Forest]]))+1,1)</f>
        <v>.</v>
      </c>
      <c r="G76" s="1">
        <f>IF(aoc_03_input[[#This Row],[CharAtPos2_1]]="#",1,0)</f>
        <v>0</v>
      </c>
      <c r="H76" s="1">
        <f t="shared" si="7"/>
        <v>371</v>
      </c>
      <c r="I76" s="1" t="str">
        <f>MID(aoc_03_input[[#This Row],[Forest]],MOD(aoc_03_input[[#This Row],[Pos2_3]]-1,LEN(aoc_03_input[[#This Row],[Forest]]))+1,1)</f>
        <v>.</v>
      </c>
      <c r="J76" s="1">
        <f>IF(aoc_03_input[[#This Row],[CharAtPos2_3]]="#",1,0)</f>
        <v>0</v>
      </c>
      <c r="K76" s="1">
        <f t="shared" si="8"/>
        <v>519</v>
      </c>
      <c r="L76" s="1" t="str">
        <f>MID(aoc_03_input[[#This Row],[Forest]],MOD(aoc_03_input[[#This Row],[Pos2_4]]-1,LEN(aoc_03_input[[#This Row],[Forest]]))+1,1)</f>
        <v>.</v>
      </c>
      <c r="M76" s="1">
        <f>IF(aoc_03_input[[#This Row],[CharAtPos2_4]]="#",1,0)</f>
        <v>0</v>
      </c>
      <c r="N76" s="1">
        <f>MOD(ROW(aoc_03_input[[#This Row],[CountRow2_5]])+1,2)</f>
        <v>1</v>
      </c>
      <c r="O76" s="1">
        <f t="shared" si="9"/>
        <v>38</v>
      </c>
      <c r="P76" s="1" t="str">
        <f>MID(aoc_03_input[[#This Row],[Forest]],MOD(aoc_03_input[[#This Row],[Pos2_5]]-1,LEN(aoc_03_input[[#This Row],[Forest]]))+1,1)</f>
        <v>.</v>
      </c>
      <c r="Q76" s="1">
        <f>IF(AND(aoc_03_input[[#This Row],[CountRow2_5]]=1,aoc_03_input[[#This Row],[CharAtPos2_5]]="#"),1,0)</f>
        <v>0</v>
      </c>
    </row>
    <row r="77" spans="1:17" x14ac:dyDescent="0.45">
      <c r="A77" s="1" t="s">
        <v>1461</v>
      </c>
      <c r="B77" s="1">
        <f t="shared" si="5"/>
        <v>226</v>
      </c>
      <c r="C77" s="1" t="str">
        <f>MID(aoc_03_input[[#This Row],[Forest]],MOD(aoc_03_input[[#This Row],[Pos1]]-1,LEN(aoc_03_input[[#This Row],[Forest]]))+1,1)</f>
        <v>.</v>
      </c>
      <c r="D77" s="1">
        <f>IF(aoc_03_input[[#This Row],[CharAtPos1]]="#",1,0)</f>
        <v>0</v>
      </c>
      <c r="E77" s="1">
        <f t="shared" si="6"/>
        <v>76</v>
      </c>
      <c r="F77" s="1" t="str">
        <f>MID(aoc_03_input[[#This Row],[Forest]],MOD(aoc_03_input[[#This Row],[Pos2_1]]-1,LEN(aoc_03_input[[#This Row],[Forest]]))+1,1)</f>
        <v>#</v>
      </c>
      <c r="G77" s="1">
        <f>IF(aoc_03_input[[#This Row],[CharAtPos2_1]]="#",1,0)</f>
        <v>1</v>
      </c>
      <c r="H77" s="1">
        <f t="shared" si="7"/>
        <v>376</v>
      </c>
      <c r="I77" s="1" t="str">
        <f>MID(aoc_03_input[[#This Row],[Forest]],MOD(aoc_03_input[[#This Row],[Pos2_3]]-1,LEN(aoc_03_input[[#This Row],[Forest]]))+1,1)</f>
        <v>.</v>
      </c>
      <c r="J77" s="1">
        <f>IF(aoc_03_input[[#This Row],[CharAtPos2_3]]="#",1,0)</f>
        <v>0</v>
      </c>
      <c r="K77" s="1">
        <f t="shared" si="8"/>
        <v>526</v>
      </c>
      <c r="L77" s="1" t="str">
        <f>MID(aoc_03_input[[#This Row],[Forest]],MOD(aoc_03_input[[#This Row],[Pos2_4]]-1,LEN(aoc_03_input[[#This Row],[Forest]]))+1,1)</f>
        <v>#</v>
      </c>
      <c r="M77" s="1">
        <f>IF(aoc_03_input[[#This Row],[CharAtPos2_4]]="#",1,0)</f>
        <v>1</v>
      </c>
      <c r="N77" s="1">
        <f>MOD(ROW(aoc_03_input[[#This Row],[CountRow2_5]])+1,2)</f>
        <v>0</v>
      </c>
      <c r="O77" s="1">
        <f t="shared" si="9"/>
        <v>38</v>
      </c>
      <c r="P77" s="1" t="str">
        <f>MID(aoc_03_input[[#This Row],[Forest]],MOD(aoc_03_input[[#This Row],[Pos2_5]]-1,LEN(aoc_03_input[[#This Row],[Forest]]))+1,1)</f>
        <v>.</v>
      </c>
      <c r="Q77" s="1">
        <f>IF(AND(aoc_03_input[[#This Row],[CountRow2_5]]=1,aoc_03_input[[#This Row],[CharAtPos2_5]]="#"),1,0)</f>
        <v>0</v>
      </c>
    </row>
    <row r="78" spans="1:17" x14ac:dyDescent="0.45">
      <c r="A78" s="1" t="s">
        <v>1462</v>
      </c>
      <c r="B78" s="1">
        <f t="shared" si="5"/>
        <v>229</v>
      </c>
      <c r="C78" s="1" t="str">
        <f>MID(aoc_03_input[[#This Row],[Forest]],MOD(aoc_03_input[[#This Row],[Pos1]]-1,LEN(aoc_03_input[[#This Row],[Forest]]))+1,1)</f>
        <v>.</v>
      </c>
      <c r="D78" s="1">
        <f>IF(aoc_03_input[[#This Row],[CharAtPos1]]="#",1,0)</f>
        <v>0</v>
      </c>
      <c r="E78" s="1">
        <f t="shared" si="6"/>
        <v>77</v>
      </c>
      <c r="F78" s="1" t="str">
        <f>MID(aoc_03_input[[#This Row],[Forest]],MOD(aoc_03_input[[#This Row],[Pos2_1]]-1,LEN(aoc_03_input[[#This Row],[Forest]]))+1,1)</f>
        <v>#</v>
      </c>
      <c r="G78" s="1">
        <f>IF(aoc_03_input[[#This Row],[CharAtPos2_1]]="#",1,0)</f>
        <v>1</v>
      </c>
      <c r="H78" s="1">
        <f t="shared" si="7"/>
        <v>381</v>
      </c>
      <c r="I78" s="1" t="str">
        <f>MID(aoc_03_input[[#This Row],[Forest]],MOD(aoc_03_input[[#This Row],[Pos2_3]]-1,LEN(aoc_03_input[[#This Row],[Forest]]))+1,1)</f>
        <v>.</v>
      </c>
      <c r="J78" s="1">
        <f>IF(aoc_03_input[[#This Row],[CharAtPos2_3]]="#",1,0)</f>
        <v>0</v>
      </c>
      <c r="K78" s="1">
        <f t="shared" si="8"/>
        <v>533</v>
      </c>
      <c r="L78" s="1" t="str">
        <f>MID(aoc_03_input[[#This Row],[Forest]],MOD(aoc_03_input[[#This Row],[Pos2_4]]-1,LEN(aoc_03_input[[#This Row],[Forest]]))+1,1)</f>
        <v>.</v>
      </c>
      <c r="M78" s="1">
        <f>IF(aoc_03_input[[#This Row],[CharAtPos2_4]]="#",1,0)</f>
        <v>0</v>
      </c>
      <c r="N78" s="1">
        <f>MOD(ROW(aoc_03_input[[#This Row],[CountRow2_5]])+1,2)</f>
        <v>1</v>
      </c>
      <c r="O78" s="1">
        <f t="shared" si="9"/>
        <v>39</v>
      </c>
      <c r="P78" s="1" t="str">
        <f>MID(aoc_03_input[[#This Row],[Forest]],MOD(aoc_03_input[[#This Row],[Pos2_5]]-1,LEN(aoc_03_input[[#This Row],[Forest]]))+1,1)</f>
        <v>.</v>
      </c>
      <c r="Q78" s="1">
        <f>IF(AND(aoc_03_input[[#This Row],[CountRow2_5]]=1,aoc_03_input[[#This Row],[CharAtPos2_5]]="#"),1,0)</f>
        <v>0</v>
      </c>
    </row>
    <row r="79" spans="1:17" x14ac:dyDescent="0.45">
      <c r="A79" s="1" t="s">
        <v>1463</v>
      </c>
      <c r="B79" s="1">
        <f t="shared" si="5"/>
        <v>232</v>
      </c>
      <c r="C79" s="1" t="str">
        <f>MID(aoc_03_input[[#This Row],[Forest]],MOD(aoc_03_input[[#This Row],[Pos1]]-1,LEN(aoc_03_input[[#This Row],[Forest]]))+1,1)</f>
        <v>.</v>
      </c>
      <c r="D79" s="1">
        <f>IF(aoc_03_input[[#This Row],[CharAtPos1]]="#",1,0)</f>
        <v>0</v>
      </c>
      <c r="E79" s="1">
        <f t="shared" si="6"/>
        <v>78</v>
      </c>
      <c r="F79" s="1" t="str">
        <f>MID(aoc_03_input[[#This Row],[Forest]],MOD(aoc_03_input[[#This Row],[Pos2_1]]-1,LEN(aoc_03_input[[#This Row],[Forest]]))+1,1)</f>
        <v>.</v>
      </c>
      <c r="G79" s="1">
        <f>IF(aoc_03_input[[#This Row],[CharAtPos2_1]]="#",1,0)</f>
        <v>0</v>
      </c>
      <c r="H79" s="1">
        <f t="shared" si="7"/>
        <v>386</v>
      </c>
      <c r="I79" s="1" t="str">
        <f>MID(aoc_03_input[[#This Row],[Forest]],MOD(aoc_03_input[[#This Row],[Pos2_3]]-1,LEN(aoc_03_input[[#This Row],[Forest]]))+1,1)</f>
        <v>#</v>
      </c>
      <c r="J79" s="1">
        <f>IF(aoc_03_input[[#This Row],[CharAtPos2_3]]="#",1,0)</f>
        <v>1</v>
      </c>
      <c r="K79" s="1">
        <f t="shared" si="8"/>
        <v>540</v>
      </c>
      <c r="L79" s="1" t="str">
        <f>MID(aoc_03_input[[#This Row],[Forest]],MOD(aoc_03_input[[#This Row],[Pos2_4]]-1,LEN(aoc_03_input[[#This Row],[Forest]]))+1,1)</f>
        <v>.</v>
      </c>
      <c r="M79" s="1">
        <f>IF(aoc_03_input[[#This Row],[CharAtPos2_4]]="#",1,0)</f>
        <v>0</v>
      </c>
      <c r="N79" s="1">
        <f>MOD(ROW(aoc_03_input[[#This Row],[CountRow2_5]])+1,2)</f>
        <v>0</v>
      </c>
      <c r="O79" s="1">
        <f t="shared" si="9"/>
        <v>39</v>
      </c>
      <c r="P79" s="1" t="str">
        <f>MID(aoc_03_input[[#This Row],[Forest]],MOD(aoc_03_input[[#This Row],[Pos2_5]]-1,LEN(aoc_03_input[[#This Row],[Forest]]))+1,1)</f>
        <v>.</v>
      </c>
      <c r="Q79" s="1">
        <f>IF(AND(aoc_03_input[[#This Row],[CountRow2_5]]=1,aoc_03_input[[#This Row],[CharAtPos2_5]]="#"),1,0)</f>
        <v>0</v>
      </c>
    </row>
    <row r="80" spans="1:17" x14ac:dyDescent="0.45">
      <c r="A80" s="1" t="s">
        <v>1464</v>
      </c>
      <c r="B80" s="1">
        <f t="shared" si="5"/>
        <v>235</v>
      </c>
      <c r="C80" s="1" t="str">
        <f>MID(aoc_03_input[[#This Row],[Forest]],MOD(aoc_03_input[[#This Row],[Pos1]]-1,LEN(aoc_03_input[[#This Row],[Forest]]))+1,1)</f>
        <v>.</v>
      </c>
      <c r="D80" s="1">
        <f>IF(aoc_03_input[[#This Row],[CharAtPos1]]="#",1,0)</f>
        <v>0</v>
      </c>
      <c r="E80" s="1">
        <f t="shared" si="6"/>
        <v>79</v>
      </c>
      <c r="F80" s="1" t="str">
        <f>MID(aoc_03_input[[#This Row],[Forest]],MOD(aoc_03_input[[#This Row],[Pos2_1]]-1,LEN(aoc_03_input[[#This Row],[Forest]]))+1,1)</f>
        <v>.</v>
      </c>
      <c r="G80" s="1">
        <f>IF(aoc_03_input[[#This Row],[CharAtPos2_1]]="#",1,0)</f>
        <v>0</v>
      </c>
      <c r="H80" s="1">
        <f t="shared" si="7"/>
        <v>391</v>
      </c>
      <c r="I80" s="1" t="str">
        <f>MID(aoc_03_input[[#This Row],[Forest]],MOD(aoc_03_input[[#This Row],[Pos2_3]]-1,LEN(aoc_03_input[[#This Row],[Forest]]))+1,1)</f>
        <v>.</v>
      </c>
      <c r="J80" s="1">
        <f>IF(aoc_03_input[[#This Row],[CharAtPos2_3]]="#",1,0)</f>
        <v>0</v>
      </c>
      <c r="K80" s="1">
        <f t="shared" si="8"/>
        <v>547</v>
      </c>
      <c r="L80" s="1" t="str">
        <f>MID(aoc_03_input[[#This Row],[Forest]],MOD(aoc_03_input[[#This Row],[Pos2_4]]-1,LEN(aoc_03_input[[#This Row],[Forest]]))+1,1)</f>
        <v>.</v>
      </c>
      <c r="M80" s="1">
        <f>IF(aoc_03_input[[#This Row],[CharAtPos2_4]]="#",1,0)</f>
        <v>0</v>
      </c>
      <c r="N80" s="1">
        <f>MOD(ROW(aoc_03_input[[#This Row],[CountRow2_5]])+1,2)</f>
        <v>1</v>
      </c>
      <c r="O80" s="1">
        <f t="shared" si="9"/>
        <v>40</v>
      </c>
      <c r="P80" s="1" t="str">
        <f>MID(aoc_03_input[[#This Row],[Forest]],MOD(aoc_03_input[[#This Row],[Pos2_5]]-1,LEN(aoc_03_input[[#This Row],[Forest]]))+1,1)</f>
        <v>.</v>
      </c>
      <c r="Q80" s="1">
        <f>IF(AND(aoc_03_input[[#This Row],[CountRow2_5]]=1,aoc_03_input[[#This Row],[CharAtPos2_5]]="#"),1,0)</f>
        <v>0</v>
      </c>
    </row>
    <row r="81" spans="1:17" x14ac:dyDescent="0.45">
      <c r="A81" s="1" t="s">
        <v>1465</v>
      </c>
      <c r="B81" s="1">
        <f t="shared" si="5"/>
        <v>238</v>
      </c>
      <c r="C81" s="1" t="str">
        <f>MID(aoc_03_input[[#This Row],[Forest]],MOD(aoc_03_input[[#This Row],[Pos1]]-1,LEN(aoc_03_input[[#This Row],[Forest]]))+1,1)</f>
        <v>.</v>
      </c>
      <c r="D81" s="1">
        <f>IF(aoc_03_input[[#This Row],[CharAtPos1]]="#",1,0)</f>
        <v>0</v>
      </c>
      <c r="E81" s="1">
        <f t="shared" si="6"/>
        <v>80</v>
      </c>
      <c r="F81" s="1" t="str">
        <f>MID(aoc_03_input[[#This Row],[Forest]],MOD(aoc_03_input[[#This Row],[Pos2_1]]-1,LEN(aoc_03_input[[#This Row],[Forest]]))+1,1)</f>
        <v>.</v>
      </c>
      <c r="G81" s="1">
        <f>IF(aoc_03_input[[#This Row],[CharAtPos2_1]]="#",1,0)</f>
        <v>0</v>
      </c>
      <c r="H81" s="1">
        <f t="shared" si="7"/>
        <v>396</v>
      </c>
      <c r="I81" s="1" t="str">
        <f>MID(aoc_03_input[[#This Row],[Forest]],MOD(aoc_03_input[[#This Row],[Pos2_3]]-1,LEN(aoc_03_input[[#This Row],[Forest]]))+1,1)</f>
        <v>#</v>
      </c>
      <c r="J81" s="1">
        <f>IF(aoc_03_input[[#This Row],[CharAtPos2_3]]="#",1,0)</f>
        <v>1</v>
      </c>
      <c r="K81" s="1">
        <f t="shared" si="8"/>
        <v>554</v>
      </c>
      <c r="L81" s="1" t="str">
        <f>MID(aoc_03_input[[#This Row],[Forest]],MOD(aoc_03_input[[#This Row],[Pos2_4]]-1,LEN(aoc_03_input[[#This Row],[Forest]]))+1,1)</f>
        <v>.</v>
      </c>
      <c r="M81" s="1">
        <f>IF(aoc_03_input[[#This Row],[CharAtPos2_4]]="#",1,0)</f>
        <v>0</v>
      </c>
      <c r="N81" s="1">
        <f>MOD(ROW(aoc_03_input[[#This Row],[CountRow2_5]])+1,2)</f>
        <v>0</v>
      </c>
      <c r="O81" s="1">
        <f t="shared" si="9"/>
        <v>40</v>
      </c>
      <c r="P81" s="1" t="str">
        <f>MID(aoc_03_input[[#This Row],[Forest]],MOD(aoc_03_input[[#This Row],[Pos2_5]]-1,LEN(aoc_03_input[[#This Row],[Forest]]))+1,1)</f>
        <v>#</v>
      </c>
      <c r="Q81" s="1">
        <f>IF(AND(aoc_03_input[[#This Row],[CountRow2_5]]=1,aoc_03_input[[#This Row],[CharAtPos2_5]]="#"),1,0)</f>
        <v>0</v>
      </c>
    </row>
    <row r="82" spans="1:17" x14ac:dyDescent="0.45">
      <c r="A82" s="1" t="s">
        <v>1466</v>
      </c>
      <c r="B82" s="1">
        <f t="shared" si="5"/>
        <v>241</v>
      </c>
      <c r="C82" s="1" t="str">
        <f>MID(aoc_03_input[[#This Row],[Forest]],MOD(aoc_03_input[[#This Row],[Pos1]]-1,LEN(aoc_03_input[[#This Row],[Forest]]))+1,1)</f>
        <v>.</v>
      </c>
      <c r="D82" s="1">
        <f>IF(aoc_03_input[[#This Row],[CharAtPos1]]="#",1,0)</f>
        <v>0</v>
      </c>
      <c r="E82" s="1">
        <f t="shared" si="6"/>
        <v>81</v>
      </c>
      <c r="F82" s="1" t="str">
        <f>MID(aoc_03_input[[#This Row],[Forest]],MOD(aoc_03_input[[#This Row],[Pos2_1]]-1,LEN(aoc_03_input[[#This Row],[Forest]]))+1,1)</f>
        <v>.</v>
      </c>
      <c r="G82" s="1">
        <f>IF(aoc_03_input[[#This Row],[CharAtPos2_1]]="#",1,0)</f>
        <v>0</v>
      </c>
      <c r="H82" s="1">
        <f t="shared" si="7"/>
        <v>401</v>
      </c>
      <c r="I82" s="1" t="str">
        <f>MID(aoc_03_input[[#This Row],[Forest]],MOD(aoc_03_input[[#This Row],[Pos2_3]]-1,LEN(aoc_03_input[[#This Row],[Forest]]))+1,1)</f>
        <v>.</v>
      </c>
      <c r="J82" s="1">
        <f>IF(aoc_03_input[[#This Row],[CharAtPos2_3]]="#",1,0)</f>
        <v>0</v>
      </c>
      <c r="K82" s="1">
        <f t="shared" si="8"/>
        <v>561</v>
      </c>
      <c r="L82" s="1" t="str">
        <f>MID(aoc_03_input[[#This Row],[Forest]],MOD(aoc_03_input[[#This Row],[Pos2_4]]-1,LEN(aoc_03_input[[#This Row],[Forest]]))+1,1)</f>
        <v>.</v>
      </c>
      <c r="M82" s="1">
        <f>IF(aoc_03_input[[#This Row],[CharAtPos2_4]]="#",1,0)</f>
        <v>0</v>
      </c>
      <c r="N82" s="1">
        <f>MOD(ROW(aoc_03_input[[#This Row],[CountRow2_5]])+1,2)</f>
        <v>1</v>
      </c>
      <c r="O82" s="1">
        <f t="shared" si="9"/>
        <v>41</v>
      </c>
      <c r="P82" s="1" t="str">
        <f>MID(aoc_03_input[[#This Row],[Forest]],MOD(aoc_03_input[[#This Row],[Pos2_5]]-1,LEN(aoc_03_input[[#This Row],[Forest]]))+1,1)</f>
        <v>.</v>
      </c>
      <c r="Q82" s="1">
        <f>IF(AND(aoc_03_input[[#This Row],[CountRow2_5]]=1,aoc_03_input[[#This Row],[CharAtPos2_5]]="#"),1,0)</f>
        <v>0</v>
      </c>
    </row>
    <row r="83" spans="1:17" x14ac:dyDescent="0.45">
      <c r="A83" s="1" t="s">
        <v>1467</v>
      </c>
      <c r="B83" s="1">
        <f t="shared" si="5"/>
        <v>244</v>
      </c>
      <c r="C83" s="1" t="str">
        <f>MID(aoc_03_input[[#This Row],[Forest]],MOD(aoc_03_input[[#This Row],[Pos1]]-1,LEN(aoc_03_input[[#This Row],[Forest]]))+1,1)</f>
        <v>.</v>
      </c>
      <c r="D83" s="1">
        <f>IF(aoc_03_input[[#This Row],[CharAtPos1]]="#",1,0)</f>
        <v>0</v>
      </c>
      <c r="E83" s="1">
        <f t="shared" si="6"/>
        <v>82</v>
      </c>
      <c r="F83" s="1" t="str">
        <f>MID(aoc_03_input[[#This Row],[Forest]],MOD(aoc_03_input[[#This Row],[Pos2_1]]-1,LEN(aoc_03_input[[#This Row],[Forest]]))+1,1)</f>
        <v>.</v>
      </c>
      <c r="G83" s="1">
        <f>IF(aoc_03_input[[#This Row],[CharAtPos2_1]]="#",1,0)</f>
        <v>0</v>
      </c>
      <c r="H83" s="1">
        <f t="shared" si="7"/>
        <v>406</v>
      </c>
      <c r="I83" s="1" t="str">
        <f>MID(aoc_03_input[[#This Row],[Forest]],MOD(aoc_03_input[[#This Row],[Pos2_3]]-1,LEN(aoc_03_input[[#This Row],[Forest]]))+1,1)</f>
        <v>#</v>
      </c>
      <c r="J83" s="1">
        <f>IF(aoc_03_input[[#This Row],[CharAtPos2_3]]="#",1,0)</f>
        <v>1</v>
      </c>
      <c r="K83" s="1">
        <f t="shared" si="8"/>
        <v>568</v>
      </c>
      <c r="L83" s="1" t="str">
        <f>MID(aoc_03_input[[#This Row],[Forest]],MOD(aoc_03_input[[#This Row],[Pos2_4]]-1,LEN(aoc_03_input[[#This Row],[Forest]]))+1,1)</f>
        <v>.</v>
      </c>
      <c r="M83" s="1">
        <f>IF(aoc_03_input[[#This Row],[CharAtPos2_4]]="#",1,0)</f>
        <v>0</v>
      </c>
      <c r="N83" s="1">
        <f>MOD(ROW(aoc_03_input[[#This Row],[CountRow2_5]])+1,2)</f>
        <v>0</v>
      </c>
      <c r="O83" s="1">
        <f t="shared" si="9"/>
        <v>41</v>
      </c>
      <c r="P83" s="1" t="str">
        <f>MID(aoc_03_input[[#This Row],[Forest]],MOD(aoc_03_input[[#This Row],[Pos2_5]]-1,LEN(aoc_03_input[[#This Row],[Forest]]))+1,1)</f>
        <v>.</v>
      </c>
      <c r="Q83" s="1">
        <f>IF(AND(aoc_03_input[[#This Row],[CountRow2_5]]=1,aoc_03_input[[#This Row],[CharAtPos2_5]]="#"),1,0)</f>
        <v>0</v>
      </c>
    </row>
    <row r="84" spans="1:17" x14ac:dyDescent="0.45">
      <c r="A84" s="1" t="s">
        <v>1468</v>
      </c>
      <c r="B84" s="1">
        <f t="shared" si="5"/>
        <v>247</v>
      </c>
      <c r="C84" s="1" t="str">
        <f>MID(aoc_03_input[[#This Row],[Forest]],MOD(aoc_03_input[[#This Row],[Pos1]]-1,LEN(aoc_03_input[[#This Row],[Forest]]))+1,1)</f>
        <v>.</v>
      </c>
      <c r="D84" s="1">
        <f>IF(aoc_03_input[[#This Row],[CharAtPos1]]="#",1,0)</f>
        <v>0</v>
      </c>
      <c r="E84" s="1">
        <f t="shared" si="6"/>
        <v>83</v>
      </c>
      <c r="F84" s="1" t="str">
        <f>MID(aoc_03_input[[#This Row],[Forest]],MOD(aoc_03_input[[#This Row],[Pos2_1]]-1,LEN(aoc_03_input[[#This Row],[Forest]]))+1,1)</f>
        <v>.</v>
      </c>
      <c r="G84" s="1">
        <f>IF(aoc_03_input[[#This Row],[CharAtPos2_1]]="#",1,0)</f>
        <v>0</v>
      </c>
      <c r="H84" s="1">
        <f t="shared" si="7"/>
        <v>411</v>
      </c>
      <c r="I84" s="1" t="str">
        <f>MID(aoc_03_input[[#This Row],[Forest]],MOD(aoc_03_input[[#This Row],[Pos2_3]]-1,LEN(aoc_03_input[[#This Row],[Forest]]))+1,1)</f>
        <v>.</v>
      </c>
      <c r="J84" s="1">
        <f>IF(aoc_03_input[[#This Row],[CharAtPos2_3]]="#",1,0)</f>
        <v>0</v>
      </c>
      <c r="K84" s="1">
        <f t="shared" si="8"/>
        <v>575</v>
      </c>
      <c r="L84" s="1" t="str">
        <f>MID(aoc_03_input[[#This Row],[Forest]],MOD(aoc_03_input[[#This Row],[Pos2_4]]-1,LEN(aoc_03_input[[#This Row],[Forest]]))+1,1)</f>
        <v>.</v>
      </c>
      <c r="M84" s="1">
        <f>IF(aoc_03_input[[#This Row],[CharAtPos2_4]]="#",1,0)</f>
        <v>0</v>
      </c>
      <c r="N84" s="1">
        <f>MOD(ROW(aoc_03_input[[#This Row],[CountRow2_5]])+1,2)</f>
        <v>1</v>
      </c>
      <c r="O84" s="1">
        <f t="shared" si="9"/>
        <v>42</v>
      </c>
      <c r="P84" s="1" t="str">
        <f>MID(aoc_03_input[[#This Row],[Forest]],MOD(aoc_03_input[[#This Row],[Pos2_5]]-1,LEN(aoc_03_input[[#This Row],[Forest]]))+1,1)</f>
        <v>.</v>
      </c>
      <c r="Q84" s="1">
        <f>IF(AND(aoc_03_input[[#This Row],[CountRow2_5]]=1,aoc_03_input[[#This Row],[CharAtPos2_5]]="#"),1,0)</f>
        <v>0</v>
      </c>
    </row>
    <row r="85" spans="1:17" x14ac:dyDescent="0.45">
      <c r="A85" s="1" t="s">
        <v>1469</v>
      </c>
      <c r="B85" s="1">
        <f t="shared" si="5"/>
        <v>250</v>
      </c>
      <c r="C85" s="1" t="str">
        <f>MID(aoc_03_input[[#This Row],[Forest]],MOD(aoc_03_input[[#This Row],[Pos1]]-1,LEN(aoc_03_input[[#This Row],[Forest]]))+1,1)</f>
        <v>#</v>
      </c>
      <c r="D85" s="1">
        <f>IF(aoc_03_input[[#This Row],[CharAtPos1]]="#",1,0)</f>
        <v>1</v>
      </c>
      <c r="E85" s="1">
        <f t="shared" si="6"/>
        <v>84</v>
      </c>
      <c r="F85" s="1" t="str">
        <f>MID(aoc_03_input[[#This Row],[Forest]],MOD(aoc_03_input[[#This Row],[Pos2_1]]-1,LEN(aoc_03_input[[#This Row],[Forest]]))+1,1)</f>
        <v>.</v>
      </c>
      <c r="G85" s="1">
        <f>IF(aoc_03_input[[#This Row],[CharAtPos2_1]]="#",1,0)</f>
        <v>0</v>
      </c>
      <c r="H85" s="1">
        <f t="shared" si="7"/>
        <v>416</v>
      </c>
      <c r="I85" s="1" t="str">
        <f>MID(aoc_03_input[[#This Row],[Forest]],MOD(aoc_03_input[[#This Row],[Pos2_3]]-1,LEN(aoc_03_input[[#This Row],[Forest]]))+1,1)</f>
        <v>#</v>
      </c>
      <c r="J85" s="1">
        <f>IF(aoc_03_input[[#This Row],[CharAtPos2_3]]="#",1,0)</f>
        <v>1</v>
      </c>
      <c r="K85" s="1">
        <f t="shared" si="8"/>
        <v>582</v>
      </c>
      <c r="L85" s="1" t="str">
        <f>MID(aoc_03_input[[#This Row],[Forest]],MOD(aoc_03_input[[#This Row],[Pos2_4]]-1,LEN(aoc_03_input[[#This Row],[Forest]]))+1,1)</f>
        <v>.</v>
      </c>
      <c r="M85" s="1">
        <f>IF(aoc_03_input[[#This Row],[CharAtPos2_4]]="#",1,0)</f>
        <v>0</v>
      </c>
      <c r="N85" s="1">
        <f>MOD(ROW(aoc_03_input[[#This Row],[CountRow2_5]])+1,2)</f>
        <v>0</v>
      </c>
      <c r="O85" s="1">
        <f t="shared" si="9"/>
        <v>42</v>
      </c>
      <c r="P85" s="1" t="str">
        <f>MID(aoc_03_input[[#This Row],[Forest]],MOD(aoc_03_input[[#This Row],[Pos2_5]]-1,LEN(aoc_03_input[[#This Row],[Forest]]))+1,1)</f>
        <v>#</v>
      </c>
      <c r="Q85" s="1">
        <f>IF(AND(aoc_03_input[[#This Row],[CountRow2_5]]=1,aoc_03_input[[#This Row],[CharAtPos2_5]]="#"),1,0)</f>
        <v>0</v>
      </c>
    </row>
    <row r="86" spans="1:17" x14ac:dyDescent="0.45">
      <c r="A86" s="1" t="s">
        <v>1470</v>
      </c>
      <c r="B86" s="1">
        <f t="shared" si="5"/>
        <v>253</v>
      </c>
      <c r="C86" s="1" t="str">
        <f>MID(aoc_03_input[[#This Row],[Forest]],MOD(aoc_03_input[[#This Row],[Pos1]]-1,LEN(aoc_03_input[[#This Row],[Forest]]))+1,1)</f>
        <v>.</v>
      </c>
      <c r="D86" s="1">
        <f>IF(aoc_03_input[[#This Row],[CharAtPos1]]="#",1,0)</f>
        <v>0</v>
      </c>
      <c r="E86" s="1">
        <f t="shared" si="6"/>
        <v>85</v>
      </c>
      <c r="F86" s="1" t="str">
        <f>MID(aoc_03_input[[#This Row],[Forest]],MOD(aoc_03_input[[#This Row],[Pos2_1]]-1,LEN(aoc_03_input[[#This Row],[Forest]]))+1,1)</f>
        <v>#</v>
      </c>
      <c r="G86" s="1">
        <f>IF(aoc_03_input[[#This Row],[CharAtPos2_1]]="#",1,0)</f>
        <v>1</v>
      </c>
      <c r="H86" s="1">
        <f t="shared" si="7"/>
        <v>421</v>
      </c>
      <c r="I86" s="1" t="str">
        <f>MID(aoc_03_input[[#This Row],[Forest]],MOD(aoc_03_input[[#This Row],[Pos2_3]]-1,LEN(aoc_03_input[[#This Row],[Forest]]))+1,1)</f>
        <v>.</v>
      </c>
      <c r="J86" s="1">
        <f>IF(aoc_03_input[[#This Row],[CharAtPos2_3]]="#",1,0)</f>
        <v>0</v>
      </c>
      <c r="K86" s="1">
        <f t="shared" si="8"/>
        <v>589</v>
      </c>
      <c r="L86" s="1" t="str">
        <f>MID(aoc_03_input[[#This Row],[Forest]],MOD(aoc_03_input[[#This Row],[Pos2_4]]-1,LEN(aoc_03_input[[#This Row],[Forest]]))+1,1)</f>
        <v>#</v>
      </c>
      <c r="M86" s="1">
        <f>IF(aoc_03_input[[#This Row],[CharAtPos2_4]]="#",1,0)</f>
        <v>1</v>
      </c>
      <c r="N86" s="1">
        <f>MOD(ROW(aoc_03_input[[#This Row],[CountRow2_5]])+1,2)</f>
        <v>1</v>
      </c>
      <c r="O86" s="1">
        <f t="shared" si="9"/>
        <v>43</v>
      </c>
      <c r="P86" s="1" t="str">
        <f>MID(aoc_03_input[[#This Row],[Forest]],MOD(aoc_03_input[[#This Row],[Pos2_5]]-1,LEN(aoc_03_input[[#This Row],[Forest]]))+1,1)</f>
        <v>.</v>
      </c>
      <c r="Q86" s="1">
        <f>IF(AND(aoc_03_input[[#This Row],[CountRow2_5]]=1,aoc_03_input[[#This Row],[CharAtPos2_5]]="#"),1,0)</f>
        <v>0</v>
      </c>
    </row>
    <row r="87" spans="1:17" x14ac:dyDescent="0.45">
      <c r="A87" s="1" t="s">
        <v>1471</v>
      </c>
      <c r="B87" s="1">
        <f t="shared" si="5"/>
        <v>256</v>
      </c>
      <c r="C87" s="1" t="str">
        <f>MID(aoc_03_input[[#This Row],[Forest]],MOD(aoc_03_input[[#This Row],[Pos1]]-1,LEN(aoc_03_input[[#This Row],[Forest]]))+1,1)</f>
        <v>#</v>
      </c>
      <c r="D87" s="1">
        <f>IF(aoc_03_input[[#This Row],[CharAtPos1]]="#",1,0)</f>
        <v>1</v>
      </c>
      <c r="E87" s="1">
        <f t="shared" si="6"/>
        <v>86</v>
      </c>
      <c r="F87" s="1" t="str">
        <f>MID(aoc_03_input[[#This Row],[Forest]],MOD(aoc_03_input[[#This Row],[Pos2_1]]-1,LEN(aoc_03_input[[#This Row],[Forest]]))+1,1)</f>
        <v>.</v>
      </c>
      <c r="G87" s="1">
        <f>IF(aoc_03_input[[#This Row],[CharAtPos2_1]]="#",1,0)</f>
        <v>0</v>
      </c>
      <c r="H87" s="1">
        <f t="shared" si="7"/>
        <v>426</v>
      </c>
      <c r="I87" s="1" t="str">
        <f>MID(aoc_03_input[[#This Row],[Forest]],MOD(aoc_03_input[[#This Row],[Pos2_3]]-1,LEN(aoc_03_input[[#This Row],[Forest]]))+1,1)</f>
        <v>.</v>
      </c>
      <c r="J87" s="1">
        <f>IF(aoc_03_input[[#This Row],[CharAtPos2_3]]="#",1,0)</f>
        <v>0</v>
      </c>
      <c r="K87" s="1">
        <f t="shared" si="8"/>
        <v>596</v>
      </c>
      <c r="L87" s="1" t="str">
        <f>MID(aoc_03_input[[#This Row],[Forest]],MOD(aoc_03_input[[#This Row],[Pos2_4]]-1,LEN(aoc_03_input[[#This Row],[Forest]]))+1,1)</f>
        <v>.</v>
      </c>
      <c r="M87" s="1">
        <f>IF(aoc_03_input[[#This Row],[CharAtPos2_4]]="#",1,0)</f>
        <v>0</v>
      </c>
      <c r="N87" s="1">
        <f>MOD(ROW(aoc_03_input[[#This Row],[CountRow2_5]])+1,2)</f>
        <v>0</v>
      </c>
      <c r="O87" s="1">
        <f t="shared" si="9"/>
        <v>43</v>
      </c>
      <c r="P87" s="1" t="str">
        <f>MID(aoc_03_input[[#This Row],[Forest]],MOD(aoc_03_input[[#This Row],[Pos2_5]]-1,LEN(aoc_03_input[[#This Row],[Forest]]))+1,1)</f>
        <v>.</v>
      </c>
      <c r="Q87" s="1">
        <f>IF(AND(aoc_03_input[[#This Row],[CountRow2_5]]=1,aoc_03_input[[#This Row],[CharAtPos2_5]]="#"),1,0)</f>
        <v>0</v>
      </c>
    </row>
    <row r="88" spans="1:17" x14ac:dyDescent="0.45">
      <c r="A88" s="1" t="s">
        <v>1472</v>
      </c>
      <c r="B88" s="1">
        <f t="shared" si="5"/>
        <v>259</v>
      </c>
      <c r="C88" s="1" t="str">
        <f>MID(aoc_03_input[[#This Row],[Forest]],MOD(aoc_03_input[[#This Row],[Pos1]]-1,LEN(aoc_03_input[[#This Row],[Forest]]))+1,1)</f>
        <v>.</v>
      </c>
      <c r="D88" s="1">
        <f>IF(aoc_03_input[[#This Row],[CharAtPos1]]="#",1,0)</f>
        <v>0</v>
      </c>
      <c r="E88" s="1">
        <f t="shared" si="6"/>
        <v>87</v>
      </c>
      <c r="F88" s="1" t="str">
        <f>MID(aoc_03_input[[#This Row],[Forest]],MOD(aoc_03_input[[#This Row],[Pos2_1]]-1,LEN(aoc_03_input[[#This Row],[Forest]]))+1,1)</f>
        <v>.</v>
      </c>
      <c r="G88" s="1">
        <f>IF(aoc_03_input[[#This Row],[CharAtPos2_1]]="#",1,0)</f>
        <v>0</v>
      </c>
      <c r="H88" s="1">
        <f t="shared" si="7"/>
        <v>431</v>
      </c>
      <c r="I88" s="1" t="str">
        <f>MID(aoc_03_input[[#This Row],[Forest]],MOD(aoc_03_input[[#This Row],[Pos2_3]]-1,LEN(aoc_03_input[[#This Row],[Forest]]))+1,1)</f>
        <v>#</v>
      </c>
      <c r="J88" s="1">
        <f>IF(aoc_03_input[[#This Row],[CharAtPos2_3]]="#",1,0)</f>
        <v>1</v>
      </c>
      <c r="K88" s="1">
        <f t="shared" si="8"/>
        <v>603</v>
      </c>
      <c r="L88" s="1" t="str">
        <f>MID(aoc_03_input[[#This Row],[Forest]],MOD(aoc_03_input[[#This Row],[Pos2_4]]-1,LEN(aoc_03_input[[#This Row],[Forest]]))+1,1)</f>
        <v>.</v>
      </c>
      <c r="M88" s="1">
        <f>IF(aoc_03_input[[#This Row],[CharAtPos2_4]]="#",1,0)</f>
        <v>0</v>
      </c>
      <c r="N88" s="1">
        <f>MOD(ROW(aoc_03_input[[#This Row],[CountRow2_5]])+1,2)</f>
        <v>1</v>
      </c>
      <c r="O88" s="1">
        <f t="shared" si="9"/>
        <v>44</v>
      </c>
      <c r="P88" s="1" t="str">
        <f>MID(aoc_03_input[[#This Row],[Forest]],MOD(aoc_03_input[[#This Row],[Pos2_5]]-1,LEN(aoc_03_input[[#This Row],[Forest]]))+1,1)</f>
        <v>.</v>
      </c>
      <c r="Q88" s="1">
        <f>IF(AND(aoc_03_input[[#This Row],[CountRow2_5]]=1,aoc_03_input[[#This Row],[CharAtPos2_5]]="#"),1,0)</f>
        <v>0</v>
      </c>
    </row>
    <row r="89" spans="1:17" x14ac:dyDescent="0.45">
      <c r="A89" s="1" t="s">
        <v>1473</v>
      </c>
      <c r="B89" s="1">
        <f t="shared" si="5"/>
        <v>262</v>
      </c>
      <c r="C89" s="1" t="str">
        <f>MID(aoc_03_input[[#This Row],[Forest]],MOD(aoc_03_input[[#This Row],[Pos1]]-1,LEN(aoc_03_input[[#This Row],[Forest]]))+1,1)</f>
        <v>.</v>
      </c>
      <c r="D89" s="1">
        <f>IF(aoc_03_input[[#This Row],[CharAtPos1]]="#",1,0)</f>
        <v>0</v>
      </c>
      <c r="E89" s="1">
        <f t="shared" si="6"/>
        <v>88</v>
      </c>
      <c r="F89" s="1" t="str">
        <f>MID(aoc_03_input[[#This Row],[Forest]],MOD(aoc_03_input[[#This Row],[Pos2_1]]-1,LEN(aoc_03_input[[#This Row],[Forest]]))+1,1)</f>
        <v>.</v>
      </c>
      <c r="G89" s="1">
        <f>IF(aoc_03_input[[#This Row],[CharAtPos2_1]]="#",1,0)</f>
        <v>0</v>
      </c>
      <c r="H89" s="1">
        <f t="shared" si="7"/>
        <v>436</v>
      </c>
      <c r="I89" s="1" t="str">
        <f>MID(aoc_03_input[[#This Row],[Forest]],MOD(aoc_03_input[[#This Row],[Pos2_3]]-1,LEN(aoc_03_input[[#This Row],[Forest]]))+1,1)</f>
        <v>#</v>
      </c>
      <c r="J89" s="1">
        <f>IF(aoc_03_input[[#This Row],[CharAtPos2_3]]="#",1,0)</f>
        <v>1</v>
      </c>
      <c r="K89" s="1">
        <f t="shared" si="8"/>
        <v>610</v>
      </c>
      <c r="L89" s="1" t="str">
        <f>MID(aoc_03_input[[#This Row],[Forest]],MOD(aoc_03_input[[#This Row],[Pos2_4]]-1,LEN(aoc_03_input[[#This Row],[Forest]]))+1,1)</f>
        <v>.</v>
      </c>
      <c r="M89" s="1">
        <f>IF(aoc_03_input[[#This Row],[CharAtPos2_4]]="#",1,0)</f>
        <v>0</v>
      </c>
      <c r="N89" s="1">
        <f>MOD(ROW(aoc_03_input[[#This Row],[CountRow2_5]])+1,2)</f>
        <v>0</v>
      </c>
      <c r="O89" s="1">
        <f t="shared" si="9"/>
        <v>44</v>
      </c>
      <c r="P89" s="1" t="str">
        <f>MID(aoc_03_input[[#This Row],[Forest]],MOD(aoc_03_input[[#This Row],[Pos2_5]]-1,LEN(aoc_03_input[[#This Row],[Forest]]))+1,1)</f>
        <v>#</v>
      </c>
      <c r="Q89" s="1">
        <f>IF(AND(aoc_03_input[[#This Row],[CountRow2_5]]=1,aoc_03_input[[#This Row],[CharAtPos2_5]]="#"),1,0)</f>
        <v>0</v>
      </c>
    </row>
    <row r="90" spans="1:17" x14ac:dyDescent="0.45">
      <c r="A90" s="1" t="s">
        <v>1474</v>
      </c>
      <c r="B90" s="1">
        <f t="shared" si="5"/>
        <v>265</v>
      </c>
      <c r="C90" s="1" t="str">
        <f>MID(aoc_03_input[[#This Row],[Forest]],MOD(aoc_03_input[[#This Row],[Pos1]]-1,LEN(aoc_03_input[[#This Row],[Forest]]))+1,1)</f>
        <v>#</v>
      </c>
      <c r="D90" s="1">
        <f>IF(aoc_03_input[[#This Row],[CharAtPos1]]="#",1,0)</f>
        <v>1</v>
      </c>
      <c r="E90" s="1">
        <f t="shared" si="6"/>
        <v>89</v>
      </c>
      <c r="F90" s="1" t="str">
        <f>MID(aoc_03_input[[#This Row],[Forest]],MOD(aoc_03_input[[#This Row],[Pos2_1]]-1,LEN(aoc_03_input[[#This Row],[Forest]]))+1,1)</f>
        <v>.</v>
      </c>
      <c r="G90" s="1">
        <f>IF(aoc_03_input[[#This Row],[CharAtPos2_1]]="#",1,0)</f>
        <v>0</v>
      </c>
      <c r="H90" s="1">
        <f t="shared" si="7"/>
        <v>441</v>
      </c>
      <c r="I90" s="1" t="str">
        <f>MID(aoc_03_input[[#This Row],[Forest]],MOD(aoc_03_input[[#This Row],[Pos2_3]]-1,LEN(aoc_03_input[[#This Row],[Forest]]))+1,1)</f>
        <v>#</v>
      </c>
      <c r="J90" s="1">
        <f>IF(aoc_03_input[[#This Row],[CharAtPos2_3]]="#",1,0)</f>
        <v>1</v>
      </c>
      <c r="K90" s="1">
        <f t="shared" si="8"/>
        <v>617</v>
      </c>
      <c r="L90" s="1" t="str">
        <f>MID(aoc_03_input[[#This Row],[Forest]],MOD(aoc_03_input[[#This Row],[Pos2_4]]-1,LEN(aoc_03_input[[#This Row],[Forest]]))+1,1)</f>
        <v>.</v>
      </c>
      <c r="M90" s="1">
        <f>IF(aoc_03_input[[#This Row],[CharAtPos2_4]]="#",1,0)</f>
        <v>0</v>
      </c>
      <c r="N90" s="1">
        <f>MOD(ROW(aoc_03_input[[#This Row],[CountRow2_5]])+1,2)</f>
        <v>1</v>
      </c>
      <c r="O90" s="1">
        <f t="shared" si="9"/>
        <v>45</v>
      </c>
      <c r="P90" s="1" t="str">
        <f>MID(aoc_03_input[[#This Row],[Forest]],MOD(aoc_03_input[[#This Row],[Pos2_5]]-1,LEN(aoc_03_input[[#This Row],[Forest]]))+1,1)</f>
        <v>.</v>
      </c>
      <c r="Q90" s="1">
        <f>IF(AND(aoc_03_input[[#This Row],[CountRow2_5]]=1,aoc_03_input[[#This Row],[CharAtPos2_5]]="#"),1,0)</f>
        <v>0</v>
      </c>
    </row>
    <row r="91" spans="1:17" x14ac:dyDescent="0.45">
      <c r="A91" s="1" t="s">
        <v>1475</v>
      </c>
      <c r="B91" s="1">
        <f t="shared" si="5"/>
        <v>268</v>
      </c>
      <c r="C91" s="1" t="str">
        <f>MID(aoc_03_input[[#This Row],[Forest]],MOD(aoc_03_input[[#This Row],[Pos1]]-1,LEN(aoc_03_input[[#This Row],[Forest]]))+1,1)</f>
        <v>#</v>
      </c>
      <c r="D91" s="1">
        <f>IF(aoc_03_input[[#This Row],[CharAtPos1]]="#",1,0)</f>
        <v>1</v>
      </c>
      <c r="E91" s="1">
        <f t="shared" si="6"/>
        <v>90</v>
      </c>
      <c r="F91" s="1" t="str">
        <f>MID(aoc_03_input[[#This Row],[Forest]],MOD(aoc_03_input[[#This Row],[Pos2_1]]-1,LEN(aoc_03_input[[#This Row],[Forest]]))+1,1)</f>
        <v>.</v>
      </c>
      <c r="G91" s="1">
        <f>IF(aoc_03_input[[#This Row],[CharAtPos2_1]]="#",1,0)</f>
        <v>0</v>
      </c>
      <c r="H91" s="1">
        <f t="shared" si="7"/>
        <v>446</v>
      </c>
      <c r="I91" s="1" t="str">
        <f>MID(aoc_03_input[[#This Row],[Forest]],MOD(aoc_03_input[[#This Row],[Pos2_3]]-1,LEN(aoc_03_input[[#This Row],[Forest]]))+1,1)</f>
        <v>#</v>
      </c>
      <c r="J91" s="1">
        <f>IF(aoc_03_input[[#This Row],[CharAtPos2_3]]="#",1,0)</f>
        <v>1</v>
      </c>
      <c r="K91" s="1">
        <f t="shared" si="8"/>
        <v>624</v>
      </c>
      <c r="L91" s="1" t="str">
        <f>MID(aoc_03_input[[#This Row],[Forest]],MOD(aoc_03_input[[#This Row],[Pos2_4]]-1,LEN(aoc_03_input[[#This Row],[Forest]]))+1,1)</f>
        <v>#</v>
      </c>
      <c r="M91" s="1">
        <f>IF(aoc_03_input[[#This Row],[CharAtPos2_4]]="#",1,0)</f>
        <v>1</v>
      </c>
      <c r="N91" s="1">
        <f>MOD(ROW(aoc_03_input[[#This Row],[CountRow2_5]])+1,2)</f>
        <v>0</v>
      </c>
      <c r="O91" s="1">
        <f t="shared" si="9"/>
        <v>45</v>
      </c>
      <c r="P91" s="1" t="str">
        <f>MID(aoc_03_input[[#This Row],[Forest]],MOD(aoc_03_input[[#This Row],[Pos2_5]]-1,LEN(aoc_03_input[[#This Row],[Forest]]))+1,1)</f>
        <v>.</v>
      </c>
      <c r="Q91" s="1">
        <f>IF(AND(aoc_03_input[[#This Row],[CountRow2_5]]=1,aoc_03_input[[#This Row],[CharAtPos2_5]]="#"),1,0)</f>
        <v>0</v>
      </c>
    </row>
    <row r="92" spans="1:17" x14ac:dyDescent="0.45">
      <c r="A92" s="1" t="s">
        <v>1476</v>
      </c>
      <c r="B92" s="1">
        <f t="shared" si="5"/>
        <v>271</v>
      </c>
      <c r="C92" s="1" t="str">
        <f>MID(aoc_03_input[[#This Row],[Forest]],MOD(aoc_03_input[[#This Row],[Pos1]]-1,LEN(aoc_03_input[[#This Row],[Forest]]))+1,1)</f>
        <v>#</v>
      </c>
      <c r="D92" s="1">
        <f>IF(aoc_03_input[[#This Row],[CharAtPos1]]="#",1,0)</f>
        <v>1</v>
      </c>
      <c r="E92" s="1">
        <f t="shared" si="6"/>
        <v>91</v>
      </c>
      <c r="F92" s="1" t="str">
        <f>MID(aoc_03_input[[#This Row],[Forest]],MOD(aoc_03_input[[#This Row],[Pos2_1]]-1,LEN(aoc_03_input[[#This Row],[Forest]]))+1,1)</f>
        <v>.</v>
      </c>
      <c r="G92" s="1">
        <f>IF(aoc_03_input[[#This Row],[CharAtPos2_1]]="#",1,0)</f>
        <v>0</v>
      </c>
      <c r="H92" s="1">
        <f t="shared" si="7"/>
        <v>451</v>
      </c>
      <c r="I92" s="1" t="str">
        <f>MID(aoc_03_input[[#This Row],[Forest]],MOD(aoc_03_input[[#This Row],[Pos2_3]]-1,LEN(aoc_03_input[[#This Row],[Forest]]))+1,1)</f>
        <v>#</v>
      </c>
      <c r="J92" s="1">
        <f>IF(aoc_03_input[[#This Row],[CharAtPos2_3]]="#",1,0)</f>
        <v>1</v>
      </c>
      <c r="K92" s="1">
        <f t="shared" si="8"/>
        <v>631</v>
      </c>
      <c r="L92" s="1" t="str">
        <f>MID(aoc_03_input[[#This Row],[Forest]],MOD(aoc_03_input[[#This Row],[Pos2_4]]-1,LEN(aoc_03_input[[#This Row],[Forest]]))+1,1)</f>
        <v>.</v>
      </c>
      <c r="M92" s="1">
        <f>IF(aoc_03_input[[#This Row],[CharAtPos2_4]]="#",1,0)</f>
        <v>0</v>
      </c>
      <c r="N92" s="1">
        <f>MOD(ROW(aoc_03_input[[#This Row],[CountRow2_5]])+1,2)</f>
        <v>1</v>
      </c>
      <c r="O92" s="1">
        <f t="shared" si="9"/>
        <v>46</v>
      </c>
      <c r="P92" s="1" t="str">
        <f>MID(aoc_03_input[[#This Row],[Forest]],MOD(aoc_03_input[[#This Row],[Pos2_5]]-1,LEN(aoc_03_input[[#This Row],[Forest]]))+1,1)</f>
        <v>.</v>
      </c>
      <c r="Q92" s="1">
        <f>IF(AND(aoc_03_input[[#This Row],[CountRow2_5]]=1,aoc_03_input[[#This Row],[CharAtPos2_5]]="#"),1,0)</f>
        <v>0</v>
      </c>
    </row>
    <row r="93" spans="1:17" x14ac:dyDescent="0.45">
      <c r="A93" s="1" t="s">
        <v>1477</v>
      </c>
      <c r="B93" s="1">
        <f t="shared" si="5"/>
        <v>274</v>
      </c>
      <c r="C93" s="1" t="str">
        <f>MID(aoc_03_input[[#This Row],[Forest]],MOD(aoc_03_input[[#This Row],[Pos1]]-1,LEN(aoc_03_input[[#This Row],[Forest]]))+1,1)</f>
        <v>.</v>
      </c>
      <c r="D93" s="1">
        <f>IF(aoc_03_input[[#This Row],[CharAtPos1]]="#",1,0)</f>
        <v>0</v>
      </c>
      <c r="E93" s="1">
        <f t="shared" si="6"/>
        <v>92</v>
      </c>
      <c r="F93" s="1" t="str">
        <f>MID(aoc_03_input[[#This Row],[Forest]],MOD(aoc_03_input[[#This Row],[Pos2_1]]-1,LEN(aoc_03_input[[#This Row],[Forest]]))+1,1)</f>
        <v>.</v>
      </c>
      <c r="G93" s="1">
        <f>IF(aoc_03_input[[#This Row],[CharAtPos2_1]]="#",1,0)</f>
        <v>0</v>
      </c>
      <c r="H93" s="1">
        <f t="shared" si="7"/>
        <v>456</v>
      </c>
      <c r="I93" s="1" t="str">
        <f>MID(aoc_03_input[[#This Row],[Forest]],MOD(aoc_03_input[[#This Row],[Pos2_3]]-1,LEN(aoc_03_input[[#This Row],[Forest]]))+1,1)</f>
        <v>.</v>
      </c>
      <c r="J93" s="1">
        <f>IF(aoc_03_input[[#This Row],[CharAtPos2_3]]="#",1,0)</f>
        <v>0</v>
      </c>
      <c r="K93" s="1">
        <f t="shared" si="8"/>
        <v>638</v>
      </c>
      <c r="L93" s="1" t="str">
        <f>MID(aoc_03_input[[#This Row],[Forest]],MOD(aoc_03_input[[#This Row],[Pos2_4]]-1,LEN(aoc_03_input[[#This Row],[Forest]]))+1,1)</f>
        <v>.</v>
      </c>
      <c r="M93" s="1">
        <f>IF(aoc_03_input[[#This Row],[CharAtPos2_4]]="#",1,0)</f>
        <v>0</v>
      </c>
      <c r="N93" s="1">
        <f>MOD(ROW(aoc_03_input[[#This Row],[CountRow2_5]])+1,2)</f>
        <v>0</v>
      </c>
      <c r="O93" s="1">
        <f t="shared" si="9"/>
        <v>46</v>
      </c>
      <c r="P93" s="1" t="str">
        <f>MID(aoc_03_input[[#This Row],[Forest]],MOD(aoc_03_input[[#This Row],[Pos2_5]]-1,LEN(aoc_03_input[[#This Row],[Forest]]))+1,1)</f>
        <v>#</v>
      </c>
      <c r="Q93" s="1">
        <f>IF(AND(aoc_03_input[[#This Row],[CountRow2_5]]=1,aoc_03_input[[#This Row],[CharAtPos2_5]]="#"),1,0)</f>
        <v>0</v>
      </c>
    </row>
    <row r="94" spans="1:17" x14ac:dyDescent="0.45">
      <c r="A94" s="1" t="s">
        <v>1478</v>
      </c>
      <c r="B94" s="1">
        <f t="shared" si="5"/>
        <v>277</v>
      </c>
      <c r="C94" s="1" t="str">
        <f>MID(aoc_03_input[[#This Row],[Forest]],MOD(aoc_03_input[[#This Row],[Pos1]]-1,LEN(aoc_03_input[[#This Row],[Forest]]))+1,1)</f>
        <v>.</v>
      </c>
      <c r="D94" s="1">
        <f>IF(aoc_03_input[[#This Row],[CharAtPos1]]="#",1,0)</f>
        <v>0</v>
      </c>
      <c r="E94" s="1">
        <f t="shared" si="6"/>
        <v>93</v>
      </c>
      <c r="F94" s="1" t="str">
        <f>MID(aoc_03_input[[#This Row],[Forest]],MOD(aoc_03_input[[#This Row],[Pos2_1]]-1,LEN(aoc_03_input[[#This Row],[Forest]]))+1,1)</f>
        <v>#</v>
      </c>
      <c r="G94" s="1">
        <f>IF(aoc_03_input[[#This Row],[CharAtPos2_1]]="#",1,0)</f>
        <v>1</v>
      </c>
      <c r="H94" s="1">
        <f t="shared" si="7"/>
        <v>461</v>
      </c>
      <c r="I94" s="1" t="str">
        <f>MID(aoc_03_input[[#This Row],[Forest]],MOD(aoc_03_input[[#This Row],[Pos2_3]]-1,LEN(aoc_03_input[[#This Row],[Forest]]))+1,1)</f>
        <v>.</v>
      </c>
      <c r="J94" s="1">
        <f>IF(aoc_03_input[[#This Row],[CharAtPos2_3]]="#",1,0)</f>
        <v>0</v>
      </c>
      <c r="K94" s="1">
        <f t="shared" si="8"/>
        <v>645</v>
      </c>
      <c r="L94" s="1" t="str">
        <f>MID(aoc_03_input[[#This Row],[Forest]],MOD(aoc_03_input[[#This Row],[Pos2_4]]-1,LEN(aoc_03_input[[#This Row],[Forest]]))+1,1)</f>
        <v>#</v>
      </c>
      <c r="M94" s="1">
        <f>IF(aoc_03_input[[#This Row],[CharAtPos2_4]]="#",1,0)</f>
        <v>1</v>
      </c>
      <c r="N94" s="1">
        <f>MOD(ROW(aoc_03_input[[#This Row],[CountRow2_5]])+1,2)</f>
        <v>1</v>
      </c>
      <c r="O94" s="1">
        <f t="shared" si="9"/>
        <v>47</v>
      </c>
      <c r="P94" s="1" t="str">
        <f>MID(aoc_03_input[[#This Row],[Forest]],MOD(aoc_03_input[[#This Row],[Pos2_5]]-1,LEN(aoc_03_input[[#This Row],[Forest]]))+1,1)</f>
        <v>.</v>
      </c>
      <c r="Q94" s="1">
        <f>IF(AND(aoc_03_input[[#This Row],[CountRow2_5]]=1,aoc_03_input[[#This Row],[CharAtPos2_5]]="#"),1,0)</f>
        <v>0</v>
      </c>
    </row>
    <row r="95" spans="1:17" x14ac:dyDescent="0.45">
      <c r="A95" s="1" t="s">
        <v>1479</v>
      </c>
      <c r="B95" s="1">
        <f t="shared" si="5"/>
        <v>280</v>
      </c>
      <c r="C95" s="1" t="str">
        <f>MID(aoc_03_input[[#This Row],[Forest]],MOD(aoc_03_input[[#This Row],[Pos1]]-1,LEN(aoc_03_input[[#This Row],[Forest]]))+1,1)</f>
        <v>#</v>
      </c>
      <c r="D95" s="1">
        <f>IF(aoc_03_input[[#This Row],[CharAtPos1]]="#",1,0)</f>
        <v>1</v>
      </c>
      <c r="E95" s="1">
        <f t="shared" si="6"/>
        <v>94</v>
      </c>
      <c r="F95" s="1" t="str">
        <f>MID(aoc_03_input[[#This Row],[Forest]],MOD(aoc_03_input[[#This Row],[Pos2_1]]-1,LEN(aoc_03_input[[#This Row],[Forest]]))+1,1)</f>
        <v>#</v>
      </c>
      <c r="G95" s="1">
        <f>IF(aoc_03_input[[#This Row],[CharAtPos2_1]]="#",1,0)</f>
        <v>1</v>
      </c>
      <c r="H95" s="1">
        <f t="shared" si="7"/>
        <v>466</v>
      </c>
      <c r="I95" s="1" t="str">
        <f>MID(aoc_03_input[[#This Row],[Forest]],MOD(aoc_03_input[[#This Row],[Pos2_3]]-1,LEN(aoc_03_input[[#This Row],[Forest]]))+1,1)</f>
        <v>#</v>
      </c>
      <c r="J95" s="1">
        <f>IF(aoc_03_input[[#This Row],[CharAtPos2_3]]="#",1,0)</f>
        <v>1</v>
      </c>
      <c r="K95" s="1">
        <f t="shared" si="8"/>
        <v>652</v>
      </c>
      <c r="L95" s="1" t="str">
        <f>MID(aoc_03_input[[#This Row],[Forest]],MOD(aoc_03_input[[#This Row],[Pos2_4]]-1,LEN(aoc_03_input[[#This Row],[Forest]]))+1,1)</f>
        <v>#</v>
      </c>
      <c r="M95" s="1">
        <f>IF(aoc_03_input[[#This Row],[CharAtPos2_4]]="#",1,0)</f>
        <v>1</v>
      </c>
      <c r="N95" s="1">
        <f>MOD(ROW(aoc_03_input[[#This Row],[CountRow2_5]])+1,2)</f>
        <v>0</v>
      </c>
      <c r="O95" s="1">
        <f t="shared" si="9"/>
        <v>47</v>
      </c>
      <c r="P95" s="1" t="str">
        <f>MID(aoc_03_input[[#This Row],[Forest]],MOD(aoc_03_input[[#This Row],[Pos2_5]]-1,LEN(aoc_03_input[[#This Row],[Forest]]))+1,1)</f>
        <v>.</v>
      </c>
      <c r="Q95" s="1">
        <f>IF(AND(aoc_03_input[[#This Row],[CountRow2_5]]=1,aoc_03_input[[#This Row],[CharAtPos2_5]]="#"),1,0)</f>
        <v>0</v>
      </c>
    </row>
    <row r="96" spans="1:17" x14ac:dyDescent="0.45">
      <c r="A96" s="1" t="s">
        <v>1480</v>
      </c>
      <c r="B96" s="1">
        <f t="shared" si="5"/>
        <v>283</v>
      </c>
      <c r="C96" s="1" t="str">
        <f>MID(aoc_03_input[[#This Row],[Forest]],MOD(aoc_03_input[[#This Row],[Pos1]]-1,LEN(aoc_03_input[[#This Row],[Forest]]))+1,1)</f>
        <v>.</v>
      </c>
      <c r="D96" s="1">
        <f>IF(aoc_03_input[[#This Row],[CharAtPos1]]="#",1,0)</f>
        <v>0</v>
      </c>
      <c r="E96" s="1">
        <f t="shared" si="6"/>
        <v>95</v>
      </c>
      <c r="F96" s="1" t="str">
        <f>MID(aoc_03_input[[#This Row],[Forest]],MOD(aoc_03_input[[#This Row],[Pos2_1]]-1,LEN(aoc_03_input[[#This Row],[Forest]]))+1,1)</f>
        <v>.</v>
      </c>
      <c r="G96" s="1">
        <f>IF(aoc_03_input[[#This Row],[CharAtPos2_1]]="#",1,0)</f>
        <v>0</v>
      </c>
      <c r="H96" s="1">
        <f t="shared" si="7"/>
        <v>471</v>
      </c>
      <c r="I96" s="1" t="str">
        <f>MID(aoc_03_input[[#This Row],[Forest]],MOD(aoc_03_input[[#This Row],[Pos2_3]]-1,LEN(aoc_03_input[[#This Row],[Forest]]))+1,1)</f>
        <v>.</v>
      </c>
      <c r="J96" s="1">
        <f>IF(aoc_03_input[[#This Row],[CharAtPos2_3]]="#",1,0)</f>
        <v>0</v>
      </c>
      <c r="K96" s="1">
        <f t="shared" si="8"/>
        <v>659</v>
      </c>
      <c r="L96" s="1" t="str">
        <f>MID(aoc_03_input[[#This Row],[Forest]],MOD(aoc_03_input[[#This Row],[Pos2_4]]-1,LEN(aoc_03_input[[#This Row],[Forest]]))+1,1)</f>
        <v>.</v>
      </c>
      <c r="M96" s="1">
        <f>IF(aoc_03_input[[#This Row],[CharAtPos2_4]]="#",1,0)</f>
        <v>0</v>
      </c>
      <c r="N96" s="1">
        <f>MOD(ROW(aoc_03_input[[#This Row],[CountRow2_5]])+1,2)</f>
        <v>1</v>
      </c>
      <c r="O96" s="1">
        <f t="shared" si="9"/>
        <v>48</v>
      </c>
      <c r="P96" s="1" t="str">
        <f>MID(aoc_03_input[[#This Row],[Forest]],MOD(aoc_03_input[[#This Row],[Pos2_5]]-1,LEN(aoc_03_input[[#This Row],[Forest]]))+1,1)</f>
        <v>.</v>
      </c>
      <c r="Q96" s="1">
        <f>IF(AND(aoc_03_input[[#This Row],[CountRow2_5]]=1,aoc_03_input[[#This Row],[CharAtPos2_5]]="#"),1,0)</f>
        <v>0</v>
      </c>
    </row>
    <row r="97" spans="1:17" x14ac:dyDescent="0.45">
      <c r="A97" s="1" t="s">
        <v>1481</v>
      </c>
      <c r="B97" s="1">
        <f t="shared" si="5"/>
        <v>286</v>
      </c>
      <c r="C97" s="1" t="str">
        <f>MID(aoc_03_input[[#This Row],[Forest]],MOD(aoc_03_input[[#This Row],[Pos1]]-1,LEN(aoc_03_input[[#This Row],[Forest]]))+1,1)</f>
        <v>#</v>
      </c>
      <c r="D97" s="1">
        <f>IF(aoc_03_input[[#This Row],[CharAtPos1]]="#",1,0)</f>
        <v>1</v>
      </c>
      <c r="E97" s="1">
        <f t="shared" si="6"/>
        <v>96</v>
      </c>
      <c r="F97" s="1" t="str">
        <f>MID(aoc_03_input[[#This Row],[Forest]],MOD(aoc_03_input[[#This Row],[Pos2_1]]-1,LEN(aoc_03_input[[#This Row],[Forest]]))+1,1)</f>
        <v>.</v>
      </c>
      <c r="G97" s="1">
        <f>IF(aoc_03_input[[#This Row],[CharAtPos2_1]]="#",1,0)</f>
        <v>0</v>
      </c>
      <c r="H97" s="1">
        <f t="shared" si="7"/>
        <v>476</v>
      </c>
      <c r="I97" s="1" t="str">
        <f>MID(aoc_03_input[[#This Row],[Forest]],MOD(aoc_03_input[[#This Row],[Pos2_3]]-1,LEN(aoc_03_input[[#This Row],[Forest]]))+1,1)</f>
        <v>.</v>
      </c>
      <c r="J97" s="1">
        <f>IF(aoc_03_input[[#This Row],[CharAtPos2_3]]="#",1,0)</f>
        <v>0</v>
      </c>
      <c r="K97" s="1">
        <f t="shared" si="8"/>
        <v>666</v>
      </c>
      <c r="L97" s="1" t="str">
        <f>MID(aoc_03_input[[#This Row],[Forest]],MOD(aoc_03_input[[#This Row],[Pos2_4]]-1,LEN(aoc_03_input[[#This Row],[Forest]]))+1,1)</f>
        <v>#</v>
      </c>
      <c r="M97" s="1">
        <f>IF(aoc_03_input[[#This Row],[CharAtPos2_4]]="#",1,0)</f>
        <v>1</v>
      </c>
      <c r="N97" s="1">
        <f>MOD(ROW(aoc_03_input[[#This Row],[CountRow2_5]])+1,2)</f>
        <v>0</v>
      </c>
      <c r="O97" s="1">
        <f t="shared" si="9"/>
        <v>48</v>
      </c>
      <c r="P97" s="1" t="str">
        <f>MID(aoc_03_input[[#This Row],[Forest]],MOD(aoc_03_input[[#This Row],[Pos2_5]]-1,LEN(aoc_03_input[[#This Row],[Forest]]))+1,1)</f>
        <v>.</v>
      </c>
      <c r="Q97" s="1">
        <f>IF(AND(aoc_03_input[[#This Row],[CountRow2_5]]=1,aoc_03_input[[#This Row],[CharAtPos2_5]]="#"),1,0)</f>
        <v>0</v>
      </c>
    </row>
    <row r="98" spans="1:17" x14ac:dyDescent="0.45">
      <c r="A98" s="1" t="s">
        <v>1482</v>
      </c>
      <c r="B98" s="1">
        <f t="shared" si="5"/>
        <v>289</v>
      </c>
      <c r="C98" s="1" t="str">
        <f>MID(aoc_03_input[[#This Row],[Forest]],MOD(aoc_03_input[[#This Row],[Pos1]]-1,LEN(aoc_03_input[[#This Row],[Forest]]))+1,1)</f>
        <v>#</v>
      </c>
      <c r="D98" s="1">
        <f>IF(aoc_03_input[[#This Row],[CharAtPos1]]="#",1,0)</f>
        <v>1</v>
      </c>
      <c r="E98" s="1">
        <f t="shared" si="6"/>
        <v>97</v>
      </c>
      <c r="F98" s="1" t="str">
        <f>MID(aoc_03_input[[#This Row],[Forest]],MOD(aoc_03_input[[#This Row],[Pos2_1]]-1,LEN(aoc_03_input[[#This Row],[Forest]]))+1,1)</f>
        <v>.</v>
      </c>
      <c r="G98" s="1">
        <f>IF(aoc_03_input[[#This Row],[CharAtPos2_1]]="#",1,0)</f>
        <v>0</v>
      </c>
      <c r="H98" s="1">
        <f t="shared" si="7"/>
        <v>481</v>
      </c>
      <c r="I98" s="1" t="str">
        <f>MID(aoc_03_input[[#This Row],[Forest]],MOD(aoc_03_input[[#This Row],[Pos2_3]]-1,LEN(aoc_03_input[[#This Row],[Forest]]))+1,1)</f>
        <v>.</v>
      </c>
      <c r="J98" s="1">
        <f>IF(aoc_03_input[[#This Row],[CharAtPos2_3]]="#",1,0)</f>
        <v>0</v>
      </c>
      <c r="K98" s="1">
        <f t="shared" si="8"/>
        <v>673</v>
      </c>
      <c r="L98" s="1" t="str">
        <f>MID(aoc_03_input[[#This Row],[Forest]],MOD(aoc_03_input[[#This Row],[Pos2_4]]-1,LEN(aoc_03_input[[#This Row],[Forest]]))+1,1)</f>
        <v>.</v>
      </c>
      <c r="M98" s="1">
        <f>IF(aoc_03_input[[#This Row],[CharAtPos2_4]]="#",1,0)</f>
        <v>0</v>
      </c>
      <c r="N98" s="1">
        <f>MOD(ROW(aoc_03_input[[#This Row],[CountRow2_5]])+1,2)</f>
        <v>1</v>
      </c>
      <c r="O98" s="1">
        <f t="shared" si="9"/>
        <v>49</v>
      </c>
      <c r="P98" s="1" t="str">
        <f>MID(aoc_03_input[[#This Row],[Forest]],MOD(aoc_03_input[[#This Row],[Pos2_5]]-1,LEN(aoc_03_input[[#This Row],[Forest]]))+1,1)</f>
        <v>#</v>
      </c>
      <c r="Q98" s="1">
        <f>IF(AND(aoc_03_input[[#This Row],[CountRow2_5]]=1,aoc_03_input[[#This Row],[CharAtPos2_5]]="#"),1,0)</f>
        <v>1</v>
      </c>
    </row>
    <row r="99" spans="1:17" x14ac:dyDescent="0.45">
      <c r="A99" s="1" t="s">
        <v>1483</v>
      </c>
      <c r="B99" s="1">
        <f t="shared" si="5"/>
        <v>292</v>
      </c>
      <c r="C99" s="1" t="str">
        <f>MID(aoc_03_input[[#This Row],[Forest]],MOD(aoc_03_input[[#This Row],[Pos1]]-1,LEN(aoc_03_input[[#This Row],[Forest]]))+1,1)</f>
        <v>#</v>
      </c>
      <c r="D99" s="1">
        <f>IF(aoc_03_input[[#This Row],[CharAtPos1]]="#",1,0)</f>
        <v>1</v>
      </c>
      <c r="E99" s="1">
        <f t="shared" si="6"/>
        <v>98</v>
      </c>
      <c r="F99" s="1" t="str">
        <f>MID(aoc_03_input[[#This Row],[Forest]],MOD(aoc_03_input[[#This Row],[Pos2_1]]-1,LEN(aoc_03_input[[#This Row],[Forest]]))+1,1)</f>
        <v>.</v>
      </c>
      <c r="G99" s="1">
        <f>IF(aoc_03_input[[#This Row],[CharAtPos2_1]]="#",1,0)</f>
        <v>0</v>
      </c>
      <c r="H99" s="1">
        <f t="shared" si="7"/>
        <v>486</v>
      </c>
      <c r="I99" s="1" t="str">
        <f>MID(aoc_03_input[[#This Row],[Forest]],MOD(aoc_03_input[[#This Row],[Pos2_3]]-1,LEN(aoc_03_input[[#This Row],[Forest]]))+1,1)</f>
        <v>#</v>
      </c>
      <c r="J99" s="1">
        <f>IF(aoc_03_input[[#This Row],[CharAtPos2_3]]="#",1,0)</f>
        <v>1</v>
      </c>
      <c r="K99" s="1">
        <f t="shared" si="8"/>
        <v>680</v>
      </c>
      <c r="L99" s="1" t="str">
        <f>MID(aoc_03_input[[#This Row],[Forest]],MOD(aoc_03_input[[#This Row],[Pos2_4]]-1,LEN(aoc_03_input[[#This Row],[Forest]]))+1,1)</f>
        <v>.</v>
      </c>
      <c r="M99" s="1">
        <f>IF(aoc_03_input[[#This Row],[CharAtPos2_4]]="#",1,0)</f>
        <v>0</v>
      </c>
      <c r="N99" s="1">
        <f>MOD(ROW(aoc_03_input[[#This Row],[CountRow2_5]])+1,2)</f>
        <v>0</v>
      </c>
      <c r="O99" s="1">
        <f t="shared" si="9"/>
        <v>49</v>
      </c>
      <c r="P99" s="1" t="str">
        <f>MID(aoc_03_input[[#This Row],[Forest]],MOD(aoc_03_input[[#This Row],[Pos2_5]]-1,LEN(aoc_03_input[[#This Row],[Forest]]))+1,1)</f>
        <v>.</v>
      </c>
      <c r="Q99" s="1">
        <f>IF(AND(aoc_03_input[[#This Row],[CountRow2_5]]=1,aoc_03_input[[#This Row],[CharAtPos2_5]]="#"),1,0)</f>
        <v>0</v>
      </c>
    </row>
    <row r="100" spans="1:17" x14ac:dyDescent="0.45">
      <c r="A100" s="1" t="s">
        <v>1484</v>
      </c>
      <c r="B100" s="1">
        <f t="shared" si="5"/>
        <v>295</v>
      </c>
      <c r="C100" s="1" t="str">
        <f>MID(aoc_03_input[[#This Row],[Forest]],MOD(aoc_03_input[[#This Row],[Pos1]]-1,LEN(aoc_03_input[[#This Row],[Forest]]))+1,1)</f>
        <v>#</v>
      </c>
      <c r="D100" s="1">
        <f>IF(aoc_03_input[[#This Row],[CharAtPos1]]="#",1,0)</f>
        <v>1</v>
      </c>
      <c r="E100" s="1">
        <f t="shared" si="6"/>
        <v>99</v>
      </c>
      <c r="F100" s="1" t="str">
        <f>MID(aoc_03_input[[#This Row],[Forest]],MOD(aoc_03_input[[#This Row],[Pos2_1]]-1,LEN(aoc_03_input[[#This Row],[Forest]]))+1,1)</f>
        <v>#</v>
      </c>
      <c r="G100" s="1">
        <f>IF(aoc_03_input[[#This Row],[CharAtPos2_1]]="#",1,0)</f>
        <v>1</v>
      </c>
      <c r="H100" s="1">
        <f t="shared" si="7"/>
        <v>491</v>
      </c>
      <c r="I100" s="1" t="str">
        <f>MID(aoc_03_input[[#This Row],[Forest]],MOD(aoc_03_input[[#This Row],[Pos2_3]]-1,LEN(aoc_03_input[[#This Row],[Forest]]))+1,1)</f>
        <v>.</v>
      </c>
      <c r="J100" s="1">
        <f>IF(aoc_03_input[[#This Row],[CharAtPos2_3]]="#",1,0)</f>
        <v>0</v>
      </c>
      <c r="K100" s="1">
        <f t="shared" si="8"/>
        <v>687</v>
      </c>
      <c r="L100" s="1" t="str">
        <f>MID(aoc_03_input[[#This Row],[Forest]],MOD(aoc_03_input[[#This Row],[Pos2_4]]-1,LEN(aoc_03_input[[#This Row],[Forest]]))+1,1)</f>
        <v>.</v>
      </c>
      <c r="M100" s="1">
        <f>IF(aoc_03_input[[#This Row],[CharAtPos2_4]]="#",1,0)</f>
        <v>0</v>
      </c>
      <c r="N100" s="1">
        <f>MOD(ROW(aoc_03_input[[#This Row],[CountRow2_5]])+1,2)</f>
        <v>1</v>
      </c>
      <c r="O100" s="1">
        <f t="shared" si="9"/>
        <v>50</v>
      </c>
      <c r="P100" s="1" t="str">
        <f>MID(aoc_03_input[[#This Row],[Forest]],MOD(aoc_03_input[[#This Row],[Pos2_5]]-1,LEN(aoc_03_input[[#This Row],[Forest]]))+1,1)</f>
        <v>.</v>
      </c>
      <c r="Q100" s="1">
        <f>IF(AND(aoc_03_input[[#This Row],[CountRow2_5]]=1,aoc_03_input[[#This Row],[CharAtPos2_5]]="#"),1,0)</f>
        <v>0</v>
      </c>
    </row>
    <row r="101" spans="1:17" x14ac:dyDescent="0.45">
      <c r="A101" s="1" t="s">
        <v>1485</v>
      </c>
      <c r="B101" s="1">
        <f t="shared" si="5"/>
        <v>298</v>
      </c>
      <c r="C101" s="1" t="str">
        <f>MID(aoc_03_input[[#This Row],[Forest]],MOD(aoc_03_input[[#This Row],[Pos1]]-1,LEN(aoc_03_input[[#This Row],[Forest]]))+1,1)</f>
        <v>.</v>
      </c>
      <c r="D101" s="1">
        <f>IF(aoc_03_input[[#This Row],[CharAtPos1]]="#",1,0)</f>
        <v>0</v>
      </c>
      <c r="E101" s="1">
        <f t="shared" si="6"/>
        <v>100</v>
      </c>
      <c r="F101" s="1" t="str">
        <f>MID(aoc_03_input[[#This Row],[Forest]],MOD(aoc_03_input[[#This Row],[Pos2_1]]-1,LEN(aoc_03_input[[#This Row],[Forest]]))+1,1)</f>
        <v>.</v>
      </c>
      <c r="G101" s="1">
        <f>IF(aoc_03_input[[#This Row],[CharAtPos2_1]]="#",1,0)</f>
        <v>0</v>
      </c>
      <c r="H101" s="1">
        <f t="shared" si="7"/>
        <v>496</v>
      </c>
      <c r="I101" s="1" t="str">
        <f>MID(aoc_03_input[[#This Row],[Forest]],MOD(aoc_03_input[[#This Row],[Pos2_3]]-1,LEN(aoc_03_input[[#This Row],[Forest]]))+1,1)</f>
        <v>.</v>
      </c>
      <c r="J101" s="1">
        <f>IF(aoc_03_input[[#This Row],[CharAtPos2_3]]="#",1,0)</f>
        <v>0</v>
      </c>
      <c r="K101" s="1">
        <f t="shared" si="8"/>
        <v>694</v>
      </c>
      <c r="L101" s="1" t="str">
        <f>MID(aoc_03_input[[#This Row],[Forest]],MOD(aoc_03_input[[#This Row],[Pos2_4]]-1,LEN(aoc_03_input[[#This Row],[Forest]]))+1,1)</f>
        <v>.</v>
      </c>
      <c r="M101" s="1">
        <f>IF(aoc_03_input[[#This Row],[CharAtPos2_4]]="#",1,0)</f>
        <v>0</v>
      </c>
      <c r="N101" s="1">
        <f>MOD(ROW(aoc_03_input[[#This Row],[CountRow2_5]])+1,2)</f>
        <v>0</v>
      </c>
      <c r="O101" s="1">
        <f t="shared" si="9"/>
        <v>50</v>
      </c>
      <c r="P101" s="1" t="str">
        <f>MID(aoc_03_input[[#This Row],[Forest]],MOD(aoc_03_input[[#This Row],[Pos2_5]]-1,LEN(aoc_03_input[[#This Row],[Forest]]))+1,1)</f>
        <v>.</v>
      </c>
      <c r="Q101" s="1">
        <f>IF(AND(aoc_03_input[[#This Row],[CountRow2_5]]=1,aoc_03_input[[#This Row],[CharAtPos2_5]]="#"),1,0)</f>
        <v>0</v>
      </c>
    </row>
    <row r="102" spans="1:17" x14ac:dyDescent="0.45">
      <c r="A102" s="1" t="s">
        <v>1486</v>
      </c>
      <c r="B102" s="1">
        <f t="shared" si="5"/>
        <v>301</v>
      </c>
      <c r="C102" s="1" t="str">
        <f>MID(aoc_03_input[[#This Row],[Forest]],MOD(aoc_03_input[[#This Row],[Pos1]]-1,LEN(aoc_03_input[[#This Row],[Forest]]))+1,1)</f>
        <v>.</v>
      </c>
      <c r="D102" s="1">
        <f>IF(aoc_03_input[[#This Row],[CharAtPos1]]="#",1,0)</f>
        <v>0</v>
      </c>
      <c r="E102" s="1">
        <f t="shared" si="6"/>
        <v>101</v>
      </c>
      <c r="F102" s="1" t="str">
        <f>MID(aoc_03_input[[#This Row],[Forest]],MOD(aoc_03_input[[#This Row],[Pos2_1]]-1,LEN(aoc_03_input[[#This Row],[Forest]]))+1,1)</f>
        <v>#</v>
      </c>
      <c r="G102" s="1">
        <f>IF(aoc_03_input[[#This Row],[CharAtPos2_1]]="#",1,0)</f>
        <v>1</v>
      </c>
      <c r="H102" s="1">
        <f t="shared" si="7"/>
        <v>501</v>
      </c>
      <c r="I102" s="1" t="str">
        <f>MID(aoc_03_input[[#This Row],[Forest]],MOD(aoc_03_input[[#This Row],[Pos2_3]]-1,LEN(aoc_03_input[[#This Row],[Forest]]))+1,1)</f>
        <v>.</v>
      </c>
      <c r="J102" s="1">
        <f>IF(aoc_03_input[[#This Row],[CharAtPos2_3]]="#",1,0)</f>
        <v>0</v>
      </c>
      <c r="K102" s="1">
        <f t="shared" si="8"/>
        <v>701</v>
      </c>
      <c r="L102" s="1" t="str">
        <f>MID(aoc_03_input[[#This Row],[Forest]],MOD(aoc_03_input[[#This Row],[Pos2_4]]-1,LEN(aoc_03_input[[#This Row],[Forest]]))+1,1)</f>
        <v>.</v>
      </c>
      <c r="M102" s="1">
        <f>IF(aoc_03_input[[#This Row],[CharAtPos2_4]]="#",1,0)</f>
        <v>0</v>
      </c>
      <c r="N102" s="1">
        <f>MOD(ROW(aoc_03_input[[#This Row],[CountRow2_5]])+1,2)</f>
        <v>1</v>
      </c>
      <c r="O102" s="1">
        <f t="shared" si="9"/>
        <v>51</v>
      </c>
      <c r="P102" s="1" t="str">
        <f>MID(aoc_03_input[[#This Row],[Forest]],MOD(aoc_03_input[[#This Row],[Pos2_5]]-1,LEN(aoc_03_input[[#This Row],[Forest]]))+1,1)</f>
        <v>#</v>
      </c>
      <c r="Q102" s="1">
        <f>IF(AND(aoc_03_input[[#This Row],[CountRow2_5]]=1,aoc_03_input[[#This Row],[CharAtPos2_5]]="#"),1,0)</f>
        <v>1</v>
      </c>
    </row>
    <row r="103" spans="1:17" x14ac:dyDescent="0.45">
      <c r="A103" s="1" t="s">
        <v>1487</v>
      </c>
      <c r="B103" s="1">
        <f t="shared" si="5"/>
        <v>304</v>
      </c>
      <c r="C103" s="1" t="str">
        <f>MID(aoc_03_input[[#This Row],[Forest]],MOD(aoc_03_input[[#This Row],[Pos1]]-1,LEN(aoc_03_input[[#This Row],[Forest]]))+1,1)</f>
        <v>.</v>
      </c>
      <c r="D103" s="1">
        <f>IF(aoc_03_input[[#This Row],[CharAtPos1]]="#",1,0)</f>
        <v>0</v>
      </c>
      <c r="E103" s="1">
        <f t="shared" si="6"/>
        <v>102</v>
      </c>
      <c r="F103" s="1" t="str">
        <f>MID(aoc_03_input[[#This Row],[Forest]],MOD(aoc_03_input[[#This Row],[Pos2_1]]-1,LEN(aoc_03_input[[#This Row],[Forest]]))+1,1)</f>
        <v>.</v>
      </c>
      <c r="G103" s="1">
        <f>IF(aoc_03_input[[#This Row],[CharAtPos2_1]]="#",1,0)</f>
        <v>0</v>
      </c>
      <c r="H103" s="1">
        <f t="shared" si="7"/>
        <v>506</v>
      </c>
      <c r="I103" s="1" t="str">
        <f>MID(aoc_03_input[[#This Row],[Forest]],MOD(aoc_03_input[[#This Row],[Pos2_3]]-1,LEN(aoc_03_input[[#This Row],[Forest]]))+1,1)</f>
        <v>#</v>
      </c>
      <c r="J103" s="1">
        <f>IF(aoc_03_input[[#This Row],[CharAtPos2_3]]="#",1,0)</f>
        <v>1</v>
      </c>
      <c r="K103" s="1">
        <f t="shared" si="8"/>
        <v>708</v>
      </c>
      <c r="L103" s="1" t="str">
        <f>MID(aoc_03_input[[#This Row],[Forest]],MOD(aoc_03_input[[#This Row],[Pos2_4]]-1,LEN(aoc_03_input[[#This Row],[Forest]]))+1,1)</f>
        <v>.</v>
      </c>
      <c r="M103" s="1">
        <f>IF(aoc_03_input[[#This Row],[CharAtPos2_4]]="#",1,0)</f>
        <v>0</v>
      </c>
      <c r="N103" s="1">
        <f>MOD(ROW(aoc_03_input[[#This Row],[CountRow2_5]])+1,2)</f>
        <v>0</v>
      </c>
      <c r="O103" s="1">
        <f t="shared" si="9"/>
        <v>51</v>
      </c>
      <c r="P103" s="1" t="str">
        <f>MID(aoc_03_input[[#This Row],[Forest]],MOD(aoc_03_input[[#This Row],[Pos2_5]]-1,LEN(aoc_03_input[[#This Row],[Forest]]))+1,1)</f>
        <v>.</v>
      </c>
      <c r="Q103" s="1">
        <f>IF(AND(aoc_03_input[[#This Row],[CountRow2_5]]=1,aoc_03_input[[#This Row],[CharAtPos2_5]]="#"),1,0)</f>
        <v>0</v>
      </c>
    </row>
    <row r="104" spans="1:17" x14ac:dyDescent="0.45">
      <c r="A104" s="1" t="s">
        <v>1488</v>
      </c>
      <c r="B104" s="1">
        <f t="shared" si="5"/>
        <v>307</v>
      </c>
      <c r="C104" s="1" t="str">
        <f>MID(aoc_03_input[[#This Row],[Forest]],MOD(aoc_03_input[[#This Row],[Pos1]]-1,LEN(aoc_03_input[[#This Row],[Forest]]))+1,1)</f>
        <v>.</v>
      </c>
      <c r="D104" s="1">
        <f>IF(aoc_03_input[[#This Row],[CharAtPos1]]="#",1,0)</f>
        <v>0</v>
      </c>
      <c r="E104" s="1">
        <f t="shared" si="6"/>
        <v>103</v>
      </c>
      <c r="F104" s="1" t="str">
        <f>MID(aoc_03_input[[#This Row],[Forest]],MOD(aoc_03_input[[#This Row],[Pos2_1]]-1,LEN(aoc_03_input[[#This Row],[Forest]]))+1,1)</f>
        <v>.</v>
      </c>
      <c r="G104" s="1">
        <f>IF(aoc_03_input[[#This Row],[CharAtPos2_1]]="#",1,0)</f>
        <v>0</v>
      </c>
      <c r="H104" s="1">
        <f t="shared" si="7"/>
        <v>511</v>
      </c>
      <c r="I104" s="1" t="str">
        <f>MID(aoc_03_input[[#This Row],[Forest]],MOD(aoc_03_input[[#This Row],[Pos2_3]]-1,LEN(aoc_03_input[[#This Row],[Forest]]))+1,1)</f>
        <v>.</v>
      </c>
      <c r="J104" s="1">
        <f>IF(aoc_03_input[[#This Row],[CharAtPos2_3]]="#",1,0)</f>
        <v>0</v>
      </c>
      <c r="K104" s="1">
        <f t="shared" si="8"/>
        <v>715</v>
      </c>
      <c r="L104" s="1" t="str">
        <f>MID(aoc_03_input[[#This Row],[Forest]],MOD(aoc_03_input[[#This Row],[Pos2_4]]-1,LEN(aoc_03_input[[#This Row],[Forest]]))+1,1)</f>
        <v>.</v>
      </c>
      <c r="M104" s="1">
        <f>IF(aoc_03_input[[#This Row],[CharAtPos2_4]]="#",1,0)</f>
        <v>0</v>
      </c>
      <c r="N104" s="1">
        <f>MOD(ROW(aoc_03_input[[#This Row],[CountRow2_5]])+1,2)</f>
        <v>1</v>
      </c>
      <c r="O104" s="1">
        <f t="shared" si="9"/>
        <v>52</v>
      </c>
      <c r="P104" s="1" t="str">
        <f>MID(aoc_03_input[[#This Row],[Forest]],MOD(aoc_03_input[[#This Row],[Pos2_5]]-1,LEN(aoc_03_input[[#This Row],[Forest]]))+1,1)</f>
        <v>.</v>
      </c>
      <c r="Q104" s="1">
        <f>IF(AND(aoc_03_input[[#This Row],[CountRow2_5]]=1,aoc_03_input[[#This Row],[CharAtPos2_5]]="#"),1,0)</f>
        <v>0</v>
      </c>
    </row>
    <row r="105" spans="1:17" x14ac:dyDescent="0.45">
      <c r="A105" s="1" t="s">
        <v>1489</v>
      </c>
      <c r="B105" s="1">
        <f t="shared" si="5"/>
        <v>310</v>
      </c>
      <c r="C105" s="1" t="str">
        <f>MID(aoc_03_input[[#This Row],[Forest]],MOD(aoc_03_input[[#This Row],[Pos1]]-1,LEN(aoc_03_input[[#This Row],[Forest]]))+1,1)</f>
        <v>.</v>
      </c>
      <c r="D105" s="1">
        <f>IF(aoc_03_input[[#This Row],[CharAtPos1]]="#",1,0)</f>
        <v>0</v>
      </c>
      <c r="E105" s="1">
        <f t="shared" si="6"/>
        <v>104</v>
      </c>
      <c r="F105" s="1" t="str">
        <f>MID(aoc_03_input[[#This Row],[Forest]],MOD(aoc_03_input[[#This Row],[Pos2_1]]-1,LEN(aoc_03_input[[#This Row],[Forest]]))+1,1)</f>
        <v>.</v>
      </c>
      <c r="G105" s="1">
        <f>IF(aoc_03_input[[#This Row],[CharAtPos2_1]]="#",1,0)</f>
        <v>0</v>
      </c>
      <c r="H105" s="1">
        <f t="shared" si="7"/>
        <v>516</v>
      </c>
      <c r="I105" s="1" t="str">
        <f>MID(aoc_03_input[[#This Row],[Forest]],MOD(aoc_03_input[[#This Row],[Pos2_3]]-1,LEN(aoc_03_input[[#This Row],[Forest]]))+1,1)</f>
        <v>#</v>
      </c>
      <c r="J105" s="1">
        <f>IF(aoc_03_input[[#This Row],[CharAtPos2_3]]="#",1,0)</f>
        <v>1</v>
      </c>
      <c r="K105" s="1">
        <f t="shared" si="8"/>
        <v>722</v>
      </c>
      <c r="L105" s="1" t="str">
        <f>MID(aoc_03_input[[#This Row],[Forest]],MOD(aoc_03_input[[#This Row],[Pos2_4]]-1,LEN(aoc_03_input[[#This Row],[Forest]]))+1,1)</f>
        <v>.</v>
      </c>
      <c r="M105" s="1">
        <f>IF(aoc_03_input[[#This Row],[CharAtPos2_4]]="#",1,0)</f>
        <v>0</v>
      </c>
      <c r="N105" s="1">
        <f>MOD(ROW(aoc_03_input[[#This Row],[CountRow2_5]])+1,2)</f>
        <v>0</v>
      </c>
      <c r="O105" s="1">
        <f t="shared" si="9"/>
        <v>52</v>
      </c>
      <c r="P105" s="1" t="str">
        <f>MID(aoc_03_input[[#This Row],[Forest]],MOD(aoc_03_input[[#This Row],[Pos2_5]]-1,LEN(aoc_03_input[[#This Row],[Forest]]))+1,1)</f>
        <v>.</v>
      </c>
      <c r="Q105" s="1">
        <f>IF(AND(aoc_03_input[[#This Row],[CountRow2_5]]=1,aoc_03_input[[#This Row],[CharAtPos2_5]]="#"),1,0)</f>
        <v>0</v>
      </c>
    </row>
    <row r="106" spans="1:17" x14ac:dyDescent="0.45">
      <c r="A106" s="1" t="s">
        <v>1490</v>
      </c>
      <c r="B106" s="1">
        <f t="shared" si="5"/>
        <v>313</v>
      </c>
      <c r="C106" s="1" t="str">
        <f>MID(aoc_03_input[[#This Row],[Forest]],MOD(aoc_03_input[[#This Row],[Pos1]]-1,LEN(aoc_03_input[[#This Row],[Forest]]))+1,1)</f>
        <v>#</v>
      </c>
      <c r="D106" s="1">
        <f>IF(aoc_03_input[[#This Row],[CharAtPos1]]="#",1,0)</f>
        <v>1</v>
      </c>
      <c r="E106" s="1">
        <f t="shared" si="6"/>
        <v>105</v>
      </c>
      <c r="F106" s="1" t="str">
        <f>MID(aoc_03_input[[#This Row],[Forest]],MOD(aoc_03_input[[#This Row],[Pos2_1]]-1,LEN(aoc_03_input[[#This Row],[Forest]]))+1,1)</f>
        <v>.</v>
      </c>
      <c r="G106" s="1">
        <f>IF(aoc_03_input[[#This Row],[CharAtPos2_1]]="#",1,0)</f>
        <v>0</v>
      </c>
      <c r="H106" s="1">
        <f t="shared" si="7"/>
        <v>521</v>
      </c>
      <c r="I106" s="1" t="str">
        <f>MID(aoc_03_input[[#This Row],[Forest]],MOD(aoc_03_input[[#This Row],[Pos2_3]]-1,LEN(aoc_03_input[[#This Row],[Forest]]))+1,1)</f>
        <v>.</v>
      </c>
      <c r="J106" s="1">
        <f>IF(aoc_03_input[[#This Row],[CharAtPos2_3]]="#",1,0)</f>
        <v>0</v>
      </c>
      <c r="K106" s="1">
        <f t="shared" si="8"/>
        <v>729</v>
      </c>
      <c r="L106" s="1" t="str">
        <f>MID(aoc_03_input[[#This Row],[Forest]],MOD(aoc_03_input[[#This Row],[Pos2_4]]-1,LEN(aoc_03_input[[#This Row],[Forest]]))+1,1)</f>
        <v>.</v>
      </c>
      <c r="M106" s="1">
        <f>IF(aoc_03_input[[#This Row],[CharAtPos2_4]]="#",1,0)</f>
        <v>0</v>
      </c>
      <c r="N106" s="1">
        <f>MOD(ROW(aoc_03_input[[#This Row],[CountRow2_5]])+1,2)</f>
        <v>1</v>
      </c>
      <c r="O106" s="1">
        <f t="shared" si="9"/>
        <v>53</v>
      </c>
      <c r="P106" s="1" t="str">
        <f>MID(aoc_03_input[[#This Row],[Forest]],MOD(aoc_03_input[[#This Row],[Pos2_5]]-1,LEN(aoc_03_input[[#This Row],[Forest]]))+1,1)</f>
        <v>.</v>
      </c>
      <c r="Q106" s="1">
        <f>IF(AND(aoc_03_input[[#This Row],[CountRow2_5]]=1,aoc_03_input[[#This Row],[CharAtPos2_5]]="#"),1,0)</f>
        <v>0</v>
      </c>
    </row>
    <row r="107" spans="1:17" x14ac:dyDescent="0.45">
      <c r="A107" s="1" t="s">
        <v>1491</v>
      </c>
      <c r="B107" s="1">
        <f t="shared" si="5"/>
        <v>316</v>
      </c>
      <c r="C107" s="1" t="str">
        <f>MID(aoc_03_input[[#This Row],[Forest]],MOD(aoc_03_input[[#This Row],[Pos1]]-1,LEN(aoc_03_input[[#This Row],[Forest]]))+1,1)</f>
        <v>.</v>
      </c>
      <c r="D107" s="1">
        <f>IF(aoc_03_input[[#This Row],[CharAtPos1]]="#",1,0)</f>
        <v>0</v>
      </c>
      <c r="E107" s="1">
        <f t="shared" si="6"/>
        <v>106</v>
      </c>
      <c r="F107" s="1" t="str">
        <f>MID(aoc_03_input[[#This Row],[Forest]],MOD(aoc_03_input[[#This Row],[Pos2_1]]-1,LEN(aoc_03_input[[#This Row],[Forest]]))+1,1)</f>
        <v>.</v>
      </c>
      <c r="G107" s="1">
        <f>IF(aoc_03_input[[#This Row],[CharAtPos2_1]]="#",1,0)</f>
        <v>0</v>
      </c>
      <c r="H107" s="1">
        <f t="shared" si="7"/>
        <v>526</v>
      </c>
      <c r="I107" s="1" t="str">
        <f>MID(aoc_03_input[[#This Row],[Forest]],MOD(aoc_03_input[[#This Row],[Pos2_3]]-1,LEN(aoc_03_input[[#This Row],[Forest]]))+1,1)</f>
        <v>.</v>
      </c>
      <c r="J107" s="1">
        <f>IF(aoc_03_input[[#This Row],[CharAtPos2_3]]="#",1,0)</f>
        <v>0</v>
      </c>
      <c r="K107" s="1">
        <f t="shared" si="8"/>
        <v>736</v>
      </c>
      <c r="L107" s="1" t="str">
        <f>MID(aoc_03_input[[#This Row],[Forest]],MOD(aoc_03_input[[#This Row],[Pos2_4]]-1,LEN(aoc_03_input[[#This Row],[Forest]]))+1,1)</f>
        <v>.</v>
      </c>
      <c r="M107" s="1">
        <f>IF(aoc_03_input[[#This Row],[CharAtPos2_4]]="#",1,0)</f>
        <v>0</v>
      </c>
      <c r="N107" s="1">
        <f>MOD(ROW(aoc_03_input[[#This Row],[CountRow2_5]])+1,2)</f>
        <v>0</v>
      </c>
      <c r="O107" s="1">
        <f t="shared" si="9"/>
        <v>53</v>
      </c>
      <c r="P107" s="1" t="str">
        <f>MID(aoc_03_input[[#This Row],[Forest]],MOD(aoc_03_input[[#This Row],[Pos2_5]]-1,LEN(aoc_03_input[[#This Row],[Forest]]))+1,1)</f>
        <v>.</v>
      </c>
      <c r="Q107" s="1">
        <f>IF(AND(aoc_03_input[[#This Row],[CountRow2_5]]=1,aoc_03_input[[#This Row],[CharAtPos2_5]]="#"),1,0)</f>
        <v>0</v>
      </c>
    </row>
    <row r="108" spans="1:17" x14ac:dyDescent="0.45">
      <c r="A108" s="1" t="s">
        <v>1492</v>
      </c>
      <c r="B108" s="1">
        <f t="shared" si="5"/>
        <v>319</v>
      </c>
      <c r="C108" s="1" t="str">
        <f>MID(aoc_03_input[[#This Row],[Forest]],MOD(aoc_03_input[[#This Row],[Pos1]]-1,LEN(aoc_03_input[[#This Row],[Forest]]))+1,1)</f>
        <v>#</v>
      </c>
      <c r="D108" s="1">
        <f>IF(aoc_03_input[[#This Row],[CharAtPos1]]="#",1,0)</f>
        <v>1</v>
      </c>
      <c r="E108" s="1">
        <f t="shared" si="6"/>
        <v>107</v>
      </c>
      <c r="F108" s="1" t="str">
        <f>MID(aoc_03_input[[#This Row],[Forest]],MOD(aoc_03_input[[#This Row],[Pos2_1]]-1,LEN(aoc_03_input[[#This Row],[Forest]]))+1,1)</f>
        <v>.</v>
      </c>
      <c r="G108" s="1">
        <f>IF(aoc_03_input[[#This Row],[CharAtPos2_1]]="#",1,0)</f>
        <v>0</v>
      </c>
      <c r="H108" s="1">
        <f t="shared" si="7"/>
        <v>531</v>
      </c>
      <c r="I108" s="1" t="str">
        <f>MID(aoc_03_input[[#This Row],[Forest]],MOD(aoc_03_input[[#This Row],[Pos2_3]]-1,LEN(aoc_03_input[[#This Row],[Forest]]))+1,1)</f>
        <v>.</v>
      </c>
      <c r="J108" s="1">
        <f>IF(aoc_03_input[[#This Row],[CharAtPos2_3]]="#",1,0)</f>
        <v>0</v>
      </c>
      <c r="K108" s="1">
        <f t="shared" si="8"/>
        <v>743</v>
      </c>
      <c r="L108" s="1" t="str">
        <f>MID(aoc_03_input[[#This Row],[Forest]],MOD(aoc_03_input[[#This Row],[Pos2_4]]-1,LEN(aoc_03_input[[#This Row],[Forest]]))+1,1)</f>
        <v>.</v>
      </c>
      <c r="M108" s="1">
        <f>IF(aoc_03_input[[#This Row],[CharAtPos2_4]]="#",1,0)</f>
        <v>0</v>
      </c>
      <c r="N108" s="1">
        <f>MOD(ROW(aoc_03_input[[#This Row],[CountRow2_5]])+1,2)</f>
        <v>1</v>
      </c>
      <c r="O108" s="1">
        <f t="shared" si="9"/>
        <v>54</v>
      </c>
      <c r="P108" s="1" t="str">
        <f>MID(aoc_03_input[[#This Row],[Forest]],MOD(aoc_03_input[[#This Row],[Pos2_5]]-1,LEN(aoc_03_input[[#This Row],[Forest]]))+1,1)</f>
        <v>.</v>
      </c>
      <c r="Q108" s="1">
        <f>IF(AND(aoc_03_input[[#This Row],[CountRow2_5]]=1,aoc_03_input[[#This Row],[CharAtPos2_5]]="#"),1,0)</f>
        <v>0</v>
      </c>
    </row>
    <row r="109" spans="1:17" x14ac:dyDescent="0.45">
      <c r="A109" s="1" t="s">
        <v>1493</v>
      </c>
      <c r="B109" s="1">
        <f t="shared" si="5"/>
        <v>322</v>
      </c>
      <c r="C109" s="1" t="str">
        <f>MID(aoc_03_input[[#This Row],[Forest]],MOD(aoc_03_input[[#This Row],[Pos1]]-1,LEN(aoc_03_input[[#This Row],[Forest]]))+1,1)</f>
        <v>.</v>
      </c>
      <c r="D109" s="1">
        <f>IF(aoc_03_input[[#This Row],[CharAtPos1]]="#",1,0)</f>
        <v>0</v>
      </c>
      <c r="E109" s="1">
        <f t="shared" si="6"/>
        <v>108</v>
      </c>
      <c r="F109" s="1" t="str">
        <f>MID(aoc_03_input[[#This Row],[Forest]],MOD(aoc_03_input[[#This Row],[Pos2_1]]-1,LEN(aoc_03_input[[#This Row],[Forest]]))+1,1)</f>
        <v>.</v>
      </c>
      <c r="G109" s="1">
        <f>IF(aoc_03_input[[#This Row],[CharAtPos2_1]]="#",1,0)</f>
        <v>0</v>
      </c>
      <c r="H109" s="1">
        <f t="shared" si="7"/>
        <v>536</v>
      </c>
      <c r="I109" s="1" t="str">
        <f>MID(aoc_03_input[[#This Row],[Forest]],MOD(aoc_03_input[[#This Row],[Pos2_3]]-1,LEN(aoc_03_input[[#This Row],[Forest]]))+1,1)</f>
        <v>.</v>
      </c>
      <c r="J109" s="1">
        <f>IF(aoc_03_input[[#This Row],[CharAtPos2_3]]="#",1,0)</f>
        <v>0</v>
      </c>
      <c r="K109" s="1">
        <f t="shared" si="8"/>
        <v>750</v>
      </c>
      <c r="L109" s="1" t="str">
        <f>MID(aoc_03_input[[#This Row],[Forest]],MOD(aoc_03_input[[#This Row],[Pos2_4]]-1,LEN(aoc_03_input[[#This Row],[Forest]]))+1,1)</f>
        <v>.</v>
      </c>
      <c r="M109" s="1">
        <f>IF(aoc_03_input[[#This Row],[CharAtPos2_4]]="#",1,0)</f>
        <v>0</v>
      </c>
      <c r="N109" s="1">
        <f>MOD(ROW(aoc_03_input[[#This Row],[CountRow2_5]])+1,2)</f>
        <v>0</v>
      </c>
      <c r="O109" s="1">
        <f t="shared" si="9"/>
        <v>54</v>
      </c>
      <c r="P109" s="1" t="str">
        <f>MID(aoc_03_input[[#This Row],[Forest]],MOD(aoc_03_input[[#This Row],[Pos2_5]]-1,LEN(aoc_03_input[[#This Row],[Forest]]))+1,1)</f>
        <v>#</v>
      </c>
      <c r="Q109" s="1">
        <f>IF(AND(aoc_03_input[[#This Row],[CountRow2_5]]=1,aoc_03_input[[#This Row],[CharAtPos2_5]]="#"),1,0)</f>
        <v>0</v>
      </c>
    </row>
    <row r="110" spans="1:17" x14ac:dyDescent="0.45">
      <c r="A110" s="1" t="s">
        <v>1494</v>
      </c>
      <c r="B110" s="1">
        <f t="shared" si="5"/>
        <v>325</v>
      </c>
      <c r="C110" s="1" t="str">
        <f>MID(aoc_03_input[[#This Row],[Forest]],MOD(aoc_03_input[[#This Row],[Pos1]]-1,LEN(aoc_03_input[[#This Row],[Forest]]))+1,1)</f>
        <v>.</v>
      </c>
      <c r="D110" s="1">
        <f>IF(aoc_03_input[[#This Row],[CharAtPos1]]="#",1,0)</f>
        <v>0</v>
      </c>
      <c r="E110" s="1">
        <f t="shared" si="6"/>
        <v>109</v>
      </c>
      <c r="F110" s="1" t="str">
        <f>MID(aoc_03_input[[#This Row],[Forest]],MOD(aoc_03_input[[#This Row],[Pos2_1]]-1,LEN(aoc_03_input[[#This Row],[Forest]]))+1,1)</f>
        <v>.</v>
      </c>
      <c r="G110" s="1">
        <f>IF(aoc_03_input[[#This Row],[CharAtPos2_1]]="#",1,0)</f>
        <v>0</v>
      </c>
      <c r="H110" s="1">
        <f t="shared" si="7"/>
        <v>541</v>
      </c>
      <c r="I110" s="1" t="str">
        <f>MID(aoc_03_input[[#This Row],[Forest]],MOD(aoc_03_input[[#This Row],[Pos2_3]]-1,LEN(aoc_03_input[[#This Row],[Forest]]))+1,1)</f>
        <v>.</v>
      </c>
      <c r="J110" s="1">
        <f>IF(aoc_03_input[[#This Row],[CharAtPos2_3]]="#",1,0)</f>
        <v>0</v>
      </c>
      <c r="K110" s="1">
        <f t="shared" si="8"/>
        <v>757</v>
      </c>
      <c r="L110" s="1" t="str">
        <f>MID(aoc_03_input[[#This Row],[Forest]],MOD(aoc_03_input[[#This Row],[Pos2_4]]-1,LEN(aoc_03_input[[#This Row],[Forest]]))+1,1)</f>
        <v>.</v>
      </c>
      <c r="M110" s="1">
        <f>IF(aoc_03_input[[#This Row],[CharAtPos2_4]]="#",1,0)</f>
        <v>0</v>
      </c>
      <c r="N110" s="1">
        <f>MOD(ROW(aoc_03_input[[#This Row],[CountRow2_5]])+1,2)</f>
        <v>1</v>
      </c>
      <c r="O110" s="1">
        <f t="shared" si="9"/>
        <v>55</v>
      </c>
      <c r="P110" s="1" t="str">
        <f>MID(aoc_03_input[[#This Row],[Forest]],MOD(aoc_03_input[[#This Row],[Pos2_5]]-1,LEN(aoc_03_input[[#This Row],[Forest]]))+1,1)</f>
        <v>#</v>
      </c>
      <c r="Q110" s="1">
        <f>IF(AND(aoc_03_input[[#This Row],[CountRow2_5]]=1,aoc_03_input[[#This Row],[CharAtPos2_5]]="#"),1,0)</f>
        <v>1</v>
      </c>
    </row>
    <row r="111" spans="1:17" x14ac:dyDescent="0.45">
      <c r="A111" s="1" t="s">
        <v>1495</v>
      </c>
      <c r="B111" s="1">
        <f t="shared" si="5"/>
        <v>328</v>
      </c>
      <c r="C111" s="1" t="str">
        <f>MID(aoc_03_input[[#This Row],[Forest]],MOD(aoc_03_input[[#This Row],[Pos1]]-1,LEN(aoc_03_input[[#This Row],[Forest]]))+1,1)</f>
        <v>.</v>
      </c>
      <c r="D111" s="1">
        <f>IF(aoc_03_input[[#This Row],[CharAtPos1]]="#",1,0)</f>
        <v>0</v>
      </c>
      <c r="E111" s="1">
        <f t="shared" si="6"/>
        <v>110</v>
      </c>
      <c r="F111" s="1" t="str">
        <f>MID(aoc_03_input[[#This Row],[Forest]],MOD(aoc_03_input[[#This Row],[Pos2_1]]-1,LEN(aoc_03_input[[#This Row],[Forest]]))+1,1)</f>
        <v>.</v>
      </c>
      <c r="G111" s="1">
        <f>IF(aoc_03_input[[#This Row],[CharAtPos2_1]]="#",1,0)</f>
        <v>0</v>
      </c>
      <c r="H111" s="1">
        <f t="shared" si="7"/>
        <v>546</v>
      </c>
      <c r="I111" s="1" t="str">
        <f>MID(aoc_03_input[[#This Row],[Forest]],MOD(aoc_03_input[[#This Row],[Pos2_3]]-1,LEN(aoc_03_input[[#This Row],[Forest]]))+1,1)</f>
        <v>#</v>
      </c>
      <c r="J111" s="1">
        <f>IF(aoc_03_input[[#This Row],[CharAtPos2_3]]="#",1,0)</f>
        <v>1</v>
      </c>
      <c r="K111" s="1">
        <f t="shared" si="8"/>
        <v>764</v>
      </c>
      <c r="L111" s="1" t="str">
        <f>MID(aoc_03_input[[#This Row],[Forest]],MOD(aoc_03_input[[#This Row],[Pos2_4]]-1,LEN(aoc_03_input[[#This Row],[Forest]]))+1,1)</f>
        <v>#</v>
      </c>
      <c r="M111" s="1">
        <f>IF(aoc_03_input[[#This Row],[CharAtPos2_4]]="#",1,0)</f>
        <v>1</v>
      </c>
      <c r="N111" s="1">
        <f>MOD(ROW(aoc_03_input[[#This Row],[CountRow2_5]])+1,2)</f>
        <v>0</v>
      </c>
      <c r="O111" s="1">
        <f t="shared" si="9"/>
        <v>55</v>
      </c>
      <c r="P111" s="1" t="str">
        <f>MID(aoc_03_input[[#This Row],[Forest]],MOD(aoc_03_input[[#This Row],[Pos2_5]]-1,LEN(aoc_03_input[[#This Row],[Forest]]))+1,1)</f>
        <v>.</v>
      </c>
      <c r="Q111" s="1">
        <f>IF(AND(aoc_03_input[[#This Row],[CountRow2_5]]=1,aoc_03_input[[#This Row],[CharAtPos2_5]]="#"),1,0)</f>
        <v>0</v>
      </c>
    </row>
    <row r="112" spans="1:17" x14ac:dyDescent="0.45">
      <c r="A112" s="1" t="s">
        <v>1496</v>
      </c>
      <c r="B112" s="1">
        <f t="shared" si="5"/>
        <v>331</v>
      </c>
      <c r="C112" s="1" t="str">
        <f>MID(aoc_03_input[[#This Row],[Forest]],MOD(aoc_03_input[[#This Row],[Pos1]]-1,LEN(aoc_03_input[[#This Row],[Forest]]))+1,1)</f>
        <v>.</v>
      </c>
      <c r="D112" s="1">
        <f>IF(aoc_03_input[[#This Row],[CharAtPos1]]="#",1,0)</f>
        <v>0</v>
      </c>
      <c r="E112" s="1">
        <f t="shared" si="6"/>
        <v>111</v>
      </c>
      <c r="F112" s="1" t="str">
        <f>MID(aoc_03_input[[#This Row],[Forest]],MOD(aoc_03_input[[#This Row],[Pos2_1]]-1,LEN(aoc_03_input[[#This Row],[Forest]]))+1,1)</f>
        <v>.</v>
      </c>
      <c r="G112" s="1">
        <f>IF(aoc_03_input[[#This Row],[CharAtPos2_1]]="#",1,0)</f>
        <v>0</v>
      </c>
      <c r="H112" s="1">
        <f t="shared" si="7"/>
        <v>551</v>
      </c>
      <c r="I112" s="1" t="str">
        <f>MID(aoc_03_input[[#This Row],[Forest]],MOD(aoc_03_input[[#This Row],[Pos2_3]]-1,LEN(aoc_03_input[[#This Row],[Forest]]))+1,1)</f>
        <v>.</v>
      </c>
      <c r="J112" s="1">
        <f>IF(aoc_03_input[[#This Row],[CharAtPos2_3]]="#",1,0)</f>
        <v>0</v>
      </c>
      <c r="K112" s="1">
        <f t="shared" si="8"/>
        <v>771</v>
      </c>
      <c r="L112" s="1" t="str">
        <f>MID(aoc_03_input[[#This Row],[Forest]],MOD(aoc_03_input[[#This Row],[Pos2_4]]-1,LEN(aoc_03_input[[#This Row],[Forest]]))+1,1)</f>
        <v>.</v>
      </c>
      <c r="M112" s="1">
        <f>IF(aoc_03_input[[#This Row],[CharAtPos2_4]]="#",1,0)</f>
        <v>0</v>
      </c>
      <c r="N112" s="1">
        <f>MOD(ROW(aoc_03_input[[#This Row],[CountRow2_5]])+1,2)</f>
        <v>1</v>
      </c>
      <c r="O112" s="1">
        <f t="shared" si="9"/>
        <v>56</v>
      </c>
      <c r="P112" s="1" t="str">
        <f>MID(aoc_03_input[[#This Row],[Forest]],MOD(aoc_03_input[[#This Row],[Pos2_5]]-1,LEN(aoc_03_input[[#This Row],[Forest]]))+1,1)</f>
        <v>.</v>
      </c>
      <c r="Q112" s="1">
        <f>IF(AND(aoc_03_input[[#This Row],[CountRow2_5]]=1,aoc_03_input[[#This Row],[CharAtPos2_5]]="#"),1,0)</f>
        <v>0</v>
      </c>
    </row>
    <row r="113" spans="1:17" x14ac:dyDescent="0.45">
      <c r="A113" s="1" t="s">
        <v>1497</v>
      </c>
      <c r="B113" s="1">
        <f t="shared" si="5"/>
        <v>334</v>
      </c>
      <c r="C113" s="1" t="str">
        <f>MID(aoc_03_input[[#This Row],[Forest]],MOD(aoc_03_input[[#This Row],[Pos1]]-1,LEN(aoc_03_input[[#This Row],[Forest]]))+1,1)</f>
        <v>#</v>
      </c>
      <c r="D113" s="1">
        <f>IF(aoc_03_input[[#This Row],[CharAtPos1]]="#",1,0)</f>
        <v>1</v>
      </c>
      <c r="E113" s="1">
        <f t="shared" si="6"/>
        <v>112</v>
      </c>
      <c r="F113" s="1" t="str">
        <f>MID(aoc_03_input[[#This Row],[Forest]],MOD(aoc_03_input[[#This Row],[Pos2_1]]-1,LEN(aoc_03_input[[#This Row],[Forest]]))+1,1)</f>
        <v>.</v>
      </c>
      <c r="G113" s="1">
        <f>IF(aoc_03_input[[#This Row],[CharAtPos2_1]]="#",1,0)</f>
        <v>0</v>
      </c>
      <c r="H113" s="1">
        <f t="shared" si="7"/>
        <v>556</v>
      </c>
      <c r="I113" s="1" t="str">
        <f>MID(aoc_03_input[[#This Row],[Forest]],MOD(aoc_03_input[[#This Row],[Pos2_3]]-1,LEN(aoc_03_input[[#This Row],[Forest]]))+1,1)</f>
        <v>.</v>
      </c>
      <c r="J113" s="1">
        <f>IF(aoc_03_input[[#This Row],[CharAtPos2_3]]="#",1,0)</f>
        <v>0</v>
      </c>
      <c r="K113" s="1">
        <f t="shared" si="8"/>
        <v>778</v>
      </c>
      <c r="L113" s="1" t="str">
        <f>MID(aoc_03_input[[#This Row],[Forest]],MOD(aoc_03_input[[#This Row],[Pos2_4]]-1,LEN(aoc_03_input[[#This Row],[Forest]]))+1,1)</f>
        <v>#</v>
      </c>
      <c r="M113" s="1">
        <f>IF(aoc_03_input[[#This Row],[CharAtPos2_4]]="#",1,0)</f>
        <v>1</v>
      </c>
      <c r="N113" s="1">
        <f>MOD(ROW(aoc_03_input[[#This Row],[CountRow2_5]])+1,2)</f>
        <v>0</v>
      </c>
      <c r="O113" s="1">
        <f t="shared" si="9"/>
        <v>56</v>
      </c>
      <c r="P113" s="1" t="str">
        <f>MID(aoc_03_input[[#This Row],[Forest]],MOD(aoc_03_input[[#This Row],[Pos2_5]]-1,LEN(aoc_03_input[[#This Row],[Forest]]))+1,1)</f>
        <v>.</v>
      </c>
      <c r="Q113" s="1">
        <f>IF(AND(aoc_03_input[[#This Row],[CountRow2_5]]=1,aoc_03_input[[#This Row],[CharAtPos2_5]]="#"),1,0)</f>
        <v>0</v>
      </c>
    </row>
    <row r="114" spans="1:17" x14ac:dyDescent="0.45">
      <c r="A114" s="1" t="s">
        <v>1498</v>
      </c>
      <c r="B114" s="1">
        <f t="shared" si="5"/>
        <v>337</v>
      </c>
      <c r="C114" s="1" t="str">
        <f>MID(aoc_03_input[[#This Row],[Forest]],MOD(aoc_03_input[[#This Row],[Pos1]]-1,LEN(aoc_03_input[[#This Row],[Forest]]))+1,1)</f>
        <v>#</v>
      </c>
      <c r="D114" s="1">
        <f>IF(aoc_03_input[[#This Row],[CharAtPos1]]="#",1,0)</f>
        <v>1</v>
      </c>
      <c r="E114" s="1">
        <f t="shared" si="6"/>
        <v>113</v>
      </c>
      <c r="F114" s="1" t="str">
        <f>MID(aoc_03_input[[#This Row],[Forest]],MOD(aoc_03_input[[#This Row],[Pos2_1]]-1,LEN(aoc_03_input[[#This Row],[Forest]]))+1,1)</f>
        <v>#</v>
      </c>
      <c r="G114" s="1">
        <f>IF(aoc_03_input[[#This Row],[CharAtPos2_1]]="#",1,0)</f>
        <v>1</v>
      </c>
      <c r="H114" s="1">
        <f t="shared" si="7"/>
        <v>561</v>
      </c>
      <c r="I114" s="1" t="str">
        <f>MID(aoc_03_input[[#This Row],[Forest]],MOD(aoc_03_input[[#This Row],[Pos2_3]]-1,LEN(aoc_03_input[[#This Row],[Forest]]))+1,1)</f>
        <v>.</v>
      </c>
      <c r="J114" s="1">
        <f>IF(aoc_03_input[[#This Row],[CharAtPos2_3]]="#",1,0)</f>
        <v>0</v>
      </c>
      <c r="K114" s="1">
        <f t="shared" si="8"/>
        <v>785</v>
      </c>
      <c r="L114" s="1" t="str">
        <f>MID(aoc_03_input[[#This Row],[Forest]],MOD(aoc_03_input[[#This Row],[Pos2_4]]-1,LEN(aoc_03_input[[#This Row],[Forest]]))+1,1)</f>
        <v>.</v>
      </c>
      <c r="M114" s="1">
        <f>IF(aoc_03_input[[#This Row],[CharAtPos2_4]]="#",1,0)</f>
        <v>0</v>
      </c>
      <c r="N114" s="1">
        <f>MOD(ROW(aoc_03_input[[#This Row],[CountRow2_5]])+1,2)</f>
        <v>1</v>
      </c>
      <c r="O114" s="1">
        <f t="shared" si="9"/>
        <v>57</v>
      </c>
      <c r="P114" s="1" t="str">
        <f>MID(aoc_03_input[[#This Row],[Forest]],MOD(aoc_03_input[[#This Row],[Pos2_5]]-1,LEN(aoc_03_input[[#This Row],[Forest]]))+1,1)</f>
        <v>.</v>
      </c>
      <c r="Q114" s="1">
        <f>IF(AND(aoc_03_input[[#This Row],[CountRow2_5]]=1,aoc_03_input[[#This Row],[CharAtPos2_5]]="#"),1,0)</f>
        <v>0</v>
      </c>
    </row>
    <row r="115" spans="1:17" x14ac:dyDescent="0.45">
      <c r="A115" s="1" t="s">
        <v>1499</v>
      </c>
      <c r="B115" s="1">
        <f t="shared" si="5"/>
        <v>340</v>
      </c>
      <c r="C115" s="1" t="str">
        <f>MID(aoc_03_input[[#This Row],[Forest]],MOD(aoc_03_input[[#This Row],[Pos1]]-1,LEN(aoc_03_input[[#This Row],[Forest]]))+1,1)</f>
        <v>.</v>
      </c>
      <c r="D115" s="1">
        <f>IF(aoc_03_input[[#This Row],[CharAtPos1]]="#",1,0)</f>
        <v>0</v>
      </c>
      <c r="E115" s="1">
        <f t="shared" si="6"/>
        <v>114</v>
      </c>
      <c r="F115" s="1" t="str">
        <f>MID(aoc_03_input[[#This Row],[Forest]],MOD(aoc_03_input[[#This Row],[Pos2_1]]-1,LEN(aoc_03_input[[#This Row],[Forest]]))+1,1)</f>
        <v>.</v>
      </c>
      <c r="G115" s="1">
        <f>IF(aoc_03_input[[#This Row],[CharAtPos2_1]]="#",1,0)</f>
        <v>0</v>
      </c>
      <c r="H115" s="1">
        <f t="shared" si="7"/>
        <v>566</v>
      </c>
      <c r="I115" s="1" t="str">
        <f>MID(aoc_03_input[[#This Row],[Forest]],MOD(aoc_03_input[[#This Row],[Pos2_3]]-1,LEN(aoc_03_input[[#This Row],[Forest]]))+1,1)</f>
        <v>.</v>
      </c>
      <c r="J115" s="1">
        <f>IF(aoc_03_input[[#This Row],[CharAtPos2_3]]="#",1,0)</f>
        <v>0</v>
      </c>
      <c r="K115" s="1">
        <f t="shared" si="8"/>
        <v>792</v>
      </c>
      <c r="L115" s="1" t="str">
        <f>MID(aoc_03_input[[#This Row],[Forest]],MOD(aoc_03_input[[#This Row],[Pos2_4]]-1,LEN(aoc_03_input[[#This Row],[Forest]]))+1,1)</f>
        <v>.</v>
      </c>
      <c r="M115" s="1">
        <f>IF(aoc_03_input[[#This Row],[CharAtPos2_4]]="#",1,0)</f>
        <v>0</v>
      </c>
      <c r="N115" s="1">
        <f>MOD(ROW(aoc_03_input[[#This Row],[CountRow2_5]])+1,2)</f>
        <v>0</v>
      </c>
      <c r="O115" s="1">
        <f t="shared" si="9"/>
        <v>57</v>
      </c>
      <c r="P115" s="1" t="str">
        <f>MID(aoc_03_input[[#This Row],[Forest]],MOD(aoc_03_input[[#This Row],[Pos2_5]]-1,LEN(aoc_03_input[[#This Row],[Forest]]))+1,1)</f>
        <v>.</v>
      </c>
      <c r="Q115" s="1">
        <f>IF(AND(aoc_03_input[[#This Row],[CountRow2_5]]=1,aoc_03_input[[#This Row],[CharAtPos2_5]]="#"),1,0)</f>
        <v>0</v>
      </c>
    </row>
    <row r="116" spans="1:17" x14ac:dyDescent="0.45">
      <c r="A116" s="1" t="s">
        <v>1500</v>
      </c>
      <c r="B116" s="1">
        <f t="shared" si="5"/>
        <v>343</v>
      </c>
      <c r="C116" s="1" t="str">
        <f>MID(aoc_03_input[[#This Row],[Forest]],MOD(aoc_03_input[[#This Row],[Pos1]]-1,LEN(aoc_03_input[[#This Row],[Forest]]))+1,1)</f>
        <v>.</v>
      </c>
      <c r="D116" s="1">
        <f>IF(aoc_03_input[[#This Row],[CharAtPos1]]="#",1,0)</f>
        <v>0</v>
      </c>
      <c r="E116" s="1">
        <f t="shared" si="6"/>
        <v>115</v>
      </c>
      <c r="F116" s="1" t="str">
        <f>MID(aoc_03_input[[#This Row],[Forest]],MOD(aoc_03_input[[#This Row],[Pos2_1]]-1,LEN(aoc_03_input[[#This Row],[Forest]]))+1,1)</f>
        <v>.</v>
      </c>
      <c r="G116" s="1">
        <f>IF(aoc_03_input[[#This Row],[CharAtPos2_1]]="#",1,0)</f>
        <v>0</v>
      </c>
      <c r="H116" s="1">
        <f t="shared" si="7"/>
        <v>571</v>
      </c>
      <c r="I116" s="1" t="str">
        <f>MID(aoc_03_input[[#This Row],[Forest]],MOD(aoc_03_input[[#This Row],[Pos2_3]]-1,LEN(aoc_03_input[[#This Row],[Forest]]))+1,1)</f>
        <v>.</v>
      </c>
      <c r="J116" s="1">
        <f>IF(aoc_03_input[[#This Row],[CharAtPos2_3]]="#",1,0)</f>
        <v>0</v>
      </c>
      <c r="K116" s="1">
        <f t="shared" si="8"/>
        <v>799</v>
      </c>
      <c r="L116" s="1" t="str">
        <f>MID(aoc_03_input[[#This Row],[Forest]],MOD(aoc_03_input[[#This Row],[Pos2_4]]-1,LEN(aoc_03_input[[#This Row],[Forest]]))+1,1)</f>
        <v>#</v>
      </c>
      <c r="M116" s="1">
        <f>IF(aoc_03_input[[#This Row],[CharAtPos2_4]]="#",1,0)</f>
        <v>1</v>
      </c>
      <c r="N116" s="1">
        <f>MOD(ROW(aoc_03_input[[#This Row],[CountRow2_5]])+1,2)</f>
        <v>1</v>
      </c>
      <c r="O116" s="1">
        <f t="shared" si="9"/>
        <v>58</v>
      </c>
      <c r="P116" s="1" t="str">
        <f>MID(aoc_03_input[[#This Row],[Forest]],MOD(aoc_03_input[[#This Row],[Pos2_5]]-1,LEN(aoc_03_input[[#This Row],[Forest]]))+1,1)</f>
        <v>.</v>
      </c>
      <c r="Q116" s="1">
        <f>IF(AND(aoc_03_input[[#This Row],[CountRow2_5]]=1,aoc_03_input[[#This Row],[CharAtPos2_5]]="#"),1,0)</f>
        <v>0</v>
      </c>
    </row>
    <row r="117" spans="1:17" x14ac:dyDescent="0.45">
      <c r="A117" s="1" t="s">
        <v>1501</v>
      </c>
      <c r="B117" s="1">
        <f t="shared" si="5"/>
        <v>346</v>
      </c>
      <c r="C117" s="1" t="str">
        <f>MID(aoc_03_input[[#This Row],[Forest]],MOD(aoc_03_input[[#This Row],[Pos1]]-1,LEN(aoc_03_input[[#This Row],[Forest]]))+1,1)</f>
        <v>#</v>
      </c>
      <c r="D117" s="1">
        <f>IF(aoc_03_input[[#This Row],[CharAtPos1]]="#",1,0)</f>
        <v>1</v>
      </c>
      <c r="E117" s="1">
        <f t="shared" si="6"/>
        <v>116</v>
      </c>
      <c r="F117" s="1" t="str">
        <f>MID(aoc_03_input[[#This Row],[Forest]],MOD(aoc_03_input[[#This Row],[Pos2_1]]-1,LEN(aoc_03_input[[#This Row],[Forest]]))+1,1)</f>
        <v>#</v>
      </c>
      <c r="G117" s="1">
        <f>IF(aoc_03_input[[#This Row],[CharAtPos2_1]]="#",1,0)</f>
        <v>1</v>
      </c>
      <c r="H117" s="1">
        <f t="shared" si="7"/>
        <v>576</v>
      </c>
      <c r="I117" s="1" t="str">
        <f>MID(aoc_03_input[[#This Row],[Forest]],MOD(aoc_03_input[[#This Row],[Pos2_3]]-1,LEN(aoc_03_input[[#This Row],[Forest]]))+1,1)</f>
        <v>.</v>
      </c>
      <c r="J117" s="1">
        <f>IF(aoc_03_input[[#This Row],[CharAtPos2_3]]="#",1,0)</f>
        <v>0</v>
      </c>
      <c r="K117" s="1">
        <f t="shared" si="8"/>
        <v>806</v>
      </c>
      <c r="L117" s="1" t="str">
        <f>MID(aoc_03_input[[#This Row],[Forest]],MOD(aoc_03_input[[#This Row],[Pos2_4]]-1,LEN(aoc_03_input[[#This Row],[Forest]]))+1,1)</f>
        <v>.</v>
      </c>
      <c r="M117" s="1">
        <f>IF(aoc_03_input[[#This Row],[CharAtPos2_4]]="#",1,0)</f>
        <v>0</v>
      </c>
      <c r="N117" s="1">
        <f>MOD(ROW(aoc_03_input[[#This Row],[CountRow2_5]])+1,2)</f>
        <v>0</v>
      </c>
      <c r="O117" s="1">
        <f t="shared" si="9"/>
        <v>58</v>
      </c>
      <c r="P117" s="1" t="str">
        <f>MID(aoc_03_input[[#This Row],[Forest]],MOD(aoc_03_input[[#This Row],[Pos2_5]]-1,LEN(aoc_03_input[[#This Row],[Forest]]))+1,1)</f>
        <v>.</v>
      </c>
      <c r="Q117" s="1">
        <f>IF(AND(aoc_03_input[[#This Row],[CountRow2_5]]=1,aoc_03_input[[#This Row],[CharAtPos2_5]]="#"),1,0)</f>
        <v>0</v>
      </c>
    </row>
    <row r="118" spans="1:17" x14ac:dyDescent="0.45">
      <c r="A118" s="1" t="s">
        <v>1502</v>
      </c>
      <c r="B118" s="1">
        <f t="shared" si="5"/>
        <v>349</v>
      </c>
      <c r="C118" s="1" t="str">
        <f>MID(aoc_03_input[[#This Row],[Forest]],MOD(aoc_03_input[[#This Row],[Pos1]]-1,LEN(aoc_03_input[[#This Row],[Forest]]))+1,1)</f>
        <v>#</v>
      </c>
      <c r="D118" s="1">
        <f>IF(aoc_03_input[[#This Row],[CharAtPos1]]="#",1,0)</f>
        <v>1</v>
      </c>
      <c r="E118" s="1">
        <f t="shared" si="6"/>
        <v>117</v>
      </c>
      <c r="F118" s="1" t="str">
        <f>MID(aoc_03_input[[#This Row],[Forest]],MOD(aoc_03_input[[#This Row],[Pos2_1]]-1,LEN(aoc_03_input[[#This Row],[Forest]]))+1,1)</f>
        <v>.</v>
      </c>
      <c r="G118" s="1">
        <f>IF(aoc_03_input[[#This Row],[CharAtPos2_1]]="#",1,0)</f>
        <v>0</v>
      </c>
      <c r="H118" s="1">
        <f t="shared" si="7"/>
        <v>581</v>
      </c>
      <c r="I118" s="1" t="str">
        <f>MID(aoc_03_input[[#This Row],[Forest]],MOD(aoc_03_input[[#This Row],[Pos2_3]]-1,LEN(aoc_03_input[[#This Row],[Forest]]))+1,1)</f>
        <v>#</v>
      </c>
      <c r="J118" s="1">
        <f>IF(aoc_03_input[[#This Row],[CharAtPos2_3]]="#",1,0)</f>
        <v>1</v>
      </c>
      <c r="K118" s="1">
        <f t="shared" si="8"/>
        <v>813</v>
      </c>
      <c r="L118" s="1" t="str">
        <f>MID(aoc_03_input[[#This Row],[Forest]],MOD(aoc_03_input[[#This Row],[Pos2_4]]-1,LEN(aoc_03_input[[#This Row],[Forest]]))+1,1)</f>
        <v>.</v>
      </c>
      <c r="M118" s="1">
        <f>IF(aoc_03_input[[#This Row],[CharAtPos2_4]]="#",1,0)</f>
        <v>0</v>
      </c>
      <c r="N118" s="1">
        <f>MOD(ROW(aoc_03_input[[#This Row],[CountRow2_5]])+1,2)</f>
        <v>1</v>
      </c>
      <c r="O118" s="1">
        <f t="shared" si="9"/>
        <v>59</v>
      </c>
      <c r="P118" s="1" t="str">
        <f>MID(aoc_03_input[[#This Row],[Forest]],MOD(aoc_03_input[[#This Row],[Pos2_5]]-1,LEN(aoc_03_input[[#This Row],[Forest]]))+1,1)</f>
        <v>.</v>
      </c>
      <c r="Q118" s="1">
        <f>IF(AND(aoc_03_input[[#This Row],[CountRow2_5]]=1,aoc_03_input[[#This Row],[CharAtPos2_5]]="#"),1,0)</f>
        <v>0</v>
      </c>
    </row>
    <row r="119" spans="1:17" x14ac:dyDescent="0.45">
      <c r="A119" s="1" t="s">
        <v>1503</v>
      </c>
      <c r="B119" s="1">
        <f t="shared" si="5"/>
        <v>352</v>
      </c>
      <c r="C119" s="1" t="str">
        <f>MID(aoc_03_input[[#This Row],[Forest]],MOD(aoc_03_input[[#This Row],[Pos1]]-1,LEN(aoc_03_input[[#This Row],[Forest]]))+1,1)</f>
        <v>#</v>
      </c>
      <c r="D119" s="1">
        <f>IF(aoc_03_input[[#This Row],[CharAtPos1]]="#",1,0)</f>
        <v>1</v>
      </c>
      <c r="E119" s="1">
        <f t="shared" si="6"/>
        <v>118</v>
      </c>
      <c r="F119" s="1" t="str">
        <f>MID(aoc_03_input[[#This Row],[Forest]],MOD(aoc_03_input[[#This Row],[Pos2_1]]-1,LEN(aoc_03_input[[#This Row],[Forest]]))+1,1)</f>
        <v>.</v>
      </c>
      <c r="G119" s="1">
        <f>IF(aoc_03_input[[#This Row],[CharAtPos2_1]]="#",1,0)</f>
        <v>0</v>
      </c>
      <c r="H119" s="1">
        <f t="shared" si="7"/>
        <v>586</v>
      </c>
      <c r="I119" s="1" t="str">
        <f>MID(aoc_03_input[[#This Row],[Forest]],MOD(aoc_03_input[[#This Row],[Pos2_3]]-1,LEN(aoc_03_input[[#This Row],[Forest]]))+1,1)</f>
        <v>.</v>
      </c>
      <c r="J119" s="1">
        <f>IF(aoc_03_input[[#This Row],[CharAtPos2_3]]="#",1,0)</f>
        <v>0</v>
      </c>
      <c r="K119" s="1">
        <f t="shared" si="8"/>
        <v>820</v>
      </c>
      <c r="L119" s="1" t="str">
        <f>MID(aoc_03_input[[#This Row],[Forest]],MOD(aoc_03_input[[#This Row],[Pos2_4]]-1,LEN(aoc_03_input[[#This Row],[Forest]]))+1,1)</f>
        <v>.</v>
      </c>
      <c r="M119" s="1">
        <f>IF(aoc_03_input[[#This Row],[CharAtPos2_4]]="#",1,0)</f>
        <v>0</v>
      </c>
      <c r="N119" s="1">
        <f>MOD(ROW(aoc_03_input[[#This Row],[CountRow2_5]])+1,2)</f>
        <v>0</v>
      </c>
      <c r="O119" s="1">
        <f t="shared" si="9"/>
        <v>59</v>
      </c>
      <c r="P119" s="1" t="str">
        <f>MID(aoc_03_input[[#This Row],[Forest]],MOD(aoc_03_input[[#This Row],[Pos2_5]]-1,LEN(aoc_03_input[[#This Row],[Forest]]))+1,1)</f>
        <v>.</v>
      </c>
      <c r="Q119" s="1">
        <f>IF(AND(aoc_03_input[[#This Row],[CountRow2_5]]=1,aoc_03_input[[#This Row],[CharAtPos2_5]]="#"),1,0)</f>
        <v>0</v>
      </c>
    </row>
    <row r="120" spans="1:17" x14ac:dyDescent="0.45">
      <c r="A120" s="1" t="s">
        <v>1504</v>
      </c>
      <c r="B120" s="1">
        <f t="shared" si="5"/>
        <v>355</v>
      </c>
      <c r="C120" s="1" t="str">
        <f>MID(aoc_03_input[[#This Row],[Forest]],MOD(aoc_03_input[[#This Row],[Pos1]]-1,LEN(aoc_03_input[[#This Row],[Forest]]))+1,1)</f>
        <v>#</v>
      </c>
      <c r="D120" s="1">
        <f>IF(aoc_03_input[[#This Row],[CharAtPos1]]="#",1,0)</f>
        <v>1</v>
      </c>
      <c r="E120" s="1">
        <f t="shared" si="6"/>
        <v>119</v>
      </c>
      <c r="F120" s="1" t="str">
        <f>MID(aoc_03_input[[#This Row],[Forest]],MOD(aoc_03_input[[#This Row],[Pos2_1]]-1,LEN(aoc_03_input[[#This Row],[Forest]]))+1,1)</f>
        <v>.</v>
      </c>
      <c r="G120" s="1">
        <f>IF(aoc_03_input[[#This Row],[CharAtPos2_1]]="#",1,0)</f>
        <v>0</v>
      </c>
      <c r="H120" s="1">
        <f t="shared" si="7"/>
        <v>591</v>
      </c>
      <c r="I120" s="1" t="str">
        <f>MID(aoc_03_input[[#This Row],[Forest]],MOD(aoc_03_input[[#This Row],[Pos2_3]]-1,LEN(aoc_03_input[[#This Row],[Forest]]))+1,1)</f>
        <v>.</v>
      </c>
      <c r="J120" s="1">
        <f>IF(aoc_03_input[[#This Row],[CharAtPos2_3]]="#",1,0)</f>
        <v>0</v>
      </c>
      <c r="K120" s="1">
        <f t="shared" si="8"/>
        <v>827</v>
      </c>
      <c r="L120" s="1" t="str">
        <f>MID(aoc_03_input[[#This Row],[Forest]],MOD(aoc_03_input[[#This Row],[Pos2_4]]-1,LEN(aoc_03_input[[#This Row],[Forest]]))+1,1)</f>
        <v>#</v>
      </c>
      <c r="M120" s="1">
        <f>IF(aoc_03_input[[#This Row],[CharAtPos2_4]]="#",1,0)</f>
        <v>1</v>
      </c>
      <c r="N120" s="1">
        <f>MOD(ROW(aoc_03_input[[#This Row],[CountRow2_5]])+1,2)</f>
        <v>1</v>
      </c>
      <c r="O120" s="1">
        <f t="shared" si="9"/>
        <v>60</v>
      </c>
      <c r="P120" s="1" t="str">
        <f>MID(aoc_03_input[[#This Row],[Forest]],MOD(aoc_03_input[[#This Row],[Pos2_5]]-1,LEN(aoc_03_input[[#This Row],[Forest]]))+1,1)</f>
        <v>#</v>
      </c>
      <c r="Q120" s="1">
        <f>IF(AND(aoc_03_input[[#This Row],[CountRow2_5]]=1,aoc_03_input[[#This Row],[CharAtPos2_5]]="#"),1,0)</f>
        <v>1</v>
      </c>
    </row>
    <row r="121" spans="1:17" x14ac:dyDescent="0.45">
      <c r="A121" s="1" t="s">
        <v>1505</v>
      </c>
      <c r="B121" s="1">
        <f t="shared" si="5"/>
        <v>358</v>
      </c>
      <c r="C121" s="1" t="str">
        <f>MID(aoc_03_input[[#This Row],[Forest]],MOD(aoc_03_input[[#This Row],[Pos1]]-1,LEN(aoc_03_input[[#This Row],[Forest]]))+1,1)</f>
        <v>.</v>
      </c>
      <c r="D121" s="1">
        <f>IF(aoc_03_input[[#This Row],[CharAtPos1]]="#",1,0)</f>
        <v>0</v>
      </c>
      <c r="E121" s="1">
        <f t="shared" si="6"/>
        <v>120</v>
      </c>
      <c r="F121" s="1" t="str">
        <f>MID(aoc_03_input[[#This Row],[Forest]],MOD(aoc_03_input[[#This Row],[Pos2_1]]-1,LEN(aoc_03_input[[#This Row],[Forest]]))+1,1)</f>
        <v>.</v>
      </c>
      <c r="G121" s="1">
        <f>IF(aoc_03_input[[#This Row],[CharAtPos2_1]]="#",1,0)</f>
        <v>0</v>
      </c>
      <c r="H121" s="1">
        <f t="shared" si="7"/>
        <v>596</v>
      </c>
      <c r="I121" s="1" t="str">
        <f>MID(aoc_03_input[[#This Row],[Forest]],MOD(aoc_03_input[[#This Row],[Pos2_3]]-1,LEN(aoc_03_input[[#This Row],[Forest]]))+1,1)</f>
        <v>.</v>
      </c>
      <c r="J121" s="1">
        <f>IF(aoc_03_input[[#This Row],[CharAtPos2_3]]="#",1,0)</f>
        <v>0</v>
      </c>
      <c r="K121" s="1">
        <f t="shared" si="8"/>
        <v>834</v>
      </c>
      <c r="L121" s="1" t="str">
        <f>MID(aoc_03_input[[#This Row],[Forest]],MOD(aoc_03_input[[#This Row],[Pos2_4]]-1,LEN(aoc_03_input[[#This Row],[Forest]]))+1,1)</f>
        <v>#</v>
      </c>
      <c r="M121" s="1">
        <f>IF(aoc_03_input[[#This Row],[CharAtPos2_4]]="#",1,0)</f>
        <v>1</v>
      </c>
      <c r="N121" s="1">
        <f>MOD(ROW(aoc_03_input[[#This Row],[CountRow2_5]])+1,2)</f>
        <v>0</v>
      </c>
      <c r="O121" s="1">
        <f t="shared" si="9"/>
        <v>60</v>
      </c>
      <c r="P121" s="1" t="str">
        <f>MID(aoc_03_input[[#This Row],[Forest]],MOD(aoc_03_input[[#This Row],[Pos2_5]]-1,LEN(aoc_03_input[[#This Row],[Forest]]))+1,1)</f>
        <v>.</v>
      </c>
      <c r="Q121" s="1">
        <f>IF(AND(aoc_03_input[[#This Row],[CountRow2_5]]=1,aoc_03_input[[#This Row],[CharAtPos2_5]]="#"),1,0)</f>
        <v>0</v>
      </c>
    </row>
    <row r="122" spans="1:17" x14ac:dyDescent="0.45">
      <c r="A122" s="1" t="s">
        <v>1506</v>
      </c>
      <c r="B122" s="1">
        <f t="shared" si="5"/>
        <v>361</v>
      </c>
      <c r="C122" s="1" t="str">
        <f>MID(aoc_03_input[[#This Row],[Forest]],MOD(aoc_03_input[[#This Row],[Pos1]]-1,LEN(aoc_03_input[[#This Row],[Forest]]))+1,1)</f>
        <v>.</v>
      </c>
      <c r="D122" s="1">
        <f>IF(aoc_03_input[[#This Row],[CharAtPos1]]="#",1,0)</f>
        <v>0</v>
      </c>
      <c r="E122" s="1">
        <f t="shared" si="6"/>
        <v>121</v>
      </c>
      <c r="F122" s="1" t="str">
        <f>MID(aoc_03_input[[#This Row],[Forest]],MOD(aoc_03_input[[#This Row],[Pos2_1]]-1,LEN(aoc_03_input[[#This Row],[Forest]]))+1,1)</f>
        <v>.</v>
      </c>
      <c r="G122" s="1">
        <f>IF(aoc_03_input[[#This Row],[CharAtPos2_1]]="#",1,0)</f>
        <v>0</v>
      </c>
      <c r="H122" s="1">
        <f t="shared" si="7"/>
        <v>601</v>
      </c>
      <c r="I122" s="1" t="str">
        <f>MID(aoc_03_input[[#This Row],[Forest]],MOD(aoc_03_input[[#This Row],[Pos2_3]]-1,LEN(aoc_03_input[[#This Row],[Forest]]))+1,1)</f>
        <v>.</v>
      </c>
      <c r="J122" s="1">
        <f>IF(aoc_03_input[[#This Row],[CharAtPos2_3]]="#",1,0)</f>
        <v>0</v>
      </c>
      <c r="K122" s="1">
        <f t="shared" si="8"/>
        <v>841</v>
      </c>
      <c r="L122" s="1" t="str">
        <f>MID(aoc_03_input[[#This Row],[Forest]],MOD(aoc_03_input[[#This Row],[Pos2_4]]-1,LEN(aoc_03_input[[#This Row],[Forest]]))+1,1)</f>
        <v>.</v>
      </c>
      <c r="M122" s="1">
        <f>IF(aoc_03_input[[#This Row],[CharAtPos2_4]]="#",1,0)</f>
        <v>0</v>
      </c>
      <c r="N122" s="1">
        <f>MOD(ROW(aoc_03_input[[#This Row],[CountRow2_5]])+1,2)</f>
        <v>1</v>
      </c>
      <c r="O122" s="1">
        <f t="shared" si="9"/>
        <v>61</v>
      </c>
      <c r="P122" s="1" t="str">
        <f>MID(aoc_03_input[[#This Row],[Forest]],MOD(aoc_03_input[[#This Row],[Pos2_5]]-1,LEN(aoc_03_input[[#This Row],[Forest]]))+1,1)</f>
        <v>.</v>
      </c>
      <c r="Q122" s="1">
        <f>IF(AND(aoc_03_input[[#This Row],[CountRow2_5]]=1,aoc_03_input[[#This Row],[CharAtPos2_5]]="#"),1,0)</f>
        <v>0</v>
      </c>
    </row>
    <row r="123" spans="1:17" x14ac:dyDescent="0.45">
      <c r="A123" s="1" t="s">
        <v>1507</v>
      </c>
      <c r="B123" s="1">
        <f t="shared" si="5"/>
        <v>364</v>
      </c>
      <c r="C123" s="1" t="str">
        <f>MID(aoc_03_input[[#This Row],[Forest]],MOD(aoc_03_input[[#This Row],[Pos1]]-1,LEN(aoc_03_input[[#This Row],[Forest]]))+1,1)</f>
        <v>#</v>
      </c>
      <c r="D123" s="1">
        <f>IF(aoc_03_input[[#This Row],[CharAtPos1]]="#",1,0)</f>
        <v>1</v>
      </c>
      <c r="E123" s="1">
        <f t="shared" si="6"/>
        <v>122</v>
      </c>
      <c r="F123" s="1" t="str">
        <f>MID(aoc_03_input[[#This Row],[Forest]],MOD(aoc_03_input[[#This Row],[Pos2_1]]-1,LEN(aoc_03_input[[#This Row],[Forest]]))+1,1)</f>
        <v>#</v>
      </c>
      <c r="G123" s="1">
        <f>IF(aoc_03_input[[#This Row],[CharAtPos2_1]]="#",1,0)</f>
        <v>1</v>
      </c>
      <c r="H123" s="1">
        <f t="shared" si="7"/>
        <v>606</v>
      </c>
      <c r="I123" s="1" t="str">
        <f>MID(aoc_03_input[[#This Row],[Forest]],MOD(aoc_03_input[[#This Row],[Pos2_3]]-1,LEN(aoc_03_input[[#This Row],[Forest]]))+1,1)</f>
        <v>.</v>
      </c>
      <c r="J123" s="1">
        <f>IF(aoc_03_input[[#This Row],[CharAtPos2_3]]="#",1,0)</f>
        <v>0</v>
      </c>
      <c r="K123" s="1">
        <f t="shared" si="8"/>
        <v>848</v>
      </c>
      <c r="L123" s="1" t="str">
        <f>MID(aoc_03_input[[#This Row],[Forest]],MOD(aoc_03_input[[#This Row],[Pos2_4]]-1,LEN(aoc_03_input[[#This Row],[Forest]]))+1,1)</f>
        <v>.</v>
      </c>
      <c r="M123" s="1">
        <f>IF(aoc_03_input[[#This Row],[CharAtPos2_4]]="#",1,0)</f>
        <v>0</v>
      </c>
      <c r="N123" s="1">
        <f>MOD(ROW(aoc_03_input[[#This Row],[CountRow2_5]])+1,2)</f>
        <v>0</v>
      </c>
      <c r="O123" s="1">
        <f t="shared" si="9"/>
        <v>61</v>
      </c>
      <c r="P123" s="1" t="str">
        <f>MID(aoc_03_input[[#This Row],[Forest]],MOD(aoc_03_input[[#This Row],[Pos2_5]]-1,LEN(aoc_03_input[[#This Row],[Forest]]))+1,1)</f>
        <v>#</v>
      </c>
      <c r="Q123" s="1">
        <f>IF(AND(aoc_03_input[[#This Row],[CountRow2_5]]=1,aoc_03_input[[#This Row],[CharAtPos2_5]]="#"),1,0)</f>
        <v>0</v>
      </c>
    </row>
    <row r="124" spans="1:17" x14ac:dyDescent="0.45">
      <c r="A124" s="1" t="s">
        <v>1508</v>
      </c>
      <c r="B124" s="1">
        <f t="shared" si="5"/>
        <v>367</v>
      </c>
      <c r="C124" s="1" t="str">
        <f>MID(aoc_03_input[[#This Row],[Forest]],MOD(aoc_03_input[[#This Row],[Pos1]]-1,LEN(aoc_03_input[[#This Row],[Forest]]))+1,1)</f>
        <v>#</v>
      </c>
      <c r="D124" s="1">
        <f>IF(aoc_03_input[[#This Row],[CharAtPos1]]="#",1,0)</f>
        <v>1</v>
      </c>
      <c r="E124" s="1">
        <f t="shared" si="6"/>
        <v>123</v>
      </c>
      <c r="F124" s="1" t="str">
        <f>MID(aoc_03_input[[#This Row],[Forest]],MOD(aoc_03_input[[#This Row],[Pos2_1]]-1,LEN(aoc_03_input[[#This Row],[Forest]]))+1,1)</f>
        <v>.</v>
      </c>
      <c r="G124" s="1">
        <f>IF(aoc_03_input[[#This Row],[CharAtPos2_1]]="#",1,0)</f>
        <v>0</v>
      </c>
      <c r="H124" s="1">
        <f t="shared" si="7"/>
        <v>611</v>
      </c>
      <c r="I124" s="1" t="str">
        <f>MID(aoc_03_input[[#This Row],[Forest]],MOD(aoc_03_input[[#This Row],[Pos2_3]]-1,LEN(aoc_03_input[[#This Row],[Forest]]))+1,1)</f>
        <v>#</v>
      </c>
      <c r="J124" s="1">
        <f>IF(aoc_03_input[[#This Row],[CharAtPos2_3]]="#",1,0)</f>
        <v>1</v>
      </c>
      <c r="K124" s="1">
        <f t="shared" si="8"/>
        <v>855</v>
      </c>
      <c r="L124" s="1" t="str">
        <f>MID(aoc_03_input[[#This Row],[Forest]],MOD(aoc_03_input[[#This Row],[Pos2_4]]-1,LEN(aoc_03_input[[#This Row],[Forest]]))+1,1)</f>
        <v>.</v>
      </c>
      <c r="M124" s="1">
        <f>IF(aoc_03_input[[#This Row],[CharAtPos2_4]]="#",1,0)</f>
        <v>0</v>
      </c>
      <c r="N124" s="1">
        <f>MOD(ROW(aoc_03_input[[#This Row],[CountRow2_5]])+1,2)</f>
        <v>1</v>
      </c>
      <c r="O124" s="1">
        <f t="shared" si="9"/>
        <v>62</v>
      </c>
      <c r="P124" s="1" t="str">
        <f>MID(aoc_03_input[[#This Row],[Forest]],MOD(aoc_03_input[[#This Row],[Pos2_5]]-1,LEN(aoc_03_input[[#This Row],[Forest]]))+1,1)</f>
        <v>.</v>
      </c>
      <c r="Q124" s="1">
        <f>IF(AND(aoc_03_input[[#This Row],[CountRow2_5]]=1,aoc_03_input[[#This Row],[CharAtPos2_5]]="#"),1,0)</f>
        <v>0</v>
      </c>
    </row>
    <row r="125" spans="1:17" x14ac:dyDescent="0.45">
      <c r="A125" s="1" t="s">
        <v>1509</v>
      </c>
      <c r="B125" s="1">
        <f t="shared" si="5"/>
        <v>370</v>
      </c>
      <c r="C125" s="1" t="str">
        <f>MID(aoc_03_input[[#This Row],[Forest]],MOD(aoc_03_input[[#This Row],[Pos1]]-1,LEN(aoc_03_input[[#This Row],[Forest]]))+1,1)</f>
        <v>#</v>
      </c>
      <c r="D125" s="1">
        <f>IF(aoc_03_input[[#This Row],[CharAtPos1]]="#",1,0)</f>
        <v>1</v>
      </c>
      <c r="E125" s="1">
        <f t="shared" si="6"/>
        <v>124</v>
      </c>
      <c r="F125" s="1" t="str">
        <f>MID(aoc_03_input[[#This Row],[Forest]],MOD(aoc_03_input[[#This Row],[Pos2_1]]-1,LEN(aoc_03_input[[#This Row],[Forest]]))+1,1)</f>
        <v>.</v>
      </c>
      <c r="G125" s="1">
        <f>IF(aoc_03_input[[#This Row],[CharAtPos2_1]]="#",1,0)</f>
        <v>0</v>
      </c>
      <c r="H125" s="1">
        <f t="shared" si="7"/>
        <v>616</v>
      </c>
      <c r="I125" s="1" t="str">
        <f>MID(aoc_03_input[[#This Row],[Forest]],MOD(aoc_03_input[[#This Row],[Pos2_3]]-1,LEN(aoc_03_input[[#This Row],[Forest]]))+1,1)</f>
        <v>.</v>
      </c>
      <c r="J125" s="1">
        <f>IF(aoc_03_input[[#This Row],[CharAtPos2_3]]="#",1,0)</f>
        <v>0</v>
      </c>
      <c r="K125" s="1">
        <f t="shared" si="8"/>
        <v>862</v>
      </c>
      <c r="L125" s="1" t="str">
        <f>MID(aoc_03_input[[#This Row],[Forest]],MOD(aoc_03_input[[#This Row],[Pos2_4]]-1,LEN(aoc_03_input[[#This Row],[Forest]]))+1,1)</f>
        <v>.</v>
      </c>
      <c r="M125" s="1">
        <f>IF(aoc_03_input[[#This Row],[CharAtPos2_4]]="#",1,0)</f>
        <v>0</v>
      </c>
      <c r="N125" s="1">
        <f>MOD(ROW(aoc_03_input[[#This Row],[CountRow2_5]])+1,2)</f>
        <v>0</v>
      </c>
      <c r="O125" s="1">
        <f t="shared" si="9"/>
        <v>62</v>
      </c>
      <c r="P125" s="1" t="str">
        <f>MID(aoc_03_input[[#This Row],[Forest]],MOD(aoc_03_input[[#This Row],[Pos2_5]]-1,LEN(aoc_03_input[[#This Row],[Forest]]))+1,1)</f>
        <v>.</v>
      </c>
      <c r="Q125" s="1">
        <f>IF(AND(aoc_03_input[[#This Row],[CountRow2_5]]=1,aoc_03_input[[#This Row],[CharAtPos2_5]]="#"),1,0)</f>
        <v>0</v>
      </c>
    </row>
    <row r="126" spans="1:17" x14ac:dyDescent="0.45">
      <c r="A126" s="1" t="s">
        <v>1510</v>
      </c>
      <c r="B126" s="1">
        <f t="shared" si="5"/>
        <v>373</v>
      </c>
      <c r="C126" s="1" t="str">
        <f>MID(aoc_03_input[[#This Row],[Forest]],MOD(aoc_03_input[[#This Row],[Pos1]]-1,LEN(aoc_03_input[[#This Row],[Forest]]))+1,1)</f>
        <v>.</v>
      </c>
      <c r="D126" s="1">
        <f>IF(aoc_03_input[[#This Row],[CharAtPos1]]="#",1,0)</f>
        <v>0</v>
      </c>
      <c r="E126" s="1">
        <f t="shared" si="6"/>
        <v>125</v>
      </c>
      <c r="F126" s="1" t="str">
        <f>MID(aoc_03_input[[#This Row],[Forest]],MOD(aoc_03_input[[#This Row],[Pos2_1]]-1,LEN(aoc_03_input[[#This Row],[Forest]]))+1,1)</f>
        <v>.</v>
      </c>
      <c r="G126" s="1">
        <f>IF(aoc_03_input[[#This Row],[CharAtPos2_1]]="#",1,0)</f>
        <v>0</v>
      </c>
      <c r="H126" s="1">
        <f t="shared" si="7"/>
        <v>621</v>
      </c>
      <c r="I126" s="1" t="str">
        <f>MID(aoc_03_input[[#This Row],[Forest]],MOD(aoc_03_input[[#This Row],[Pos2_3]]-1,LEN(aoc_03_input[[#This Row],[Forest]]))+1,1)</f>
        <v>.</v>
      </c>
      <c r="J126" s="1">
        <f>IF(aoc_03_input[[#This Row],[CharAtPos2_3]]="#",1,0)</f>
        <v>0</v>
      </c>
      <c r="K126" s="1">
        <f t="shared" si="8"/>
        <v>869</v>
      </c>
      <c r="L126" s="1" t="str">
        <f>MID(aoc_03_input[[#This Row],[Forest]],MOD(aoc_03_input[[#This Row],[Pos2_4]]-1,LEN(aoc_03_input[[#This Row],[Forest]]))+1,1)</f>
        <v>.</v>
      </c>
      <c r="M126" s="1">
        <f>IF(aoc_03_input[[#This Row],[CharAtPos2_4]]="#",1,0)</f>
        <v>0</v>
      </c>
      <c r="N126" s="1">
        <f>MOD(ROW(aoc_03_input[[#This Row],[CountRow2_5]])+1,2)</f>
        <v>1</v>
      </c>
      <c r="O126" s="1">
        <f t="shared" si="9"/>
        <v>63</v>
      </c>
      <c r="P126" s="1" t="str">
        <f>MID(aoc_03_input[[#This Row],[Forest]],MOD(aoc_03_input[[#This Row],[Pos2_5]]-1,LEN(aoc_03_input[[#This Row],[Forest]]))+1,1)</f>
        <v>.</v>
      </c>
      <c r="Q126" s="1">
        <f>IF(AND(aoc_03_input[[#This Row],[CountRow2_5]]=1,aoc_03_input[[#This Row],[CharAtPos2_5]]="#"),1,0)</f>
        <v>0</v>
      </c>
    </row>
    <row r="127" spans="1:17" x14ac:dyDescent="0.45">
      <c r="A127" s="1" t="s">
        <v>1511</v>
      </c>
      <c r="B127" s="1">
        <f t="shared" si="5"/>
        <v>376</v>
      </c>
      <c r="C127" s="1" t="str">
        <f>MID(aoc_03_input[[#This Row],[Forest]],MOD(aoc_03_input[[#This Row],[Pos1]]-1,LEN(aoc_03_input[[#This Row],[Forest]]))+1,1)</f>
        <v>.</v>
      </c>
      <c r="D127" s="1">
        <f>IF(aoc_03_input[[#This Row],[CharAtPos1]]="#",1,0)</f>
        <v>0</v>
      </c>
      <c r="E127" s="1">
        <f t="shared" si="6"/>
        <v>126</v>
      </c>
      <c r="F127" s="1" t="str">
        <f>MID(aoc_03_input[[#This Row],[Forest]],MOD(aoc_03_input[[#This Row],[Pos2_1]]-1,LEN(aoc_03_input[[#This Row],[Forest]]))+1,1)</f>
        <v>.</v>
      </c>
      <c r="G127" s="1">
        <f>IF(aoc_03_input[[#This Row],[CharAtPos2_1]]="#",1,0)</f>
        <v>0</v>
      </c>
      <c r="H127" s="1">
        <f t="shared" si="7"/>
        <v>626</v>
      </c>
      <c r="I127" s="1" t="str">
        <f>MID(aoc_03_input[[#This Row],[Forest]],MOD(aoc_03_input[[#This Row],[Pos2_3]]-1,LEN(aoc_03_input[[#This Row],[Forest]]))+1,1)</f>
        <v>.</v>
      </c>
      <c r="J127" s="1">
        <f>IF(aoc_03_input[[#This Row],[CharAtPos2_3]]="#",1,0)</f>
        <v>0</v>
      </c>
      <c r="K127" s="1">
        <f t="shared" si="8"/>
        <v>876</v>
      </c>
      <c r="L127" s="1" t="str">
        <f>MID(aoc_03_input[[#This Row],[Forest]],MOD(aoc_03_input[[#This Row],[Pos2_4]]-1,LEN(aoc_03_input[[#This Row],[Forest]]))+1,1)</f>
        <v>.</v>
      </c>
      <c r="M127" s="1">
        <f>IF(aoc_03_input[[#This Row],[CharAtPos2_4]]="#",1,0)</f>
        <v>0</v>
      </c>
      <c r="N127" s="1">
        <f>MOD(ROW(aoc_03_input[[#This Row],[CountRow2_5]])+1,2)</f>
        <v>0</v>
      </c>
      <c r="O127" s="1">
        <f t="shared" si="9"/>
        <v>63</v>
      </c>
      <c r="P127" s="1" t="str">
        <f>MID(aoc_03_input[[#This Row],[Forest]],MOD(aoc_03_input[[#This Row],[Pos2_5]]-1,LEN(aoc_03_input[[#This Row],[Forest]]))+1,1)</f>
        <v>#</v>
      </c>
      <c r="Q127" s="1">
        <f>IF(AND(aoc_03_input[[#This Row],[CountRow2_5]]=1,aoc_03_input[[#This Row],[CharAtPos2_5]]="#"),1,0)</f>
        <v>0</v>
      </c>
    </row>
    <row r="128" spans="1:17" x14ac:dyDescent="0.45">
      <c r="A128" s="1" t="s">
        <v>1512</v>
      </c>
      <c r="B128" s="1">
        <f t="shared" si="5"/>
        <v>379</v>
      </c>
      <c r="C128" s="1" t="str">
        <f>MID(aoc_03_input[[#This Row],[Forest]],MOD(aoc_03_input[[#This Row],[Pos1]]-1,LEN(aoc_03_input[[#This Row],[Forest]]))+1,1)</f>
        <v>#</v>
      </c>
      <c r="D128" s="1">
        <f>IF(aoc_03_input[[#This Row],[CharAtPos1]]="#",1,0)</f>
        <v>1</v>
      </c>
      <c r="E128" s="1">
        <f t="shared" si="6"/>
        <v>127</v>
      </c>
      <c r="F128" s="1" t="str">
        <f>MID(aoc_03_input[[#This Row],[Forest]],MOD(aoc_03_input[[#This Row],[Pos2_1]]-1,LEN(aoc_03_input[[#This Row],[Forest]]))+1,1)</f>
        <v>#</v>
      </c>
      <c r="G128" s="1">
        <f>IF(aoc_03_input[[#This Row],[CharAtPos2_1]]="#",1,0)</f>
        <v>1</v>
      </c>
      <c r="H128" s="1">
        <f t="shared" si="7"/>
        <v>631</v>
      </c>
      <c r="I128" s="1" t="str">
        <f>MID(aoc_03_input[[#This Row],[Forest]],MOD(aoc_03_input[[#This Row],[Pos2_3]]-1,LEN(aoc_03_input[[#This Row],[Forest]]))+1,1)</f>
        <v>.</v>
      </c>
      <c r="J128" s="1">
        <f>IF(aoc_03_input[[#This Row],[CharAtPos2_3]]="#",1,0)</f>
        <v>0</v>
      </c>
      <c r="K128" s="1">
        <f t="shared" si="8"/>
        <v>883</v>
      </c>
      <c r="L128" s="1" t="str">
        <f>MID(aoc_03_input[[#This Row],[Forest]],MOD(aoc_03_input[[#This Row],[Pos2_4]]-1,LEN(aoc_03_input[[#This Row],[Forest]]))+1,1)</f>
        <v>#</v>
      </c>
      <c r="M128" s="1">
        <f>IF(aoc_03_input[[#This Row],[CharAtPos2_4]]="#",1,0)</f>
        <v>1</v>
      </c>
      <c r="N128" s="1">
        <f>MOD(ROW(aoc_03_input[[#This Row],[CountRow2_5]])+1,2)</f>
        <v>1</v>
      </c>
      <c r="O128" s="1">
        <f t="shared" si="9"/>
        <v>64</v>
      </c>
      <c r="P128" s="1" t="str">
        <f>MID(aoc_03_input[[#This Row],[Forest]],MOD(aoc_03_input[[#This Row],[Pos2_5]]-1,LEN(aoc_03_input[[#This Row],[Forest]]))+1,1)</f>
        <v>.</v>
      </c>
      <c r="Q128" s="1">
        <f>IF(AND(aoc_03_input[[#This Row],[CountRow2_5]]=1,aoc_03_input[[#This Row],[CharAtPos2_5]]="#"),1,0)</f>
        <v>0</v>
      </c>
    </row>
    <row r="129" spans="1:17" x14ac:dyDescent="0.45">
      <c r="A129" s="1" t="s">
        <v>1513</v>
      </c>
      <c r="B129" s="1">
        <f t="shared" si="5"/>
        <v>382</v>
      </c>
      <c r="C129" s="1" t="str">
        <f>MID(aoc_03_input[[#This Row],[Forest]],MOD(aoc_03_input[[#This Row],[Pos1]]-1,LEN(aoc_03_input[[#This Row],[Forest]]))+1,1)</f>
        <v>#</v>
      </c>
      <c r="D129" s="1">
        <f>IF(aoc_03_input[[#This Row],[CharAtPos1]]="#",1,0)</f>
        <v>1</v>
      </c>
      <c r="E129" s="1">
        <f t="shared" si="6"/>
        <v>128</v>
      </c>
      <c r="F129" s="1" t="str">
        <f>MID(aoc_03_input[[#This Row],[Forest]],MOD(aoc_03_input[[#This Row],[Pos2_1]]-1,LEN(aoc_03_input[[#This Row],[Forest]]))+1,1)</f>
        <v>#</v>
      </c>
      <c r="G129" s="1">
        <f>IF(aoc_03_input[[#This Row],[CharAtPos2_1]]="#",1,0)</f>
        <v>1</v>
      </c>
      <c r="H129" s="1">
        <f t="shared" si="7"/>
        <v>636</v>
      </c>
      <c r="I129" s="1" t="str">
        <f>MID(aoc_03_input[[#This Row],[Forest]],MOD(aoc_03_input[[#This Row],[Pos2_3]]-1,LEN(aoc_03_input[[#This Row],[Forest]]))+1,1)</f>
        <v>.</v>
      </c>
      <c r="J129" s="1">
        <f>IF(aoc_03_input[[#This Row],[CharAtPos2_3]]="#",1,0)</f>
        <v>0</v>
      </c>
      <c r="K129" s="1">
        <f t="shared" si="8"/>
        <v>890</v>
      </c>
      <c r="L129" s="1" t="str">
        <f>MID(aoc_03_input[[#This Row],[Forest]],MOD(aoc_03_input[[#This Row],[Pos2_4]]-1,LEN(aoc_03_input[[#This Row],[Forest]]))+1,1)</f>
        <v>.</v>
      </c>
      <c r="M129" s="1">
        <f>IF(aoc_03_input[[#This Row],[CharAtPos2_4]]="#",1,0)</f>
        <v>0</v>
      </c>
      <c r="N129" s="1">
        <f>MOD(ROW(aoc_03_input[[#This Row],[CountRow2_5]])+1,2)</f>
        <v>0</v>
      </c>
      <c r="O129" s="1">
        <f t="shared" si="9"/>
        <v>64</v>
      </c>
      <c r="P129" s="1" t="str">
        <f>MID(aoc_03_input[[#This Row],[Forest]],MOD(aoc_03_input[[#This Row],[Pos2_5]]-1,LEN(aoc_03_input[[#This Row],[Forest]]))+1,1)</f>
        <v>.</v>
      </c>
      <c r="Q129" s="1">
        <f>IF(AND(aoc_03_input[[#This Row],[CountRow2_5]]=1,aoc_03_input[[#This Row],[CharAtPos2_5]]="#"),1,0)</f>
        <v>0</v>
      </c>
    </row>
    <row r="130" spans="1:17" x14ac:dyDescent="0.45">
      <c r="A130" s="1" t="s">
        <v>1514</v>
      </c>
      <c r="B130" s="1">
        <f t="shared" si="5"/>
        <v>385</v>
      </c>
      <c r="C130" s="1" t="str">
        <f>MID(aoc_03_input[[#This Row],[Forest]],MOD(aoc_03_input[[#This Row],[Pos1]]-1,LEN(aoc_03_input[[#This Row],[Forest]]))+1,1)</f>
        <v>.</v>
      </c>
      <c r="D130" s="1">
        <f>IF(aoc_03_input[[#This Row],[CharAtPos1]]="#",1,0)</f>
        <v>0</v>
      </c>
      <c r="E130" s="1">
        <f t="shared" si="6"/>
        <v>129</v>
      </c>
      <c r="F130" s="1" t="str">
        <f>MID(aoc_03_input[[#This Row],[Forest]],MOD(aoc_03_input[[#This Row],[Pos2_1]]-1,LEN(aoc_03_input[[#This Row],[Forest]]))+1,1)</f>
        <v>.</v>
      </c>
      <c r="G130" s="1">
        <f>IF(aoc_03_input[[#This Row],[CharAtPos2_1]]="#",1,0)</f>
        <v>0</v>
      </c>
      <c r="H130" s="1">
        <f t="shared" si="7"/>
        <v>641</v>
      </c>
      <c r="I130" s="1" t="str">
        <f>MID(aoc_03_input[[#This Row],[Forest]],MOD(aoc_03_input[[#This Row],[Pos2_3]]-1,LEN(aoc_03_input[[#This Row],[Forest]]))+1,1)</f>
        <v>#</v>
      </c>
      <c r="J130" s="1">
        <f>IF(aoc_03_input[[#This Row],[CharAtPos2_3]]="#",1,0)</f>
        <v>1</v>
      </c>
      <c r="K130" s="1">
        <f t="shared" si="8"/>
        <v>897</v>
      </c>
      <c r="L130" s="1" t="str">
        <f>MID(aoc_03_input[[#This Row],[Forest]],MOD(aoc_03_input[[#This Row],[Pos2_4]]-1,LEN(aoc_03_input[[#This Row],[Forest]]))+1,1)</f>
        <v>#</v>
      </c>
      <c r="M130" s="1">
        <f>IF(aoc_03_input[[#This Row],[CharAtPos2_4]]="#",1,0)</f>
        <v>1</v>
      </c>
      <c r="N130" s="1">
        <f>MOD(ROW(aoc_03_input[[#This Row],[CountRow2_5]])+1,2)</f>
        <v>1</v>
      </c>
      <c r="O130" s="1">
        <f t="shared" si="9"/>
        <v>65</v>
      </c>
      <c r="P130" s="1" t="str">
        <f>MID(aoc_03_input[[#This Row],[Forest]],MOD(aoc_03_input[[#This Row],[Pos2_5]]-1,LEN(aoc_03_input[[#This Row],[Forest]]))+1,1)</f>
        <v>.</v>
      </c>
      <c r="Q130" s="1">
        <f>IF(AND(aoc_03_input[[#This Row],[CountRow2_5]]=1,aoc_03_input[[#This Row],[CharAtPos2_5]]="#"),1,0)</f>
        <v>0</v>
      </c>
    </row>
    <row r="131" spans="1:17" x14ac:dyDescent="0.45">
      <c r="A131" s="1" t="s">
        <v>1515</v>
      </c>
      <c r="B131" s="1">
        <f t="shared" si="5"/>
        <v>388</v>
      </c>
      <c r="C131" s="1" t="str">
        <f>MID(aoc_03_input[[#This Row],[Forest]],MOD(aoc_03_input[[#This Row],[Pos1]]-1,LEN(aoc_03_input[[#This Row],[Forest]]))+1,1)</f>
        <v>#</v>
      </c>
      <c r="D131" s="1">
        <f>IF(aoc_03_input[[#This Row],[CharAtPos1]]="#",1,0)</f>
        <v>1</v>
      </c>
      <c r="E131" s="1">
        <f t="shared" si="6"/>
        <v>130</v>
      </c>
      <c r="F131" s="1" t="str">
        <f>MID(aoc_03_input[[#This Row],[Forest]],MOD(aoc_03_input[[#This Row],[Pos2_1]]-1,LEN(aoc_03_input[[#This Row],[Forest]]))+1,1)</f>
        <v>.</v>
      </c>
      <c r="G131" s="1">
        <f>IF(aoc_03_input[[#This Row],[CharAtPos2_1]]="#",1,0)</f>
        <v>0</v>
      </c>
      <c r="H131" s="1">
        <f t="shared" si="7"/>
        <v>646</v>
      </c>
      <c r="I131" s="1" t="str">
        <f>MID(aoc_03_input[[#This Row],[Forest]],MOD(aoc_03_input[[#This Row],[Pos2_3]]-1,LEN(aoc_03_input[[#This Row],[Forest]]))+1,1)</f>
        <v>.</v>
      </c>
      <c r="J131" s="1">
        <f>IF(aoc_03_input[[#This Row],[CharAtPos2_3]]="#",1,0)</f>
        <v>0</v>
      </c>
      <c r="K131" s="1">
        <f t="shared" si="8"/>
        <v>904</v>
      </c>
      <c r="L131" s="1" t="str">
        <f>MID(aoc_03_input[[#This Row],[Forest]],MOD(aoc_03_input[[#This Row],[Pos2_4]]-1,LEN(aoc_03_input[[#This Row],[Forest]]))+1,1)</f>
        <v>.</v>
      </c>
      <c r="M131" s="1">
        <f>IF(aoc_03_input[[#This Row],[CharAtPos2_4]]="#",1,0)</f>
        <v>0</v>
      </c>
      <c r="N131" s="1">
        <f>MOD(ROW(aoc_03_input[[#This Row],[CountRow2_5]])+1,2)</f>
        <v>0</v>
      </c>
      <c r="O131" s="1">
        <f t="shared" si="9"/>
        <v>65</v>
      </c>
      <c r="P131" s="1" t="str">
        <f>MID(aoc_03_input[[#This Row],[Forest]],MOD(aoc_03_input[[#This Row],[Pos2_5]]-1,LEN(aoc_03_input[[#This Row],[Forest]]))+1,1)</f>
        <v>.</v>
      </c>
      <c r="Q131" s="1">
        <f>IF(AND(aoc_03_input[[#This Row],[CountRow2_5]]=1,aoc_03_input[[#This Row],[CharAtPos2_5]]="#"),1,0)</f>
        <v>0</v>
      </c>
    </row>
    <row r="132" spans="1:17" x14ac:dyDescent="0.45">
      <c r="A132" s="1" t="s">
        <v>1516</v>
      </c>
      <c r="B132" s="1">
        <f t="shared" ref="B132:B195" si="10">B131+3</f>
        <v>391</v>
      </c>
      <c r="C132" s="1" t="str">
        <f>MID(aoc_03_input[[#This Row],[Forest]],MOD(aoc_03_input[[#This Row],[Pos1]]-1,LEN(aoc_03_input[[#This Row],[Forest]]))+1,1)</f>
        <v>#</v>
      </c>
      <c r="D132" s="1">
        <f>IF(aoc_03_input[[#This Row],[CharAtPos1]]="#",1,0)</f>
        <v>1</v>
      </c>
      <c r="E132" s="1">
        <f t="shared" ref="E132:E195" si="11">E131+1</f>
        <v>131</v>
      </c>
      <c r="F132" s="1" t="str">
        <f>MID(aoc_03_input[[#This Row],[Forest]],MOD(aoc_03_input[[#This Row],[Pos2_1]]-1,LEN(aoc_03_input[[#This Row],[Forest]]))+1,1)</f>
        <v>.</v>
      </c>
      <c r="G132" s="1">
        <f>IF(aoc_03_input[[#This Row],[CharAtPos2_1]]="#",1,0)</f>
        <v>0</v>
      </c>
      <c r="H132" s="1">
        <f t="shared" ref="H132:H195" si="12">H131+5</f>
        <v>651</v>
      </c>
      <c r="I132" s="1" t="str">
        <f>MID(aoc_03_input[[#This Row],[Forest]],MOD(aoc_03_input[[#This Row],[Pos2_3]]-1,LEN(aoc_03_input[[#This Row],[Forest]]))+1,1)</f>
        <v>.</v>
      </c>
      <c r="J132" s="1">
        <f>IF(aoc_03_input[[#This Row],[CharAtPos2_3]]="#",1,0)</f>
        <v>0</v>
      </c>
      <c r="K132" s="1">
        <f t="shared" ref="K132:K195" si="13">K131+7</f>
        <v>911</v>
      </c>
      <c r="L132" s="1" t="str">
        <f>MID(aoc_03_input[[#This Row],[Forest]],MOD(aoc_03_input[[#This Row],[Pos2_4]]-1,LEN(aoc_03_input[[#This Row],[Forest]]))+1,1)</f>
        <v>.</v>
      </c>
      <c r="M132" s="1">
        <f>IF(aoc_03_input[[#This Row],[CharAtPos2_4]]="#",1,0)</f>
        <v>0</v>
      </c>
      <c r="N132" s="1">
        <f>MOD(ROW(aoc_03_input[[#This Row],[CountRow2_5]])+1,2)</f>
        <v>1</v>
      </c>
      <c r="O132" s="1">
        <f t="shared" si="9"/>
        <v>66</v>
      </c>
      <c r="P132" s="1" t="str">
        <f>MID(aoc_03_input[[#This Row],[Forest]],MOD(aoc_03_input[[#This Row],[Pos2_5]]-1,LEN(aoc_03_input[[#This Row],[Forest]]))+1,1)</f>
        <v>.</v>
      </c>
      <c r="Q132" s="1">
        <f>IF(AND(aoc_03_input[[#This Row],[CountRow2_5]]=1,aoc_03_input[[#This Row],[CharAtPos2_5]]="#"),1,0)</f>
        <v>0</v>
      </c>
    </row>
    <row r="133" spans="1:17" x14ac:dyDescent="0.45">
      <c r="A133" s="1" t="s">
        <v>1517</v>
      </c>
      <c r="B133" s="1">
        <f t="shared" si="10"/>
        <v>394</v>
      </c>
      <c r="C133" s="1" t="str">
        <f>MID(aoc_03_input[[#This Row],[Forest]],MOD(aoc_03_input[[#This Row],[Pos1]]-1,LEN(aoc_03_input[[#This Row],[Forest]]))+1,1)</f>
        <v>.</v>
      </c>
      <c r="D133" s="1">
        <f>IF(aoc_03_input[[#This Row],[CharAtPos1]]="#",1,0)</f>
        <v>0</v>
      </c>
      <c r="E133" s="1">
        <f t="shared" si="11"/>
        <v>132</v>
      </c>
      <c r="F133" s="1" t="str">
        <f>MID(aoc_03_input[[#This Row],[Forest]],MOD(aoc_03_input[[#This Row],[Pos2_1]]-1,LEN(aoc_03_input[[#This Row],[Forest]]))+1,1)</f>
        <v>.</v>
      </c>
      <c r="G133" s="1">
        <f>IF(aoc_03_input[[#This Row],[CharAtPos2_1]]="#",1,0)</f>
        <v>0</v>
      </c>
      <c r="H133" s="1">
        <f t="shared" si="12"/>
        <v>656</v>
      </c>
      <c r="I133" s="1" t="str">
        <f>MID(aoc_03_input[[#This Row],[Forest]],MOD(aoc_03_input[[#This Row],[Pos2_3]]-1,LEN(aoc_03_input[[#This Row],[Forest]]))+1,1)</f>
        <v>#</v>
      </c>
      <c r="J133" s="1">
        <f>IF(aoc_03_input[[#This Row],[CharAtPos2_3]]="#",1,0)</f>
        <v>1</v>
      </c>
      <c r="K133" s="1">
        <f t="shared" si="13"/>
        <v>918</v>
      </c>
      <c r="L133" s="1" t="str">
        <f>MID(aoc_03_input[[#This Row],[Forest]],MOD(aoc_03_input[[#This Row],[Pos2_4]]-1,LEN(aoc_03_input[[#This Row],[Forest]]))+1,1)</f>
        <v>#</v>
      </c>
      <c r="M133" s="1">
        <f>IF(aoc_03_input[[#This Row],[CharAtPos2_4]]="#",1,0)</f>
        <v>1</v>
      </c>
      <c r="N133" s="1">
        <f>MOD(ROW(aoc_03_input[[#This Row],[CountRow2_5]])+1,2)</f>
        <v>0</v>
      </c>
      <c r="O133" s="1">
        <f t="shared" si="9"/>
        <v>66</v>
      </c>
      <c r="P133" s="1" t="str">
        <f>MID(aoc_03_input[[#This Row],[Forest]],MOD(aoc_03_input[[#This Row],[Pos2_5]]-1,LEN(aoc_03_input[[#This Row],[Forest]]))+1,1)</f>
        <v>.</v>
      </c>
      <c r="Q133" s="1">
        <f>IF(AND(aoc_03_input[[#This Row],[CountRow2_5]]=1,aoc_03_input[[#This Row],[CharAtPos2_5]]="#"),1,0)</f>
        <v>0</v>
      </c>
    </row>
    <row r="134" spans="1:17" x14ac:dyDescent="0.45">
      <c r="A134" s="1" t="s">
        <v>1518</v>
      </c>
      <c r="B134" s="1">
        <f t="shared" si="10"/>
        <v>397</v>
      </c>
      <c r="C134" s="1" t="str">
        <f>MID(aoc_03_input[[#This Row],[Forest]],MOD(aoc_03_input[[#This Row],[Pos1]]-1,LEN(aoc_03_input[[#This Row],[Forest]]))+1,1)</f>
        <v>#</v>
      </c>
      <c r="D134" s="1">
        <f>IF(aoc_03_input[[#This Row],[CharAtPos1]]="#",1,0)</f>
        <v>1</v>
      </c>
      <c r="E134" s="1">
        <f t="shared" si="11"/>
        <v>133</v>
      </c>
      <c r="F134" s="1" t="str">
        <f>MID(aoc_03_input[[#This Row],[Forest]],MOD(aoc_03_input[[#This Row],[Pos2_1]]-1,LEN(aoc_03_input[[#This Row],[Forest]]))+1,1)</f>
        <v>#</v>
      </c>
      <c r="G134" s="1">
        <f>IF(aoc_03_input[[#This Row],[CharAtPos2_1]]="#",1,0)</f>
        <v>1</v>
      </c>
      <c r="H134" s="1">
        <f t="shared" si="12"/>
        <v>661</v>
      </c>
      <c r="I134" s="1" t="str">
        <f>MID(aoc_03_input[[#This Row],[Forest]],MOD(aoc_03_input[[#This Row],[Pos2_3]]-1,LEN(aoc_03_input[[#This Row],[Forest]]))+1,1)</f>
        <v>.</v>
      </c>
      <c r="J134" s="1">
        <f>IF(aoc_03_input[[#This Row],[CharAtPos2_3]]="#",1,0)</f>
        <v>0</v>
      </c>
      <c r="K134" s="1">
        <f t="shared" si="13"/>
        <v>925</v>
      </c>
      <c r="L134" s="1" t="str">
        <f>MID(aoc_03_input[[#This Row],[Forest]],MOD(aoc_03_input[[#This Row],[Pos2_4]]-1,LEN(aoc_03_input[[#This Row],[Forest]]))+1,1)</f>
        <v>#</v>
      </c>
      <c r="M134" s="1">
        <f>IF(aoc_03_input[[#This Row],[CharAtPos2_4]]="#",1,0)</f>
        <v>1</v>
      </c>
      <c r="N134" s="1">
        <f>MOD(ROW(aoc_03_input[[#This Row],[CountRow2_5]])+1,2)</f>
        <v>1</v>
      </c>
      <c r="O134" s="1">
        <f t="shared" ref="O134:O197" si="14">O132+1</f>
        <v>67</v>
      </c>
      <c r="P134" s="1" t="str">
        <f>MID(aoc_03_input[[#This Row],[Forest]],MOD(aoc_03_input[[#This Row],[Pos2_5]]-1,LEN(aoc_03_input[[#This Row],[Forest]]))+1,1)</f>
        <v>.</v>
      </c>
      <c r="Q134" s="1">
        <f>IF(AND(aoc_03_input[[#This Row],[CountRow2_5]]=1,aoc_03_input[[#This Row],[CharAtPos2_5]]="#"),1,0)</f>
        <v>0</v>
      </c>
    </row>
    <row r="135" spans="1:17" x14ac:dyDescent="0.45">
      <c r="A135" s="1" t="s">
        <v>1519</v>
      </c>
      <c r="B135" s="1">
        <f t="shared" si="10"/>
        <v>400</v>
      </c>
      <c r="C135" s="1" t="str">
        <f>MID(aoc_03_input[[#This Row],[Forest]],MOD(aoc_03_input[[#This Row],[Pos1]]-1,LEN(aoc_03_input[[#This Row],[Forest]]))+1,1)</f>
        <v>.</v>
      </c>
      <c r="D135" s="1">
        <f>IF(aoc_03_input[[#This Row],[CharAtPos1]]="#",1,0)</f>
        <v>0</v>
      </c>
      <c r="E135" s="1">
        <f t="shared" si="11"/>
        <v>134</v>
      </c>
      <c r="F135" s="1" t="str">
        <f>MID(aoc_03_input[[#This Row],[Forest]],MOD(aoc_03_input[[#This Row],[Pos2_1]]-1,LEN(aoc_03_input[[#This Row],[Forest]]))+1,1)</f>
        <v>.</v>
      </c>
      <c r="G135" s="1">
        <f>IF(aoc_03_input[[#This Row],[CharAtPos2_1]]="#",1,0)</f>
        <v>0</v>
      </c>
      <c r="H135" s="1">
        <f t="shared" si="12"/>
        <v>666</v>
      </c>
      <c r="I135" s="1" t="str">
        <f>MID(aoc_03_input[[#This Row],[Forest]],MOD(aoc_03_input[[#This Row],[Pos2_3]]-1,LEN(aoc_03_input[[#This Row],[Forest]]))+1,1)</f>
        <v>.</v>
      </c>
      <c r="J135" s="1">
        <f>IF(aoc_03_input[[#This Row],[CharAtPos2_3]]="#",1,0)</f>
        <v>0</v>
      </c>
      <c r="K135" s="1">
        <f t="shared" si="13"/>
        <v>932</v>
      </c>
      <c r="L135" s="1" t="str">
        <f>MID(aoc_03_input[[#This Row],[Forest]],MOD(aoc_03_input[[#This Row],[Pos2_4]]-1,LEN(aoc_03_input[[#This Row],[Forest]]))+1,1)</f>
        <v>.</v>
      </c>
      <c r="M135" s="1">
        <f>IF(aoc_03_input[[#This Row],[CharAtPos2_4]]="#",1,0)</f>
        <v>0</v>
      </c>
      <c r="N135" s="1">
        <f>MOD(ROW(aoc_03_input[[#This Row],[CountRow2_5]])+1,2)</f>
        <v>0</v>
      </c>
      <c r="O135" s="1">
        <f t="shared" si="14"/>
        <v>67</v>
      </c>
      <c r="P135" s="1" t="str">
        <f>MID(aoc_03_input[[#This Row],[Forest]],MOD(aoc_03_input[[#This Row],[Pos2_5]]-1,LEN(aoc_03_input[[#This Row],[Forest]]))+1,1)</f>
        <v>#</v>
      </c>
      <c r="Q135" s="1">
        <f>IF(AND(aoc_03_input[[#This Row],[CountRow2_5]]=1,aoc_03_input[[#This Row],[CharAtPos2_5]]="#"),1,0)</f>
        <v>0</v>
      </c>
    </row>
    <row r="136" spans="1:17" x14ac:dyDescent="0.45">
      <c r="A136" s="1" t="s">
        <v>1520</v>
      </c>
      <c r="B136" s="1">
        <f t="shared" si="10"/>
        <v>403</v>
      </c>
      <c r="C136" s="1" t="str">
        <f>MID(aoc_03_input[[#This Row],[Forest]],MOD(aoc_03_input[[#This Row],[Pos1]]-1,LEN(aoc_03_input[[#This Row],[Forest]]))+1,1)</f>
        <v>#</v>
      </c>
      <c r="D136" s="1">
        <f>IF(aoc_03_input[[#This Row],[CharAtPos1]]="#",1,0)</f>
        <v>1</v>
      </c>
      <c r="E136" s="1">
        <f t="shared" si="11"/>
        <v>135</v>
      </c>
      <c r="F136" s="1" t="str">
        <f>MID(aoc_03_input[[#This Row],[Forest]],MOD(aoc_03_input[[#This Row],[Pos2_1]]-1,LEN(aoc_03_input[[#This Row],[Forest]]))+1,1)</f>
        <v>.</v>
      </c>
      <c r="G136" s="1">
        <f>IF(aoc_03_input[[#This Row],[CharAtPos2_1]]="#",1,0)</f>
        <v>0</v>
      </c>
      <c r="H136" s="1">
        <f t="shared" si="12"/>
        <v>671</v>
      </c>
      <c r="I136" s="1" t="str">
        <f>MID(aoc_03_input[[#This Row],[Forest]],MOD(aoc_03_input[[#This Row],[Pos2_3]]-1,LEN(aoc_03_input[[#This Row],[Forest]]))+1,1)</f>
        <v>.</v>
      </c>
      <c r="J136" s="1">
        <f>IF(aoc_03_input[[#This Row],[CharAtPos2_3]]="#",1,0)</f>
        <v>0</v>
      </c>
      <c r="K136" s="1">
        <f t="shared" si="13"/>
        <v>939</v>
      </c>
      <c r="L136" s="1" t="str">
        <f>MID(aoc_03_input[[#This Row],[Forest]],MOD(aoc_03_input[[#This Row],[Pos2_4]]-1,LEN(aoc_03_input[[#This Row],[Forest]]))+1,1)</f>
        <v>.</v>
      </c>
      <c r="M136" s="1">
        <f>IF(aoc_03_input[[#This Row],[CharAtPos2_4]]="#",1,0)</f>
        <v>0</v>
      </c>
      <c r="N136" s="1">
        <f>MOD(ROW(aoc_03_input[[#This Row],[CountRow2_5]])+1,2)</f>
        <v>1</v>
      </c>
      <c r="O136" s="1">
        <f t="shared" si="14"/>
        <v>68</v>
      </c>
      <c r="P136" s="1" t="str">
        <f>MID(aoc_03_input[[#This Row],[Forest]],MOD(aoc_03_input[[#This Row],[Pos2_5]]-1,LEN(aoc_03_input[[#This Row],[Forest]]))+1,1)</f>
        <v>#</v>
      </c>
      <c r="Q136" s="1">
        <f>IF(AND(aoc_03_input[[#This Row],[CountRow2_5]]=1,aoc_03_input[[#This Row],[CharAtPos2_5]]="#"),1,0)</f>
        <v>1</v>
      </c>
    </row>
    <row r="137" spans="1:17" x14ac:dyDescent="0.45">
      <c r="A137" s="1" t="s">
        <v>1521</v>
      </c>
      <c r="B137" s="1">
        <f t="shared" si="10"/>
        <v>406</v>
      </c>
      <c r="C137" s="1" t="str">
        <f>MID(aoc_03_input[[#This Row],[Forest]],MOD(aoc_03_input[[#This Row],[Pos1]]-1,LEN(aoc_03_input[[#This Row],[Forest]]))+1,1)</f>
        <v>.</v>
      </c>
      <c r="D137" s="1">
        <f>IF(aoc_03_input[[#This Row],[CharAtPos1]]="#",1,0)</f>
        <v>0</v>
      </c>
      <c r="E137" s="1">
        <f t="shared" si="11"/>
        <v>136</v>
      </c>
      <c r="F137" s="1" t="str">
        <f>MID(aoc_03_input[[#This Row],[Forest]],MOD(aoc_03_input[[#This Row],[Pos2_1]]-1,LEN(aoc_03_input[[#This Row],[Forest]]))+1,1)</f>
        <v>.</v>
      </c>
      <c r="G137" s="1">
        <f>IF(aoc_03_input[[#This Row],[CharAtPos2_1]]="#",1,0)</f>
        <v>0</v>
      </c>
      <c r="H137" s="1">
        <f t="shared" si="12"/>
        <v>676</v>
      </c>
      <c r="I137" s="1" t="str">
        <f>MID(aoc_03_input[[#This Row],[Forest]],MOD(aoc_03_input[[#This Row],[Pos2_3]]-1,LEN(aoc_03_input[[#This Row],[Forest]]))+1,1)</f>
        <v>.</v>
      </c>
      <c r="J137" s="1">
        <f>IF(aoc_03_input[[#This Row],[CharAtPos2_3]]="#",1,0)</f>
        <v>0</v>
      </c>
      <c r="K137" s="1">
        <f t="shared" si="13"/>
        <v>946</v>
      </c>
      <c r="L137" s="1" t="str">
        <f>MID(aoc_03_input[[#This Row],[Forest]],MOD(aoc_03_input[[#This Row],[Pos2_4]]-1,LEN(aoc_03_input[[#This Row],[Forest]]))+1,1)</f>
        <v>#</v>
      </c>
      <c r="M137" s="1">
        <f>IF(aoc_03_input[[#This Row],[CharAtPos2_4]]="#",1,0)</f>
        <v>1</v>
      </c>
      <c r="N137" s="1">
        <f>MOD(ROW(aoc_03_input[[#This Row],[CountRow2_5]])+1,2)</f>
        <v>0</v>
      </c>
      <c r="O137" s="1">
        <f t="shared" si="14"/>
        <v>68</v>
      </c>
      <c r="P137" s="1" t="str">
        <f>MID(aoc_03_input[[#This Row],[Forest]],MOD(aoc_03_input[[#This Row],[Pos2_5]]-1,LEN(aoc_03_input[[#This Row],[Forest]]))+1,1)</f>
        <v>.</v>
      </c>
      <c r="Q137" s="1">
        <f>IF(AND(aoc_03_input[[#This Row],[CountRow2_5]]=1,aoc_03_input[[#This Row],[CharAtPos2_5]]="#"),1,0)</f>
        <v>0</v>
      </c>
    </row>
    <row r="138" spans="1:17" x14ac:dyDescent="0.45">
      <c r="A138" s="1" t="s">
        <v>1522</v>
      </c>
      <c r="B138" s="1">
        <f t="shared" si="10"/>
        <v>409</v>
      </c>
      <c r="C138" s="1" t="str">
        <f>MID(aoc_03_input[[#This Row],[Forest]],MOD(aoc_03_input[[#This Row],[Pos1]]-1,LEN(aoc_03_input[[#This Row],[Forest]]))+1,1)</f>
        <v>.</v>
      </c>
      <c r="D138" s="1">
        <f>IF(aoc_03_input[[#This Row],[CharAtPos1]]="#",1,0)</f>
        <v>0</v>
      </c>
      <c r="E138" s="1">
        <f t="shared" si="11"/>
        <v>137</v>
      </c>
      <c r="F138" s="1" t="str">
        <f>MID(aoc_03_input[[#This Row],[Forest]],MOD(aoc_03_input[[#This Row],[Pos2_1]]-1,LEN(aoc_03_input[[#This Row],[Forest]]))+1,1)</f>
        <v>.</v>
      </c>
      <c r="G138" s="1">
        <f>IF(aoc_03_input[[#This Row],[CharAtPos2_1]]="#",1,0)</f>
        <v>0</v>
      </c>
      <c r="H138" s="1">
        <f t="shared" si="12"/>
        <v>681</v>
      </c>
      <c r="I138" s="1" t="str">
        <f>MID(aoc_03_input[[#This Row],[Forest]],MOD(aoc_03_input[[#This Row],[Pos2_3]]-1,LEN(aoc_03_input[[#This Row],[Forest]]))+1,1)</f>
        <v>.</v>
      </c>
      <c r="J138" s="1">
        <f>IF(aoc_03_input[[#This Row],[CharAtPos2_3]]="#",1,0)</f>
        <v>0</v>
      </c>
      <c r="K138" s="1">
        <f t="shared" si="13"/>
        <v>953</v>
      </c>
      <c r="L138" s="1" t="str">
        <f>MID(aoc_03_input[[#This Row],[Forest]],MOD(aoc_03_input[[#This Row],[Pos2_4]]-1,LEN(aoc_03_input[[#This Row],[Forest]]))+1,1)</f>
        <v>.</v>
      </c>
      <c r="M138" s="1">
        <f>IF(aoc_03_input[[#This Row],[CharAtPos2_4]]="#",1,0)</f>
        <v>0</v>
      </c>
      <c r="N138" s="1">
        <f>MOD(ROW(aoc_03_input[[#This Row],[CountRow2_5]])+1,2)</f>
        <v>1</v>
      </c>
      <c r="O138" s="1">
        <f t="shared" si="14"/>
        <v>69</v>
      </c>
      <c r="P138" s="1" t="str">
        <f>MID(aoc_03_input[[#This Row],[Forest]],MOD(aoc_03_input[[#This Row],[Pos2_5]]-1,LEN(aoc_03_input[[#This Row],[Forest]]))+1,1)</f>
        <v>.</v>
      </c>
      <c r="Q138" s="1">
        <f>IF(AND(aoc_03_input[[#This Row],[CountRow2_5]]=1,aoc_03_input[[#This Row],[CharAtPos2_5]]="#"),1,0)</f>
        <v>0</v>
      </c>
    </row>
    <row r="139" spans="1:17" x14ac:dyDescent="0.45">
      <c r="A139" s="1" t="s">
        <v>1523</v>
      </c>
      <c r="B139" s="1">
        <f t="shared" si="10"/>
        <v>412</v>
      </c>
      <c r="C139" s="1" t="str">
        <f>MID(aoc_03_input[[#This Row],[Forest]],MOD(aoc_03_input[[#This Row],[Pos1]]-1,LEN(aoc_03_input[[#This Row],[Forest]]))+1,1)</f>
        <v>.</v>
      </c>
      <c r="D139" s="1">
        <f>IF(aoc_03_input[[#This Row],[CharAtPos1]]="#",1,0)</f>
        <v>0</v>
      </c>
      <c r="E139" s="1">
        <f t="shared" si="11"/>
        <v>138</v>
      </c>
      <c r="F139" s="1" t="str">
        <f>MID(aoc_03_input[[#This Row],[Forest]],MOD(aoc_03_input[[#This Row],[Pos2_1]]-1,LEN(aoc_03_input[[#This Row],[Forest]]))+1,1)</f>
        <v>.</v>
      </c>
      <c r="G139" s="1">
        <f>IF(aoc_03_input[[#This Row],[CharAtPos2_1]]="#",1,0)</f>
        <v>0</v>
      </c>
      <c r="H139" s="1">
        <f t="shared" si="12"/>
        <v>686</v>
      </c>
      <c r="I139" s="1" t="str">
        <f>MID(aoc_03_input[[#This Row],[Forest]],MOD(aoc_03_input[[#This Row],[Pos2_3]]-1,LEN(aoc_03_input[[#This Row],[Forest]]))+1,1)</f>
        <v>.</v>
      </c>
      <c r="J139" s="1">
        <f>IF(aoc_03_input[[#This Row],[CharAtPos2_3]]="#",1,0)</f>
        <v>0</v>
      </c>
      <c r="K139" s="1">
        <f t="shared" si="13"/>
        <v>960</v>
      </c>
      <c r="L139" s="1" t="str">
        <f>MID(aoc_03_input[[#This Row],[Forest]],MOD(aoc_03_input[[#This Row],[Pos2_4]]-1,LEN(aoc_03_input[[#This Row],[Forest]]))+1,1)</f>
        <v>.</v>
      </c>
      <c r="M139" s="1">
        <f>IF(aoc_03_input[[#This Row],[CharAtPos2_4]]="#",1,0)</f>
        <v>0</v>
      </c>
      <c r="N139" s="1">
        <f>MOD(ROW(aoc_03_input[[#This Row],[CountRow2_5]])+1,2)</f>
        <v>0</v>
      </c>
      <c r="O139" s="1">
        <f t="shared" si="14"/>
        <v>69</v>
      </c>
      <c r="P139" s="1" t="str">
        <f>MID(aoc_03_input[[#This Row],[Forest]],MOD(aoc_03_input[[#This Row],[Pos2_5]]-1,LEN(aoc_03_input[[#This Row],[Forest]]))+1,1)</f>
        <v>.</v>
      </c>
      <c r="Q139" s="1">
        <f>IF(AND(aoc_03_input[[#This Row],[CountRow2_5]]=1,aoc_03_input[[#This Row],[CharAtPos2_5]]="#"),1,0)</f>
        <v>0</v>
      </c>
    </row>
    <row r="140" spans="1:17" x14ac:dyDescent="0.45">
      <c r="A140" s="1" t="s">
        <v>1524</v>
      </c>
      <c r="B140" s="1">
        <f t="shared" si="10"/>
        <v>415</v>
      </c>
      <c r="C140" s="1" t="str">
        <f>MID(aoc_03_input[[#This Row],[Forest]],MOD(aoc_03_input[[#This Row],[Pos1]]-1,LEN(aoc_03_input[[#This Row],[Forest]]))+1,1)</f>
        <v>.</v>
      </c>
      <c r="D140" s="1">
        <f>IF(aoc_03_input[[#This Row],[CharAtPos1]]="#",1,0)</f>
        <v>0</v>
      </c>
      <c r="E140" s="1">
        <f t="shared" si="11"/>
        <v>139</v>
      </c>
      <c r="F140" s="1" t="str">
        <f>MID(aoc_03_input[[#This Row],[Forest]],MOD(aoc_03_input[[#This Row],[Pos2_1]]-1,LEN(aoc_03_input[[#This Row],[Forest]]))+1,1)</f>
        <v>.</v>
      </c>
      <c r="G140" s="1">
        <f>IF(aoc_03_input[[#This Row],[CharAtPos2_1]]="#",1,0)</f>
        <v>0</v>
      </c>
      <c r="H140" s="1">
        <f t="shared" si="12"/>
        <v>691</v>
      </c>
      <c r="I140" s="1" t="str">
        <f>MID(aoc_03_input[[#This Row],[Forest]],MOD(aoc_03_input[[#This Row],[Pos2_3]]-1,LEN(aoc_03_input[[#This Row],[Forest]]))+1,1)</f>
        <v>.</v>
      </c>
      <c r="J140" s="1">
        <f>IF(aoc_03_input[[#This Row],[CharAtPos2_3]]="#",1,0)</f>
        <v>0</v>
      </c>
      <c r="K140" s="1">
        <f t="shared" si="13"/>
        <v>967</v>
      </c>
      <c r="L140" s="1" t="str">
        <f>MID(aoc_03_input[[#This Row],[Forest]],MOD(aoc_03_input[[#This Row],[Pos2_4]]-1,LEN(aoc_03_input[[#This Row],[Forest]]))+1,1)</f>
        <v>.</v>
      </c>
      <c r="M140" s="1">
        <f>IF(aoc_03_input[[#This Row],[CharAtPos2_4]]="#",1,0)</f>
        <v>0</v>
      </c>
      <c r="N140" s="1">
        <f>MOD(ROW(aoc_03_input[[#This Row],[CountRow2_5]])+1,2)</f>
        <v>1</v>
      </c>
      <c r="O140" s="1">
        <f t="shared" si="14"/>
        <v>70</v>
      </c>
      <c r="P140" s="1" t="str">
        <f>MID(aoc_03_input[[#This Row],[Forest]],MOD(aoc_03_input[[#This Row],[Pos2_5]]-1,LEN(aoc_03_input[[#This Row],[Forest]]))+1,1)</f>
        <v>.</v>
      </c>
      <c r="Q140" s="1">
        <f>IF(AND(aoc_03_input[[#This Row],[CountRow2_5]]=1,aoc_03_input[[#This Row],[CharAtPos2_5]]="#"),1,0)</f>
        <v>0</v>
      </c>
    </row>
    <row r="141" spans="1:17" x14ac:dyDescent="0.45">
      <c r="A141" s="1" t="s">
        <v>1525</v>
      </c>
      <c r="B141" s="1">
        <f t="shared" si="10"/>
        <v>418</v>
      </c>
      <c r="C141" s="1" t="str">
        <f>MID(aoc_03_input[[#This Row],[Forest]],MOD(aoc_03_input[[#This Row],[Pos1]]-1,LEN(aoc_03_input[[#This Row],[Forest]]))+1,1)</f>
        <v>#</v>
      </c>
      <c r="D141" s="1">
        <f>IF(aoc_03_input[[#This Row],[CharAtPos1]]="#",1,0)</f>
        <v>1</v>
      </c>
      <c r="E141" s="1">
        <f t="shared" si="11"/>
        <v>140</v>
      </c>
      <c r="F141" s="1" t="str">
        <f>MID(aoc_03_input[[#This Row],[Forest]],MOD(aoc_03_input[[#This Row],[Pos2_1]]-1,LEN(aoc_03_input[[#This Row],[Forest]]))+1,1)</f>
        <v>.</v>
      </c>
      <c r="G141" s="1">
        <f>IF(aoc_03_input[[#This Row],[CharAtPos2_1]]="#",1,0)</f>
        <v>0</v>
      </c>
      <c r="H141" s="1">
        <f t="shared" si="12"/>
        <v>696</v>
      </c>
      <c r="I141" s="1" t="str">
        <f>MID(aoc_03_input[[#This Row],[Forest]],MOD(aoc_03_input[[#This Row],[Pos2_3]]-1,LEN(aoc_03_input[[#This Row],[Forest]]))+1,1)</f>
        <v>.</v>
      </c>
      <c r="J141" s="1">
        <f>IF(aoc_03_input[[#This Row],[CharAtPos2_3]]="#",1,0)</f>
        <v>0</v>
      </c>
      <c r="K141" s="1">
        <f t="shared" si="13"/>
        <v>974</v>
      </c>
      <c r="L141" s="1" t="str">
        <f>MID(aoc_03_input[[#This Row],[Forest]],MOD(aoc_03_input[[#This Row],[Pos2_4]]-1,LEN(aoc_03_input[[#This Row],[Forest]]))+1,1)</f>
        <v>#</v>
      </c>
      <c r="M141" s="1">
        <f>IF(aoc_03_input[[#This Row],[CharAtPos2_4]]="#",1,0)</f>
        <v>1</v>
      </c>
      <c r="N141" s="1">
        <f>MOD(ROW(aoc_03_input[[#This Row],[CountRow2_5]])+1,2)</f>
        <v>0</v>
      </c>
      <c r="O141" s="1">
        <f t="shared" si="14"/>
        <v>70</v>
      </c>
      <c r="P141" s="1" t="str">
        <f>MID(aoc_03_input[[#This Row],[Forest]],MOD(aoc_03_input[[#This Row],[Pos2_5]]-1,LEN(aoc_03_input[[#This Row],[Forest]]))+1,1)</f>
        <v>#</v>
      </c>
      <c r="Q141" s="1">
        <f>IF(AND(aoc_03_input[[#This Row],[CountRow2_5]]=1,aoc_03_input[[#This Row],[CharAtPos2_5]]="#"),1,0)</f>
        <v>0</v>
      </c>
    </row>
    <row r="142" spans="1:17" x14ac:dyDescent="0.45">
      <c r="A142" s="1" t="s">
        <v>1526</v>
      </c>
      <c r="B142" s="1">
        <f t="shared" si="10"/>
        <v>421</v>
      </c>
      <c r="C142" s="1" t="str">
        <f>MID(aoc_03_input[[#This Row],[Forest]],MOD(aoc_03_input[[#This Row],[Pos1]]-1,LEN(aoc_03_input[[#This Row],[Forest]]))+1,1)</f>
        <v>.</v>
      </c>
      <c r="D142" s="1">
        <f>IF(aoc_03_input[[#This Row],[CharAtPos1]]="#",1,0)</f>
        <v>0</v>
      </c>
      <c r="E142" s="1">
        <f t="shared" si="11"/>
        <v>141</v>
      </c>
      <c r="F142" s="1" t="str">
        <f>MID(aoc_03_input[[#This Row],[Forest]],MOD(aoc_03_input[[#This Row],[Pos2_1]]-1,LEN(aoc_03_input[[#This Row],[Forest]]))+1,1)</f>
        <v>.</v>
      </c>
      <c r="G142" s="1">
        <f>IF(aoc_03_input[[#This Row],[CharAtPos2_1]]="#",1,0)</f>
        <v>0</v>
      </c>
      <c r="H142" s="1">
        <f t="shared" si="12"/>
        <v>701</v>
      </c>
      <c r="I142" s="1" t="str">
        <f>MID(aoc_03_input[[#This Row],[Forest]],MOD(aoc_03_input[[#This Row],[Pos2_3]]-1,LEN(aoc_03_input[[#This Row],[Forest]]))+1,1)</f>
        <v>.</v>
      </c>
      <c r="J142" s="1">
        <f>IF(aoc_03_input[[#This Row],[CharAtPos2_3]]="#",1,0)</f>
        <v>0</v>
      </c>
      <c r="K142" s="1">
        <f t="shared" si="13"/>
        <v>981</v>
      </c>
      <c r="L142" s="1" t="str">
        <f>MID(aoc_03_input[[#This Row],[Forest]],MOD(aoc_03_input[[#This Row],[Pos2_4]]-1,LEN(aoc_03_input[[#This Row],[Forest]]))+1,1)</f>
        <v>#</v>
      </c>
      <c r="M142" s="1">
        <f>IF(aoc_03_input[[#This Row],[CharAtPos2_4]]="#",1,0)</f>
        <v>1</v>
      </c>
      <c r="N142" s="1">
        <f>MOD(ROW(aoc_03_input[[#This Row],[CountRow2_5]])+1,2)</f>
        <v>1</v>
      </c>
      <c r="O142" s="1">
        <f t="shared" si="14"/>
        <v>71</v>
      </c>
      <c r="P142" s="1" t="str">
        <f>MID(aoc_03_input[[#This Row],[Forest]],MOD(aoc_03_input[[#This Row],[Pos2_5]]-1,LEN(aoc_03_input[[#This Row],[Forest]]))+1,1)</f>
        <v>.</v>
      </c>
      <c r="Q142" s="1">
        <f>IF(AND(aoc_03_input[[#This Row],[CountRow2_5]]=1,aoc_03_input[[#This Row],[CharAtPos2_5]]="#"),1,0)</f>
        <v>0</v>
      </c>
    </row>
    <row r="143" spans="1:17" x14ac:dyDescent="0.45">
      <c r="A143" s="1" t="s">
        <v>1527</v>
      </c>
      <c r="B143" s="1">
        <f t="shared" si="10"/>
        <v>424</v>
      </c>
      <c r="C143" s="1" t="str">
        <f>MID(aoc_03_input[[#This Row],[Forest]],MOD(aoc_03_input[[#This Row],[Pos1]]-1,LEN(aoc_03_input[[#This Row],[Forest]]))+1,1)</f>
        <v>.</v>
      </c>
      <c r="D143" s="1">
        <f>IF(aoc_03_input[[#This Row],[CharAtPos1]]="#",1,0)</f>
        <v>0</v>
      </c>
      <c r="E143" s="1">
        <f t="shared" si="11"/>
        <v>142</v>
      </c>
      <c r="F143" s="1" t="str">
        <f>MID(aoc_03_input[[#This Row],[Forest]],MOD(aoc_03_input[[#This Row],[Pos2_1]]-1,LEN(aoc_03_input[[#This Row],[Forest]]))+1,1)</f>
        <v>.</v>
      </c>
      <c r="G143" s="1">
        <f>IF(aoc_03_input[[#This Row],[CharAtPos2_1]]="#",1,0)</f>
        <v>0</v>
      </c>
      <c r="H143" s="1">
        <f t="shared" si="12"/>
        <v>706</v>
      </c>
      <c r="I143" s="1" t="str">
        <f>MID(aoc_03_input[[#This Row],[Forest]],MOD(aoc_03_input[[#This Row],[Pos2_3]]-1,LEN(aoc_03_input[[#This Row],[Forest]]))+1,1)</f>
        <v>.</v>
      </c>
      <c r="J143" s="1">
        <f>IF(aoc_03_input[[#This Row],[CharAtPos2_3]]="#",1,0)</f>
        <v>0</v>
      </c>
      <c r="K143" s="1">
        <f t="shared" si="13"/>
        <v>988</v>
      </c>
      <c r="L143" s="1" t="str">
        <f>MID(aoc_03_input[[#This Row],[Forest]],MOD(aoc_03_input[[#This Row],[Pos2_4]]-1,LEN(aoc_03_input[[#This Row],[Forest]]))+1,1)</f>
        <v>.</v>
      </c>
      <c r="M143" s="1">
        <f>IF(aoc_03_input[[#This Row],[CharAtPos2_4]]="#",1,0)</f>
        <v>0</v>
      </c>
      <c r="N143" s="1">
        <f>MOD(ROW(aoc_03_input[[#This Row],[CountRow2_5]])+1,2)</f>
        <v>0</v>
      </c>
      <c r="O143" s="1">
        <f t="shared" si="14"/>
        <v>71</v>
      </c>
      <c r="P143" s="1" t="str">
        <f>MID(aoc_03_input[[#This Row],[Forest]],MOD(aoc_03_input[[#This Row],[Pos2_5]]-1,LEN(aoc_03_input[[#This Row],[Forest]]))+1,1)</f>
        <v>.</v>
      </c>
      <c r="Q143" s="1">
        <f>IF(AND(aoc_03_input[[#This Row],[CountRow2_5]]=1,aoc_03_input[[#This Row],[CharAtPos2_5]]="#"),1,0)</f>
        <v>0</v>
      </c>
    </row>
    <row r="144" spans="1:17" x14ac:dyDescent="0.45">
      <c r="A144" s="1" t="s">
        <v>1528</v>
      </c>
      <c r="B144" s="1">
        <f t="shared" si="10"/>
        <v>427</v>
      </c>
      <c r="C144" s="1" t="str">
        <f>MID(aoc_03_input[[#This Row],[Forest]],MOD(aoc_03_input[[#This Row],[Pos1]]-1,LEN(aoc_03_input[[#This Row],[Forest]]))+1,1)</f>
        <v>.</v>
      </c>
      <c r="D144" s="1">
        <f>IF(aoc_03_input[[#This Row],[CharAtPos1]]="#",1,0)</f>
        <v>0</v>
      </c>
      <c r="E144" s="1">
        <f t="shared" si="11"/>
        <v>143</v>
      </c>
      <c r="F144" s="1" t="str">
        <f>MID(aoc_03_input[[#This Row],[Forest]],MOD(aoc_03_input[[#This Row],[Pos2_1]]-1,LEN(aoc_03_input[[#This Row],[Forest]]))+1,1)</f>
        <v>#</v>
      </c>
      <c r="G144" s="1">
        <f>IF(aoc_03_input[[#This Row],[CharAtPos2_1]]="#",1,0)</f>
        <v>1</v>
      </c>
      <c r="H144" s="1">
        <f t="shared" si="12"/>
        <v>711</v>
      </c>
      <c r="I144" s="1" t="str">
        <f>MID(aoc_03_input[[#This Row],[Forest]],MOD(aoc_03_input[[#This Row],[Pos2_3]]-1,LEN(aoc_03_input[[#This Row],[Forest]]))+1,1)</f>
        <v>#</v>
      </c>
      <c r="J144" s="1">
        <f>IF(aoc_03_input[[#This Row],[CharAtPos2_3]]="#",1,0)</f>
        <v>1</v>
      </c>
      <c r="K144" s="1">
        <f t="shared" si="13"/>
        <v>995</v>
      </c>
      <c r="L144" s="1" t="str">
        <f>MID(aoc_03_input[[#This Row],[Forest]],MOD(aoc_03_input[[#This Row],[Pos2_4]]-1,LEN(aoc_03_input[[#This Row],[Forest]]))+1,1)</f>
        <v>.</v>
      </c>
      <c r="M144" s="1">
        <f>IF(aoc_03_input[[#This Row],[CharAtPos2_4]]="#",1,0)</f>
        <v>0</v>
      </c>
      <c r="N144" s="1">
        <f>MOD(ROW(aoc_03_input[[#This Row],[CountRow2_5]])+1,2)</f>
        <v>1</v>
      </c>
      <c r="O144" s="1">
        <f t="shared" si="14"/>
        <v>72</v>
      </c>
      <c r="P144" s="1" t="str">
        <f>MID(aoc_03_input[[#This Row],[Forest]],MOD(aoc_03_input[[#This Row],[Pos2_5]]-1,LEN(aoc_03_input[[#This Row],[Forest]]))+1,1)</f>
        <v>.</v>
      </c>
      <c r="Q144" s="1">
        <f>IF(AND(aoc_03_input[[#This Row],[CountRow2_5]]=1,aoc_03_input[[#This Row],[CharAtPos2_5]]="#"),1,0)</f>
        <v>0</v>
      </c>
    </row>
    <row r="145" spans="1:17" x14ac:dyDescent="0.45">
      <c r="A145" s="1" t="s">
        <v>1529</v>
      </c>
      <c r="B145" s="1">
        <f t="shared" si="10"/>
        <v>430</v>
      </c>
      <c r="C145" s="1" t="str">
        <f>MID(aoc_03_input[[#This Row],[Forest]],MOD(aoc_03_input[[#This Row],[Pos1]]-1,LEN(aoc_03_input[[#This Row],[Forest]]))+1,1)</f>
        <v>#</v>
      </c>
      <c r="D145" s="1">
        <f>IF(aoc_03_input[[#This Row],[CharAtPos1]]="#",1,0)</f>
        <v>1</v>
      </c>
      <c r="E145" s="1">
        <f t="shared" si="11"/>
        <v>144</v>
      </c>
      <c r="F145" s="1" t="str">
        <f>MID(aoc_03_input[[#This Row],[Forest]],MOD(aoc_03_input[[#This Row],[Pos2_1]]-1,LEN(aoc_03_input[[#This Row],[Forest]]))+1,1)</f>
        <v>.</v>
      </c>
      <c r="G145" s="1">
        <f>IF(aoc_03_input[[#This Row],[CharAtPos2_1]]="#",1,0)</f>
        <v>0</v>
      </c>
      <c r="H145" s="1">
        <f t="shared" si="12"/>
        <v>716</v>
      </c>
      <c r="I145" s="1" t="str">
        <f>MID(aoc_03_input[[#This Row],[Forest]],MOD(aoc_03_input[[#This Row],[Pos2_3]]-1,LEN(aoc_03_input[[#This Row],[Forest]]))+1,1)</f>
        <v>.</v>
      </c>
      <c r="J145" s="1">
        <f>IF(aoc_03_input[[#This Row],[CharAtPos2_3]]="#",1,0)</f>
        <v>0</v>
      </c>
      <c r="K145" s="1">
        <f t="shared" si="13"/>
        <v>1002</v>
      </c>
      <c r="L145" s="1" t="str">
        <f>MID(aoc_03_input[[#This Row],[Forest]],MOD(aoc_03_input[[#This Row],[Pos2_4]]-1,LEN(aoc_03_input[[#This Row],[Forest]]))+1,1)</f>
        <v>.</v>
      </c>
      <c r="M145" s="1">
        <f>IF(aoc_03_input[[#This Row],[CharAtPos2_4]]="#",1,0)</f>
        <v>0</v>
      </c>
      <c r="N145" s="1">
        <f>MOD(ROW(aoc_03_input[[#This Row],[CountRow2_5]])+1,2)</f>
        <v>0</v>
      </c>
      <c r="O145" s="1">
        <f t="shared" si="14"/>
        <v>72</v>
      </c>
      <c r="P145" s="1" t="str">
        <f>MID(aoc_03_input[[#This Row],[Forest]],MOD(aoc_03_input[[#This Row],[Pos2_5]]-1,LEN(aoc_03_input[[#This Row],[Forest]]))+1,1)</f>
        <v>.</v>
      </c>
      <c r="Q145" s="1">
        <f>IF(AND(aoc_03_input[[#This Row],[CountRow2_5]]=1,aoc_03_input[[#This Row],[CharAtPos2_5]]="#"),1,0)</f>
        <v>0</v>
      </c>
    </row>
    <row r="146" spans="1:17" x14ac:dyDescent="0.45">
      <c r="A146" s="1" t="s">
        <v>1530</v>
      </c>
      <c r="B146" s="1">
        <f t="shared" si="10"/>
        <v>433</v>
      </c>
      <c r="C146" s="1" t="str">
        <f>MID(aoc_03_input[[#This Row],[Forest]],MOD(aoc_03_input[[#This Row],[Pos1]]-1,LEN(aoc_03_input[[#This Row],[Forest]]))+1,1)</f>
        <v>#</v>
      </c>
      <c r="D146" s="1">
        <f>IF(aoc_03_input[[#This Row],[CharAtPos1]]="#",1,0)</f>
        <v>1</v>
      </c>
      <c r="E146" s="1">
        <f t="shared" si="11"/>
        <v>145</v>
      </c>
      <c r="F146" s="1" t="str">
        <f>MID(aoc_03_input[[#This Row],[Forest]],MOD(aoc_03_input[[#This Row],[Pos2_1]]-1,LEN(aoc_03_input[[#This Row],[Forest]]))+1,1)</f>
        <v>.</v>
      </c>
      <c r="G146" s="1">
        <f>IF(aoc_03_input[[#This Row],[CharAtPos2_1]]="#",1,0)</f>
        <v>0</v>
      </c>
      <c r="H146" s="1">
        <f t="shared" si="12"/>
        <v>721</v>
      </c>
      <c r="I146" s="1" t="str">
        <f>MID(aoc_03_input[[#This Row],[Forest]],MOD(aoc_03_input[[#This Row],[Pos2_3]]-1,LEN(aoc_03_input[[#This Row],[Forest]]))+1,1)</f>
        <v>.</v>
      </c>
      <c r="J146" s="1">
        <f>IF(aoc_03_input[[#This Row],[CharAtPos2_3]]="#",1,0)</f>
        <v>0</v>
      </c>
      <c r="K146" s="1">
        <f t="shared" si="13"/>
        <v>1009</v>
      </c>
      <c r="L146" s="1" t="str">
        <f>MID(aoc_03_input[[#This Row],[Forest]],MOD(aoc_03_input[[#This Row],[Pos2_4]]-1,LEN(aoc_03_input[[#This Row],[Forest]]))+1,1)</f>
        <v>.</v>
      </c>
      <c r="M146" s="1">
        <f>IF(aoc_03_input[[#This Row],[CharAtPos2_4]]="#",1,0)</f>
        <v>0</v>
      </c>
      <c r="N146" s="1">
        <f>MOD(ROW(aoc_03_input[[#This Row],[CountRow2_5]])+1,2)</f>
        <v>1</v>
      </c>
      <c r="O146" s="1">
        <f t="shared" si="14"/>
        <v>73</v>
      </c>
      <c r="P146" s="1" t="str">
        <f>MID(aoc_03_input[[#This Row],[Forest]],MOD(aoc_03_input[[#This Row],[Pos2_5]]-1,LEN(aoc_03_input[[#This Row],[Forest]]))+1,1)</f>
        <v>.</v>
      </c>
      <c r="Q146" s="1">
        <f>IF(AND(aoc_03_input[[#This Row],[CountRow2_5]]=1,aoc_03_input[[#This Row],[CharAtPos2_5]]="#"),1,0)</f>
        <v>0</v>
      </c>
    </row>
    <row r="147" spans="1:17" x14ac:dyDescent="0.45">
      <c r="A147" s="1" t="s">
        <v>1531</v>
      </c>
      <c r="B147" s="1">
        <f t="shared" si="10"/>
        <v>436</v>
      </c>
      <c r="C147" s="1" t="str">
        <f>MID(aoc_03_input[[#This Row],[Forest]],MOD(aoc_03_input[[#This Row],[Pos1]]-1,LEN(aoc_03_input[[#This Row],[Forest]]))+1,1)</f>
        <v>#</v>
      </c>
      <c r="D147" s="1">
        <f>IF(aoc_03_input[[#This Row],[CharAtPos1]]="#",1,0)</f>
        <v>1</v>
      </c>
      <c r="E147" s="1">
        <f t="shared" si="11"/>
        <v>146</v>
      </c>
      <c r="F147" s="1" t="str">
        <f>MID(aoc_03_input[[#This Row],[Forest]],MOD(aoc_03_input[[#This Row],[Pos2_1]]-1,LEN(aoc_03_input[[#This Row],[Forest]]))+1,1)</f>
        <v>.</v>
      </c>
      <c r="G147" s="1">
        <f>IF(aoc_03_input[[#This Row],[CharAtPos2_1]]="#",1,0)</f>
        <v>0</v>
      </c>
      <c r="H147" s="1">
        <f t="shared" si="12"/>
        <v>726</v>
      </c>
      <c r="I147" s="1" t="str">
        <f>MID(aoc_03_input[[#This Row],[Forest]],MOD(aoc_03_input[[#This Row],[Pos2_3]]-1,LEN(aoc_03_input[[#This Row],[Forest]]))+1,1)</f>
        <v>.</v>
      </c>
      <c r="J147" s="1">
        <f>IF(aoc_03_input[[#This Row],[CharAtPos2_3]]="#",1,0)</f>
        <v>0</v>
      </c>
      <c r="K147" s="1">
        <f t="shared" si="13"/>
        <v>1016</v>
      </c>
      <c r="L147" s="1" t="str">
        <f>MID(aoc_03_input[[#This Row],[Forest]],MOD(aoc_03_input[[#This Row],[Pos2_4]]-1,LEN(aoc_03_input[[#This Row],[Forest]]))+1,1)</f>
        <v>#</v>
      </c>
      <c r="M147" s="1">
        <f>IF(aoc_03_input[[#This Row],[CharAtPos2_4]]="#",1,0)</f>
        <v>1</v>
      </c>
      <c r="N147" s="1">
        <f>MOD(ROW(aoc_03_input[[#This Row],[CountRow2_5]])+1,2)</f>
        <v>0</v>
      </c>
      <c r="O147" s="1">
        <f t="shared" si="14"/>
        <v>73</v>
      </c>
      <c r="P147" s="1" t="str">
        <f>MID(aoc_03_input[[#This Row],[Forest]],MOD(aoc_03_input[[#This Row],[Pos2_5]]-1,LEN(aoc_03_input[[#This Row],[Forest]]))+1,1)</f>
        <v>#</v>
      </c>
      <c r="Q147" s="1">
        <f>IF(AND(aoc_03_input[[#This Row],[CountRow2_5]]=1,aoc_03_input[[#This Row],[CharAtPos2_5]]="#"),1,0)</f>
        <v>0</v>
      </c>
    </row>
    <row r="148" spans="1:17" x14ac:dyDescent="0.45">
      <c r="A148" s="1" t="s">
        <v>1532</v>
      </c>
      <c r="B148" s="1">
        <f t="shared" si="10"/>
        <v>439</v>
      </c>
      <c r="C148" s="1" t="str">
        <f>MID(aoc_03_input[[#This Row],[Forest]],MOD(aoc_03_input[[#This Row],[Pos1]]-1,LEN(aoc_03_input[[#This Row],[Forest]]))+1,1)</f>
        <v>.</v>
      </c>
      <c r="D148" s="1">
        <f>IF(aoc_03_input[[#This Row],[CharAtPos1]]="#",1,0)</f>
        <v>0</v>
      </c>
      <c r="E148" s="1">
        <f t="shared" si="11"/>
        <v>147</v>
      </c>
      <c r="F148" s="1" t="str">
        <f>MID(aoc_03_input[[#This Row],[Forest]],MOD(aoc_03_input[[#This Row],[Pos2_1]]-1,LEN(aoc_03_input[[#This Row],[Forest]]))+1,1)</f>
        <v>.</v>
      </c>
      <c r="G148" s="1">
        <f>IF(aoc_03_input[[#This Row],[CharAtPos2_1]]="#",1,0)</f>
        <v>0</v>
      </c>
      <c r="H148" s="1">
        <f t="shared" si="12"/>
        <v>731</v>
      </c>
      <c r="I148" s="1" t="str">
        <f>MID(aoc_03_input[[#This Row],[Forest]],MOD(aoc_03_input[[#This Row],[Pos2_3]]-1,LEN(aoc_03_input[[#This Row],[Forest]]))+1,1)</f>
        <v>.</v>
      </c>
      <c r="J148" s="1">
        <f>IF(aoc_03_input[[#This Row],[CharAtPos2_3]]="#",1,0)</f>
        <v>0</v>
      </c>
      <c r="K148" s="1">
        <f t="shared" si="13"/>
        <v>1023</v>
      </c>
      <c r="L148" s="1" t="str">
        <f>MID(aoc_03_input[[#This Row],[Forest]],MOD(aoc_03_input[[#This Row],[Pos2_4]]-1,LEN(aoc_03_input[[#This Row],[Forest]]))+1,1)</f>
        <v>.</v>
      </c>
      <c r="M148" s="1">
        <f>IF(aoc_03_input[[#This Row],[CharAtPos2_4]]="#",1,0)</f>
        <v>0</v>
      </c>
      <c r="N148" s="1">
        <f>MOD(ROW(aoc_03_input[[#This Row],[CountRow2_5]])+1,2)</f>
        <v>1</v>
      </c>
      <c r="O148" s="1">
        <f t="shared" si="14"/>
        <v>74</v>
      </c>
      <c r="P148" s="1" t="str">
        <f>MID(aoc_03_input[[#This Row],[Forest]],MOD(aoc_03_input[[#This Row],[Pos2_5]]-1,LEN(aoc_03_input[[#This Row],[Forest]]))+1,1)</f>
        <v>.</v>
      </c>
      <c r="Q148" s="1">
        <f>IF(AND(aoc_03_input[[#This Row],[CountRow2_5]]=1,aoc_03_input[[#This Row],[CharAtPos2_5]]="#"),1,0)</f>
        <v>0</v>
      </c>
    </row>
    <row r="149" spans="1:17" x14ac:dyDescent="0.45">
      <c r="A149" s="1" t="s">
        <v>1533</v>
      </c>
      <c r="B149" s="1">
        <f t="shared" si="10"/>
        <v>442</v>
      </c>
      <c r="C149" s="1" t="str">
        <f>MID(aoc_03_input[[#This Row],[Forest]],MOD(aoc_03_input[[#This Row],[Pos1]]-1,LEN(aoc_03_input[[#This Row],[Forest]]))+1,1)</f>
        <v>#</v>
      </c>
      <c r="D149" s="1">
        <f>IF(aoc_03_input[[#This Row],[CharAtPos1]]="#",1,0)</f>
        <v>1</v>
      </c>
      <c r="E149" s="1">
        <f t="shared" si="11"/>
        <v>148</v>
      </c>
      <c r="F149" s="1" t="str">
        <f>MID(aoc_03_input[[#This Row],[Forest]],MOD(aoc_03_input[[#This Row],[Pos2_1]]-1,LEN(aoc_03_input[[#This Row],[Forest]]))+1,1)</f>
        <v>.</v>
      </c>
      <c r="G149" s="1">
        <f>IF(aoc_03_input[[#This Row],[CharAtPos2_1]]="#",1,0)</f>
        <v>0</v>
      </c>
      <c r="H149" s="1">
        <f t="shared" si="12"/>
        <v>736</v>
      </c>
      <c r="I149" s="1" t="str">
        <f>MID(aoc_03_input[[#This Row],[Forest]],MOD(aoc_03_input[[#This Row],[Pos2_3]]-1,LEN(aoc_03_input[[#This Row],[Forest]]))+1,1)</f>
        <v>.</v>
      </c>
      <c r="J149" s="1">
        <f>IF(aoc_03_input[[#This Row],[CharAtPos2_3]]="#",1,0)</f>
        <v>0</v>
      </c>
      <c r="K149" s="1">
        <f t="shared" si="13"/>
        <v>1030</v>
      </c>
      <c r="L149" s="1" t="str">
        <f>MID(aoc_03_input[[#This Row],[Forest]],MOD(aoc_03_input[[#This Row],[Pos2_4]]-1,LEN(aoc_03_input[[#This Row],[Forest]]))+1,1)</f>
        <v>.</v>
      </c>
      <c r="M149" s="1">
        <f>IF(aoc_03_input[[#This Row],[CharAtPos2_4]]="#",1,0)</f>
        <v>0</v>
      </c>
      <c r="N149" s="1">
        <f>MOD(ROW(aoc_03_input[[#This Row],[CountRow2_5]])+1,2)</f>
        <v>0</v>
      </c>
      <c r="O149" s="1">
        <f t="shared" si="14"/>
        <v>74</v>
      </c>
      <c r="P149" s="1" t="str">
        <f>MID(aoc_03_input[[#This Row],[Forest]],MOD(aoc_03_input[[#This Row],[Pos2_5]]-1,LEN(aoc_03_input[[#This Row],[Forest]]))+1,1)</f>
        <v>.</v>
      </c>
      <c r="Q149" s="1">
        <f>IF(AND(aoc_03_input[[#This Row],[CountRow2_5]]=1,aoc_03_input[[#This Row],[CharAtPos2_5]]="#"),1,0)</f>
        <v>0</v>
      </c>
    </row>
    <row r="150" spans="1:17" x14ac:dyDescent="0.45">
      <c r="A150" s="1" t="s">
        <v>1534</v>
      </c>
      <c r="B150" s="1">
        <f t="shared" si="10"/>
        <v>445</v>
      </c>
      <c r="C150" s="1" t="str">
        <f>MID(aoc_03_input[[#This Row],[Forest]],MOD(aoc_03_input[[#This Row],[Pos1]]-1,LEN(aoc_03_input[[#This Row],[Forest]]))+1,1)</f>
        <v>.</v>
      </c>
      <c r="D150" s="1">
        <f>IF(aoc_03_input[[#This Row],[CharAtPos1]]="#",1,0)</f>
        <v>0</v>
      </c>
      <c r="E150" s="1">
        <f t="shared" si="11"/>
        <v>149</v>
      </c>
      <c r="F150" s="1" t="str">
        <f>MID(aoc_03_input[[#This Row],[Forest]],MOD(aoc_03_input[[#This Row],[Pos2_1]]-1,LEN(aoc_03_input[[#This Row],[Forest]]))+1,1)</f>
        <v>#</v>
      </c>
      <c r="G150" s="1">
        <f>IF(aoc_03_input[[#This Row],[CharAtPos2_1]]="#",1,0)</f>
        <v>1</v>
      </c>
      <c r="H150" s="1">
        <f t="shared" si="12"/>
        <v>741</v>
      </c>
      <c r="I150" s="1" t="str">
        <f>MID(aoc_03_input[[#This Row],[Forest]],MOD(aoc_03_input[[#This Row],[Pos2_3]]-1,LEN(aoc_03_input[[#This Row],[Forest]]))+1,1)</f>
        <v>#</v>
      </c>
      <c r="J150" s="1">
        <f>IF(aoc_03_input[[#This Row],[CharAtPos2_3]]="#",1,0)</f>
        <v>1</v>
      </c>
      <c r="K150" s="1">
        <f t="shared" si="13"/>
        <v>1037</v>
      </c>
      <c r="L150" s="1" t="str">
        <f>MID(aoc_03_input[[#This Row],[Forest]],MOD(aoc_03_input[[#This Row],[Pos2_4]]-1,LEN(aoc_03_input[[#This Row],[Forest]]))+1,1)</f>
        <v>.</v>
      </c>
      <c r="M150" s="1">
        <f>IF(aoc_03_input[[#This Row],[CharAtPos2_4]]="#",1,0)</f>
        <v>0</v>
      </c>
      <c r="N150" s="1">
        <f>MOD(ROW(aoc_03_input[[#This Row],[CountRow2_5]])+1,2)</f>
        <v>1</v>
      </c>
      <c r="O150" s="1">
        <f t="shared" si="14"/>
        <v>75</v>
      </c>
      <c r="P150" s="1" t="str">
        <f>MID(aoc_03_input[[#This Row],[Forest]],MOD(aoc_03_input[[#This Row],[Pos2_5]]-1,LEN(aoc_03_input[[#This Row],[Forest]]))+1,1)</f>
        <v>.</v>
      </c>
      <c r="Q150" s="1">
        <f>IF(AND(aoc_03_input[[#This Row],[CountRow2_5]]=1,aoc_03_input[[#This Row],[CharAtPos2_5]]="#"),1,0)</f>
        <v>0</v>
      </c>
    </row>
    <row r="151" spans="1:17" x14ac:dyDescent="0.45">
      <c r="A151" s="1" t="s">
        <v>1535</v>
      </c>
      <c r="B151" s="1">
        <f t="shared" si="10"/>
        <v>448</v>
      </c>
      <c r="C151" s="1" t="str">
        <f>MID(aoc_03_input[[#This Row],[Forest]],MOD(aoc_03_input[[#This Row],[Pos1]]-1,LEN(aoc_03_input[[#This Row],[Forest]]))+1,1)</f>
        <v>.</v>
      </c>
      <c r="D151" s="1">
        <f>IF(aoc_03_input[[#This Row],[CharAtPos1]]="#",1,0)</f>
        <v>0</v>
      </c>
      <c r="E151" s="1">
        <f t="shared" si="11"/>
        <v>150</v>
      </c>
      <c r="F151" s="1" t="str">
        <f>MID(aoc_03_input[[#This Row],[Forest]],MOD(aoc_03_input[[#This Row],[Pos2_1]]-1,LEN(aoc_03_input[[#This Row],[Forest]]))+1,1)</f>
        <v>#</v>
      </c>
      <c r="G151" s="1">
        <f>IF(aoc_03_input[[#This Row],[CharAtPos2_1]]="#",1,0)</f>
        <v>1</v>
      </c>
      <c r="H151" s="1">
        <f t="shared" si="12"/>
        <v>746</v>
      </c>
      <c r="I151" s="1" t="str">
        <f>MID(aoc_03_input[[#This Row],[Forest]],MOD(aoc_03_input[[#This Row],[Pos2_3]]-1,LEN(aoc_03_input[[#This Row],[Forest]]))+1,1)</f>
        <v>#</v>
      </c>
      <c r="J151" s="1">
        <f>IF(aoc_03_input[[#This Row],[CharAtPos2_3]]="#",1,0)</f>
        <v>1</v>
      </c>
      <c r="K151" s="1">
        <f t="shared" si="13"/>
        <v>1044</v>
      </c>
      <c r="L151" s="1" t="str">
        <f>MID(aoc_03_input[[#This Row],[Forest]],MOD(aoc_03_input[[#This Row],[Pos2_4]]-1,LEN(aoc_03_input[[#This Row],[Forest]]))+1,1)</f>
        <v>#</v>
      </c>
      <c r="M151" s="1">
        <f>IF(aoc_03_input[[#This Row],[CharAtPos2_4]]="#",1,0)</f>
        <v>1</v>
      </c>
      <c r="N151" s="1">
        <f>MOD(ROW(aoc_03_input[[#This Row],[CountRow2_5]])+1,2)</f>
        <v>0</v>
      </c>
      <c r="O151" s="1">
        <f t="shared" si="14"/>
        <v>75</v>
      </c>
      <c r="P151" s="1" t="str">
        <f>MID(aoc_03_input[[#This Row],[Forest]],MOD(aoc_03_input[[#This Row],[Pos2_5]]-1,LEN(aoc_03_input[[#This Row],[Forest]]))+1,1)</f>
        <v>.</v>
      </c>
      <c r="Q151" s="1">
        <f>IF(AND(aoc_03_input[[#This Row],[CountRow2_5]]=1,aoc_03_input[[#This Row],[CharAtPos2_5]]="#"),1,0)</f>
        <v>0</v>
      </c>
    </row>
    <row r="152" spans="1:17" x14ac:dyDescent="0.45">
      <c r="A152" s="1" t="s">
        <v>1536</v>
      </c>
      <c r="B152" s="1">
        <f t="shared" si="10"/>
        <v>451</v>
      </c>
      <c r="C152" s="1" t="str">
        <f>MID(aoc_03_input[[#This Row],[Forest]],MOD(aoc_03_input[[#This Row],[Pos1]]-1,LEN(aoc_03_input[[#This Row],[Forest]]))+1,1)</f>
        <v>#</v>
      </c>
      <c r="D152" s="1">
        <f>IF(aoc_03_input[[#This Row],[CharAtPos1]]="#",1,0)</f>
        <v>1</v>
      </c>
      <c r="E152" s="1">
        <f t="shared" si="11"/>
        <v>151</v>
      </c>
      <c r="F152" s="1" t="str">
        <f>MID(aoc_03_input[[#This Row],[Forest]],MOD(aoc_03_input[[#This Row],[Pos2_1]]-1,LEN(aoc_03_input[[#This Row],[Forest]]))+1,1)</f>
        <v>.</v>
      </c>
      <c r="G152" s="1">
        <f>IF(aoc_03_input[[#This Row],[CharAtPos2_1]]="#",1,0)</f>
        <v>0</v>
      </c>
      <c r="H152" s="1">
        <f t="shared" si="12"/>
        <v>751</v>
      </c>
      <c r="I152" s="1" t="str">
        <f>MID(aoc_03_input[[#This Row],[Forest]],MOD(aoc_03_input[[#This Row],[Pos2_3]]-1,LEN(aoc_03_input[[#This Row],[Forest]]))+1,1)</f>
        <v>.</v>
      </c>
      <c r="J152" s="1">
        <f>IF(aoc_03_input[[#This Row],[CharAtPos2_3]]="#",1,0)</f>
        <v>0</v>
      </c>
      <c r="K152" s="1">
        <f t="shared" si="13"/>
        <v>1051</v>
      </c>
      <c r="L152" s="1" t="str">
        <f>MID(aoc_03_input[[#This Row],[Forest]],MOD(aoc_03_input[[#This Row],[Pos2_4]]-1,LEN(aoc_03_input[[#This Row],[Forest]]))+1,1)</f>
        <v>.</v>
      </c>
      <c r="M152" s="1">
        <f>IF(aoc_03_input[[#This Row],[CharAtPos2_4]]="#",1,0)</f>
        <v>0</v>
      </c>
      <c r="N152" s="1">
        <f>MOD(ROW(aoc_03_input[[#This Row],[CountRow2_5]])+1,2)</f>
        <v>1</v>
      </c>
      <c r="O152" s="1">
        <f t="shared" si="14"/>
        <v>76</v>
      </c>
      <c r="P152" s="1" t="str">
        <f>MID(aoc_03_input[[#This Row],[Forest]],MOD(aoc_03_input[[#This Row],[Pos2_5]]-1,LEN(aoc_03_input[[#This Row],[Forest]]))+1,1)</f>
        <v>.</v>
      </c>
      <c r="Q152" s="1">
        <f>IF(AND(aoc_03_input[[#This Row],[CountRow2_5]]=1,aoc_03_input[[#This Row],[CharAtPos2_5]]="#"),1,0)</f>
        <v>0</v>
      </c>
    </row>
    <row r="153" spans="1:17" x14ac:dyDescent="0.45">
      <c r="A153" s="1" t="s">
        <v>1537</v>
      </c>
      <c r="B153" s="1">
        <f t="shared" si="10"/>
        <v>454</v>
      </c>
      <c r="C153" s="1" t="str">
        <f>MID(aoc_03_input[[#This Row],[Forest]],MOD(aoc_03_input[[#This Row],[Pos1]]-1,LEN(aoc_03_input[[#This Row],[Forest]]))+1,1)</f>
        <v>.</v>
      </c>
      <c r="D153" s="1">
        <f>IF(aoc_03_input[[#This Row],[CharAtPos1]]="#",1,0)</f>
        <v>0</v>
      </c>
      <c r="E153" s="1">
        <f t="shared" si="11"/>
        <v>152</v>
      </c>
      <c r="F153" s="1" t="str">
        <f>MID(aoc_03_input[[#This Row],[Forest]],MOD(aoc_03_input[[#This Row],[Pos2_1]]-1,LEN(aoc_03_input[[#This Row],[Forest]]))+1,1)</f>
        <v>.</v>
      </c>
      <c r="G153" s="1">
        <f>IF(aoc_03_input[[#This Row],[CharAtPos2_1]]="#",1,0)</f>
        <v>0</v>
      </c>
      <c r="H153" s="1">
        <f t="shared" si="12"/>
        <v>756</v>
      </c>
      <c r="I153" s="1" t="str">
        <f>MID(aoc_03_input[[#This Row],[Forest]],MOD(aoc_03_input[[#This Row],[Pos2_3]]-1,LEN(aoc_03_input[[#This Row],[Forest]]))+1,1)</f>
        <v>.</v>
      </c>
      <c r="J153" s="1">
        <f>IF(aoc_03_input[[#This Row],[CharAtPos2_3]]="#",1,0)</f>
        <v>0</v>
      </c>
      <c r="K153" s="1">
        <f t="shared" si="13"/>
        <v>1058</v>
      </c>
      <c r="L153" s="1" t="str">
        <f>MID(aoc_03_input[[#This Row],[Forest]],MOD(aoc_03_input[[#This Row],[Pos2_4]]-1,LEN(aoc_03_input[[#This Row],[Forest]]))+1,1)</f>
        <v>#</v>
      </c>
      <c r="M153" s="1">
        <f>IF(aoc_03_input[[#This Row],[CharAtPos2_4]]="#",1,0)</f>
        <v>1</v>
      </c>
      <c r="N153" s="1">
        <f>MOD(ROW(aoc_03_input[[#This Row],[CountRow2_5]])+1,2)</f>
        <v>0</v>
      </c>
      <c r="O153" s="1">
        <f t="shared" si="14"/>
        <v>76</v>
      </c>
      <c r="P153" s="1" t="str">
        <f>MID(aoc_03_input[[#This Row],[Forest]],MOD(aoc_03_input[[#This Row],[Pos2_5]]-1,LEN(aoc_03_input[[#This Row],[Forest]]))+1,1)</f>
        <v>.</v>
      </c>
      <c r="Q153" s="1">
        <f>IF(AND(aoc_03_input[[#This Row],[CountRow2_5]]=1,aoc_03_input[[#This Row],[CharAtPos2_5]]="#"),1,0)</f>
        <v>0</v>
      </c>
    </row>
    <row r="154" spans="1:17" x14ac:dyDescent="0.45">
      <c r="A154" s="1" t="s">
        <v>1538</v>
      </c>
      <c r="B154" s="1">
        <f t="shared" si="10"/>
        <v>457</v>
      </c>
      <c r="C154" s="1" t="str">
        <f>MID(aoc_03_input[[#This Row],[Forest]],MOD(aoc_03_input[[#This Row],[Pos1]]-1,LEN(aoc_03_input[[#This Row],[Forest]]))+1,1)</f>
        <v>#</v>
      </c>
      <c r="D154" s="1">
        <f>IF(aoc_03_input[[#This Row],[CharAtPos1]]="#",1,0)</f>
        <v>1</v>
      </c>
      <c r="E154" s="1">
        <f t="shared" si="11"/>
        <v>153</v>
      </c>
      <c r="F154" s="1" t="str">
        <f>MID(aoc_03_input[[#This Row],[Forest]],MOD(aoc_03_input[[#This Row],[Pos2_1]]-1,LEN(aoc_03_input[[#This Row],[Forest]]))+1,1)</f>
        <v>.</v>
      </c>
      <c r="G154" s="1">
        <f>IF(aoc_03_input[[#This Row],[CharAtPos2_1]]="#",1,0)</f>
        <v>0</v>
      </c>
      <c r="H154" s="1">
        <f t="shared" si="12"/>
        <v>761</v>
      </c>
      <c r="I154" s="1" t="str">
        <f>MID(aoc_03_input[[#This Row],[Forest]],MOD(aoc_03_input[[#This Row],[Pos2_3]]-1,LEN(aoc_03_input[[#This Row],[Forest]]))+1,1)</f>
        <v>#</v>
      </c>
      <c r="J154" s="1">
        <f>IF(aoc_03_input[[#This Row],[CharAtPos2_3]]="#",1,0)</f>
        <v>1</v>
      </c>
      <c r="K154" s="1">
        <f t="shared" si="13"/>
        <v>1065</v>
      </c>
      <c r="L154" s="1" t="str">
        <f>MID(aoc_03_input[[#This Row],[Forest]],MOD(aoc_03_input[[#This Row],[Pos2_4]]-1,LEN(aoc_03_input[[#This Row],[Forest]]))+1,1)</f>
        <v>#</v>
      </c>
      <c r="M154" s="1">
        <f>IF(aoc_03_input[[#This Row],[CharAtPos2_4]]="#",1,0)</f>
        <v>1</v>
      </c>
      <c r="N154" s="1">
        <f>MOD(ROW(aoc_03_input[[#This Row],[CountRow2_5]])+1,2)</f>
        <v>1</v>
      </c>
      <c r="O154" s="1">
        <f t="shared" si="14"/>
        <v>77</v>
      </c>
      <c r="P154" s="1" t="str">
        <f>MID(aoc_03_input[[#This Row],[Forest]],MOD(aoc_03_input[[#This Row],[Pos2_5]]-1,LEN(aoc_03_input[[#This Row],[Forest]]))+1,1)</f>
        <v>#</v>
      </c>
      <c r="Q154" s="1">
        <f>IF(AND(aoc_03_input[[#This Row],[CountRow2_5]]=1,aoc_03_input[[#This Row],[CharAtPos2_5]]="#"),1,0)</f>
        <v>1</v>
      </c>
    </row>
    <row r="155" spans="1:17" x14ac:dyDescent="0.45">
      <c r="A155" s="1" t="s">
        <v>1539</v>
      </c>
      <c r="B155" s="1">
        <f t="shared" si="10"/>
        <v>460</v>
      </c>
      <c r="C155" s="1" t="str">
        <f>MID(aoc_03_input[[#This Row],[Forest]],MOD(aoc_03_input[[#This Row],[Pos1]]-1,LEN(aoc_03_input[[#This Row],[Forest]]))+1,1)</f>
        <v>.</v>
      </c>
      <c r="D155" s="1">
        <f>IF(aoc_03_input[[#This Row],[CharAtPos1]]="#",1,0)</f>
        <v>0</v>
      </c>
      <c r="E155" s="1">
        <f t="shared" si="11"/>
        <v>154</v>
      </c>
      <c r="F155" s="1" t="str">
        <f>MID(aoc_03_input[[#This Row],[Forest]],MOD(aoc_03_input[[#This Row],[Pos2_1]]-1,LEN(aoc_03_input[[#This Row],[Forest]]))+1,1)</f>
        <v>.</v>
      </c>
      <c r="G155" s="1">
        <f>IF(aoc_03_input[[#This Row],[CharAtPos2_1]]="#",1,0)</f>
        <v>0</v>
      </c>
      <c r="H155" s="1">
        <f t="shared" si="12"/>
        <v>766</v>
      </c>
      <c r="I155" s="1" t="str">
        <f>MID(aoc_03_input[[#This Row],[Forest]],MOD(aoc_03_input[[#This Row],[Pos2_3]]-1,LEN(aoc_03_input[[#This Row],[Forest]]))+1,1)</f>
        <v>.</v>
      </c>
      <c r="J155" s="1">
        <f>IF(aoc_03_input[[#This Row],[CharAtPos2_3]]="#",1,0)</f>
        <v>0</v>
      </c>
      <c r="K155" s="1">
        <f t="shared" si="13"/>
        <v>1072</v>
      </c>
      <c r="L155" s="1" t="str">
        <f>MID(aoc_03_input[[#This Row],[Forest]],MOD(aoc_03_input[[#This Row],[Pos2_4]]-1,LEN(aoc_03_input[[#This Row],[Forest]]))+1,1)</f>
        <v>.</v>
      </c>
      <c r="M155" s="1">
        <f>IF(aoc_03_input[[#This Row],[CharAtPos2_4]]="#",1,0)</f>
        <v>0</v>
      </c>
      <c r="N155" s="1">
        <f>MOD(ROW(aoc_03_input[[#This Row],[CountRow2_5]])+1,2)</f>
        <v>0</v>
      </c>
      <c r="O155" s="1">
        <f t="shared" si="14"/>
        <v>77</v>
      </c>
      <c r="P155" s="1" t="str">
        <f>MID(aoc_03_input[[#This Row],[Forest]],MOD(aoc_03_input[[#This Row],[Pos2_5]]-1,LEN(aoc_03_input[[#This Row],[Forest]]))+1,1)</f>
        <v>.</v>
      </c>
      <c r="Q155" s="1">
        <f>IF(AND(aoc_03_input[[#This Row],[CountRow2_5]]=1,aoc_03_input[[#This Row],[CharAtPos2_5]]="#"),1,0)</f>
        <v>0</v>
      </c>
    </row>
    <row r="156" spans="1:17" x14ac:dyDescent="0.45">
      <c r="A156" s="1" t="s">
        <v>1540</v>
      </c>
      <c r="B156" s="1">
        <f t="shared" si="10"/>
        <v>463</v>
      </c>
      <c r="C156" s="1" t="str">
        <f>MID(aoc_03_input[[#This Row],[Forest]],MOD(aoc_03_input[[#This Row],[Pos1]]-1,LEN(aoc_03_input[[#This Row],[Forest]]))+1,1)</f>
        <v>.</v>
      </c>
      <c r="D156" s="1">
        <f>IF(aoc_03_input[[#This Row],[CharAtPos1]]="#",1,0)</f>
        <v>0</v>
      </c>
      <c r="E156" s="1">
        <f t="shared" si="11"/>
        <v>155</v>
      </c>
      <c r="F156" s="1" t="str">
        <f>MID(aoc_03_input[[#This Row],[Forest]],MOD(aoc_03_input[[#This Row],[Pos2_1]]-1,LEN(aoc_03_input[[#This Row],[Forest]]))+1,1)</f>
        <v>.</v>
      </c>
      <c r="G156" s="1">
        <f>IF(aoc_03_input[[#This Row],[CharAtPos2_1]]="#",1,0)</f>
        <v>0</v>
      </c>
      <c r="H156" s="1">
        <f t="shared" si="12"/>
        <v>771</v>
      </c>
      <c r="I156" s="1" t="str">
        <f>MID(aoc_03_input[[#This Row],[Forest]],MOD(aoc_03_input[[#This Row],[Pos2_3]]-1,LEN(aoc_03_input[[#This Row],[Forest]]))+1,1)</f>
        <v>.</v>
      </c>
      <c r="J156" s="1">
        <f>IF(aoc_03_input[[#This Row],[CharAtPos2_3]]="#",1,0)</f>
        <v>0</v>
      </c>
      <c r="K156" s="1">
        <f t="shared" si="13"/>
        <v>1079</v>
      </c>
      <c r="L156" s="1" t="str">
        <f>MID(aoc_03_input[[#This Row],[Forest]],MOD(aoc_03_input[[#This Row],[Pos2_4]]-1,LEN(aoc_03_input[[#This Row],[Forest]]))+1,1)</f>
        <v>.</v>
      </c>
      <c r="M156" s="1">
        <f>IF(aoc_03_input[[#This Row],[CharAtPos2_4]]="#",1,0)</f>
        <v>0</v>
      </c>
      <c r="N156" s="1">
        <f>MOD(ROW(aoc_03_input[[#This Row],[CountRow2_5]])+1,2)</f>
        <v>1</v>
      </c>
      <c r="O156" s="1">
        <f t="shared" si="14"/>
        <v>78</v>
      </c>
      <c r="P156" s="1" t="str">
        <f>MID(aoc_03_input[[#This Row],[Forest]],MOD(aoc_03_input[[#This Row],[Pos2_5]]-1,LEN(aoc_03_input[[#This Row],[Forest]]))+1,1)</f>
        <v>.</v>
      </c>
      <c r="Q156" s="1">
        <f>IF(AND(aoc_03_input[[#This Row],[CountRow2_5]]=1,aoc_03_input[[#This Row],[CharAtPos2_5]]="#"),1,0)</f>
        <v>0</v>
      </c>
    </row>
    <row r="157" spans="1:17" x14ac:dyDescent="0.45">
      <c r="A157" s="1" t="s">
        <v>1541</v>
      </c>
      <c r="B157" s="1">
        <f t="shared" si="10"/>
        <v>466</v>
      </c>
      <c r="C157" s="1" t="str">
        <f>MID(aoc_03_input[[#This Row],[Forest]],MOD(aoc_03_input[[#This Row],[Pos1]]-1,LEN(aoc_03_input[[#This Row],[Forest]]))+1,1)</f>
        <v>#</v>
      </c>
      <c r="D157" s="1">
        <f>IF(aoc_03_input[[#This Row],[CharAtPos1]]="#",1,0)</f>
        <v>1</v>
      </c>
      <c r="E157" s="1">
        <f t="shared" si="11"/>
        <v>156</v>
      </c>
      <c r="F157" s="1" t="str">
        <f>MID(aoc_03_input[[#This Row],[Forest]],MOD(aoc_03_input[[#This Row],[Pos2_1]]-1,LEN(aoc_03_input[[#This Row],[Forest]]))+1,1)</f>
        <v>#</v>
      </c>
      <c r="G157" s="1">
        <f>IF(aoc_03_input[[#This Row],[CharAtPos2_1]]="#",1,0)</f>
        <v>1</v>
      </c>
      <c r="H157" s="1">
        <f t="shared" si="12"/>
        <v>776</v>
      </c>
      <c r="I157" s="1" t="str">
        <f>MID(aoc_03_input[[#This Row],[Forest]],MOD(aoc_03_input[[#This Row],[Pos2_3]]-1,LEN(aoc_03_input[[#This Row],[Forest]]))+1,1)</f>
        <v>#</v>
      </c>
      <c r="J157" s="1">
        <f>IF(aoc_03_input[[#This Row],[CharAtPos2_3]]="#",1,0)</f>
        <v>1</v>
      </c>
      <c r="K157" s="1">
        <f t="shared" si="13"/>
        <v>1086</v>
      </c>
      <c r="L157" s="1" t="str">
        <f>MID(aoc_03_input[[#This Row],[Forest]],MOD(aoc_03_input[[#This Row],[Pos2_4]]-1,LEN(aoc_03_input[[#This Row],[Forest]]))+1,1)</f>
        <v>#</v>
      </c>
      <c r="M157" s="1">
        <f>IF(aoc_03_input[[#This Row],[CharAtPos2_4]]="#",1,0)</f>
        <v>1</v>
      </c>
      <c r="N157" s="1">
        <f>MOD(ROW(aoc_03_input[[#This Row],[CountRow2_5]])+1,2)</f>
        <v>0</v>
      </c>
      <c r="O157" s="1">
        <f t="shared" si="14"/>
        <v>78</v>
      </c>
      <c r="P157" s="1" t="str">
        <f>MID(aoc_03_input[[#This Row],[Forest]],MOD(aoc_03_input[[#This Row],[Pos2_5]]-1,LEN(aoc_03_input[[#This Row],[Forest]]))+1,1)</f>
        <v>.</v>
      </c>
      <c r="Q157" s="1">
        <f>IF(AND(aoc_03_input[[#This Row],[CountRow2_5]]=1,aoc_03_input[[#This Row],[CharAtPos2_5]]="#"),1,0)</f>
        <v>0</v>
      </c>
    </row>
    <row r="158" spans="1:17" x14ac:dyDescent="0.45">
      <c r="A158" s="1" t="s">
        <v>1542</v>
      </c>
      <c r="B158" s="1">
        <f t="shared" si="10"/>
        <v>469</v>
      </c>
      <c r="C158" s="1" t="str">
        <f>MID(aoc_03_input[[#This Row],[Forest]],MOD(aoc_03_input[[#This Row],[Pos1]]-1,LEN(aoc_03_input[[#This Row],[Forest]]))+1,1)</f>
        <v>.</v>
      </c>
      <c r="D158" s="1">
        <f>IF(aoc_03_input[[#This Row],[CharAtPos1]]="#",1,0)</f>
        <v>0</v>
      </c>
      <c r="E158" s="1">
        <f t="shared" si="11"/>
        <v>157</v>
      </c>
      <c r="F158" s="1" t="str">
        <f>MID(aoc_03_input[[#This Row],[Forest]],MOD(aoc_03_input[[#This Row],[Pos2_1]]-1,LEN(aoc_03_input[[#This Row],[Forest]]))+1,1)</f>
        <v>.</v>
      </c>
      <c r="G158" s="1">
        <f>IF(aoc_03_input[[#This Row],[CharAtPos2_1]]="#",1,0)</f>
        <v>0</v>
      </c>
      <c r="H158" s="1">
        <f t="shared" si="12"/>
        <v>781</v>
      </c>
      <c r="I158" s="1" t="str">
        <f>MID(aoc_03_input[[#This Row],[Forest]],MOD(aoc_03_input[[#This Row],[Pos2_3]]-1,LEN(aoc_03_input[[#This Row],[Forest]]))+1,1)</f>
        <v>.</v>
      </c>
      <c r="J158" s="1">
        <f>IF(aoc_03_input[[#This Row],[CharAtPos2_3]]="#",1,0)</f>
        <v>0</v>
      </c>
      <c r="K158" s="1">
        <f t="shared" si="13"/>
        <v>1093</v>
      </c>
      <c r="L158" s="1" t="str">
        <f>MID(aoc_03_input[[#This Row],[Forest]],MOD(aoc_03_input[[#This Row],[Pos2_4]]-1,LEN(aoc_03_input[[#This Row],[Forest]]))+1,1)</f>
        <v>#</v>
      </c>
      <c r="M158" s="1">
        <f>IF(aoc_03_input[[#This Row],[CharAtPos2_4]]="#",1,0)</f>
        <v>1</v>
      </c>
      <c r="N158" s="1">
        <f>MOD(ROW(aoc_03_input[[#This Row],[CountRow2_5]])+1,2)</f>
        <v>1</v>
      </c>
      <c r="O158" s="1">
        <f t="shared" si="14"/>
        <v>79</v>
      </c>
      <c r="P158" s="1" t="str">
        <f>MID(aoc_03_input[[#This Row],[Forest]],MOD(aoc_03_input[[#This Row],[Pos2_5]]-1,LEN(aoc_03_input[[#This Row],[Forest]]))+1,1)</f>
        <v>.</v>
      </c>
      <c r="Q158" s="1">
        <f>IF(AND(aoc_03_input[[#This Row],[CountRow2_5]]=1,aoc_03_input[[#This Row],[CharAtPos2_5]]="#"),1,0)</f>
        <v>0</v>
      </c>
    </row>
    <row r="159" spans="1:17" x14ac:dyDescent="0.45">
      <c r="A159" s="1" t="s">
        <v>1543</v>
      </c>
      <c r="B159" s="1">
        <f t="shared" si="10"/>
        <v>472</v>
      </c>
      <c r="C159" s="1" t="str">
        <f>MID(aoc_03_input[[#This Row],[Forest]],MOD(aoc_03_input[[#This Row],[Pos1]]-1,LEN(aoc_03_input[[#This Row],[Forest]]))+1,1)</f>
        <v>.</v>
      </c>
      <c r="D159" s="1">
        <f>IF(aoc_03_input[[#This Row],[CharAtPos1]]="#",1,0)</f>
        <v>0</v>
      </c>
      <c r="E159" s="1">
        <f t="shared" si="11"/>
        <v>158</v>
      </c>
      <c r="F159" s="1" t="str">
        <f>MID(aoc_03_input[[#This Row],[Forest]],MOD(aoc_03_input[[#This Row],[Pos2_1]]-1,LEN(aoc_03_input[[#This Row],[Forest]]))+1,1)</f>
        <v>#</v>
      </c>
      <c r="G159" s="1">
        <f>IF(aoc_03_input[[#This Row],[CharAtPos2_1]]="#",1,0)</f>
        <v>1</v>
      </c>
      <c r="H159" s="1">
        <f t="shared" si="12"/>
        <v>786</v>
      </c>
      <c r="I159" s="1" t="str">
        <f>MID(aoc_03_input[[#This Row],[Forest]],MOD(aoc_03_input[[#This Row],[Pos2_3]]-1,LEN(aoc_03_input[[#This Row],[Forest]]))+1,1)</f>
        <v>.</v>
      </c>
      <c r="J159" s="1">
        <f>IF(aoc_03_input[[#This Row],[CharAtPos2_3]]="#",1,0)</f>
        <v>0</v>
      </c>
      <c r="K159" s="1">
        <f t="shared" si="13"/>
        <v>1100</v>
      </c>
      <c r="L159" s="1" t="str">
        <f>MID(aoc_03_input[[#This Row],[Forest]],MOD(aoc_03_input[[#This Row],[Pos2_4]]-1,LEN(aoc_03_input[[#This Row],[Forest]]))+1,1)</f>
        <v>.</v>
      </c>
      <c r="M159" s="1">
        <f>IF(aoc_03_input[[#This Row],[CharAtPos2_4]]="#",1,0)</f>
        <v>0</v>
      </c>
      <c r="N159" s="1">
        <f>MOD(ROW(aoc_03_input[[#This Row],[CountRow2_5]])+1,2)</f>
        <v>0</v>
      </c>
      <c r="O159" s="1">
        <f t="shared" si="14"/>
        <v>79</v>
      </c>
      <c r="P159" s="1" t="str">
        <f>MID(aoc_03_input[[#This Row],[Forest]],MOD(aoc_03_input[[#This Row],[Pos2_5]]-1,LEN(aoc_03_input[[#This Row],[Forest]]))+1,1)</f>
        <v>.</v>
      </c>
      <c r="Q159" s="1">
        <f>IF(AND(aoc_03_input[[#This Row],[CountRow2_5]]=1,aoc_03_input[[#This Row],[CharAtPos2_5]]="#"),1,0)</f>
        <v>0</v>
      </c>
    </row>
    <row r="160" spans="1:17" x14ac:dyDescent="0.45">
      <c r="A160" s="1" t="s">
        <v>1544</v>
      </c>
      <c r="B160" s="1">
        <f t="shared" si="10"/>
        <v>475</v>
      </c>
      <c r="C160" s="1" t="str">
        <f>MID(aoc_03_input[[#This Row],[Forest]],MOD(aoc_03_input[[#This Row],[Pos1]]-1,LEN(aoc_03_input[[#This Row],[Forest]]))+1,1)</f>
        <v>#</v>
      </c>
      <c r="D160" s="1">
        <f>IF(aoc_03_input[[#This Row],[CharAtPos1]]="#",1,0)</f>
        <v>1</v>
      </c>
      <c r="E160" s="1">
        <f t="shared" si="11"/>
        <v>159</v>
      </c>
      <c r="F160" s="1" t="str">
        <f>MID(aoc_03_input[[#This Row],[Forest]],MOD(aoc_03_input[[#This Row],[Pos2_1]]-1,LEN(aoc_03_input[[#This Row],[Forest]]))+1,1)</f>
        <v>.</v>
      </c>
      <c r="G160" s="1">
        <f>IF(aoc_03_input[[#This Row],[CharAtPos2_1]]="#",1,0)</f>
        <v>0</v>
      </c>
      <c r="H160" s="1">
        <f t="shared" si="12"/>
        <v>791</v>
      </c>
      <c r="I160" s="1" t="str">
        <f>MID(aoc_03_input[[#This Row],[Forest]],MOD(aoc_03_input[[#This Row],[Pos2_3]]-1,LEN(aoc_03_input[[#This Row],[Forest]]))+1,1)</f>
        <v>.</v>
      </c>
      <c r="J160" s="1">
        <f>IF(aoc_03_input[[#This Row],[CharAtPos2_3]]="#",1,0)</f>
        <v>0</v>
      </c>
      <c r="K160" s="1">
        <f t="shared" si="13"/>
        <v>1107</v>
      </c>
      <c r="L160" s="1" t="str">
        <f>MID(aoc_03_input[[#This Row],[Forest]],MOD(aoc_03_input[[#This Row],[Pos2_4]]-1,LEN(aoc_03_input[[#This Row],[Forest]]))+1,1)</f>
        <v>.</v>
      </c>
      <c r="M160" s="1">
        <f>IF(aoc_03_input[[#This Row],[CharAtPos2_4]]="#",1,0)</f>
        <v>0</v>
      </c>
      <c r="N160" s="1">
        <f>MOD(ROW(aoc_03_input[[#This Row],[CountRow2_5]])+1,2)</f>
        <v>1</v>
      </c>
      <c r="O160" s="1">
        <f t="shared" si="14"/>
        <v>80</v>
      </c>
      <c r="P160" s="1" t="str">
        <f>MID(aoc_03_input[[#This Row],[Forest]],MOD(aoc_03_input[[#This Row],[Pos2_5]]-1,LEN(aoc_03_input[[#This Row],[Forest]]))+1,1)</f>
        <v>.</v>
      </c>
      <c r="Q160" s="1">
        <f>IF(AND(aoc_03_input[[#This Row],[CountRow2_5]]=1,aoc_03_input[[#This Row],[CharAtPos2_5]]="#"),1,0)</f>
        <v>0</v>
      </c>
    </row>
    <row r="161" spans="1:17" x14ac:dyDescent="0.45">
      <c r="A161" s="1" t="s">
        <v>1545</v>
      </c>
      <c r="B161" s="1">
        <f t="shared" si="10"/>
        <v>478</v>
      </c>
      <c r="C161" s="1" t="str">
        <f>MID(aoc_03_input[[#This Row],[Forest]],MOD(aoc_03_input[[#This Row],[Pos1]]-1,LEN(aoc_03_input[[#This Row],[Forest]]))+1,1)</f>
        <v>.</v>
      </c>
      <c r="D161" s="1">
        <f>IF(aoc_03_input[[#This Row],[CharAtPos1]]="#",1,0)</f>
        <v>0</v>
      </c>
      <c r="E161" s="1">
        <f t="shared" si="11"/>
        <v>160</v>
      </c>
      <c r="F161" s="1" t="str">
        <f>MID(aoc_03_input[[#This Row],[Forest]],MOD(aoc_03_input[[#This Row],[Pos2_1]]-1,LEN(aoc_03_input[[#This Row],[Forest]]))+1,1)</f>
        <v>.</v>
      </c>
      <c r="G161" s="1">
        <f>IF(aoc_03_input[[#This Row],[CharAtPos2_1]]="#",1,0)</f>
        <v>0</v>
      </c>
      <c r="H161" s="1">
        <f t="shared" si="12"/>
        <v>796</v>
      </c>
      <c r="I161" s="1" t="str">
        <f>MID(aoc_03_input[[#This Row],[Forest]],MOD(aoc_03_input[[#This Row],[Pos2_3]]-1,LEN(aoc_03_input[[#This Row],[Forest]]))+1,1)</f>
        <v>.</v>
      </c>
      <c r="J161" s="1">
        <f>IF(aoc_03_input[[#This Row],[CharAtPos2_3]]="#",1,0)</f>
        <v>0</v>
      </c>
      <c r="K161" s="1">
        <f t="shared" si="13"/>
        <v>1114</v>
      </c>
      <c r="L161" s="1" t="str">
        <f>MID(aoc_03_input[[#This Row],[Forest]],MOD(aoc_03_input[[#This Row],[Pos2_4]]-1,LEN(aoc_03_input[[#This Row],[Forest]]))+1,1)</f>
        <v>.</v>
      </c>
      <c r="M161" s="1">
        <f>IF(aoc_03_input[[#This Row],[CharAtPos2_4]]="#",1,0)</f>
        <v>0</v>
      </c>
      <c r="N161" s="1">
        <f>MOD(ROW(aoc_03_input[[#This Row],[CountRow2_5]])+1,2)</f>
        <v>0</v>
      </c>
      <c r="O161" s="1">
        <f t="shared" si="14"/>
        <v>80</v>
      </c>
      <c r="P161" s="1" t="str">
        <f>MID(aoc_03_input[[#This Row],[Forest]],MOD(aoc_03_input[[#This Row],[Pos2_5]]-1,LEN(aoc_03_input[[#This Row],[Forest]]))+1,1)</f>
        <v>.</v>
      </c>
      <c r="Q161" s="1">
        <f>IF(AND(aoc_03_input[[#This Row],[CountRow2_5]]=1,aoc_03_input[[#This Row],[CharAtPos2_5]]="#"),1,0)</f>
        <v>0</v>
      </c>
    </row>
    <row r="162" spans="1:17" x14ac:dyDescent="0.45">
      <c r="A162" s="1" t="s">
        <v>1546</v>
      </c>
      <c r="B162" s="1">
        <f t="shared" si="10"/>
        <v>481</v>
      </c>
      <c r="C162" s="1" t="str">
        <f>MID(aoc_03_input[[#This Row],[Forest]],MOD(aoc_03_input[[#This Row],[Pos1]]-1,LEN(aoc_03_input[[#This Row],[Forest]]))+1,1)</f>
        <v>#</v>
      </c>
      <c r="D162" s="1">
        <f>IF(aoc_03_input[[#This Row],[CharAtPos1]]="#",1,0)</f>
        <v>1</v>
      </c>
      <c r="E162" s="1">
        <f t="shared" si="11"/>
        <v>161</v>
      </c>
      <c r="F162" s="1" t="str">
        <f>MID(aoc_03_input[[#This Row],[Forest]],MOD(aoc_03_input[[#This Row],[Pos2_1]]-1,LEN(aoc_03_input[[#This Row],[Forest]]))+1,1)</f>
        <v>.</v>
      </c>
      <c r="G162" s="1">
        <f>IF(aoc_03_input[[#This Row],[CharAtPos2_1]]="#",1,0)</f>
        <v>0</v>
      </c>
      <c r="H162" s="1">
        <f t="shared" si="12"/>
        <v>801</v>
      </c>
      <c r="I162" s="1" t="str">
        <f>MID(aoc_03_input[[#This Row],[Forest]],MOD(aoc_03_input[[#This Row],[Pos2_3]]-1,LEN(aoc_03_input[[#This Row],[Forest]]))+1,1)</f>
        <v>.</v>
      </c>
      <c r="J162" s="1">
        <f>IF(aoc_03_input[[#This Row],[CharAtPos2_3]]="#",1,0)</f>
        <v>0</v>
      </c>
      <c r="K162" s="1">
        <f t="shared" si="13"/>
        <v>1121</v>
      </c>
      <c r="L162" s="1" t="str">
        <f>MID(aoc_03_input[[#This Row],[Forest]],MOD(aoc_03_input[[#This Row],[Pos2_4]]-1,LEN(aoc_03_input[[#This Row],[Forest]]))+1,1)</f>
        <v>.</v>
      </c>
      <c r="M162" s="1">
        <f>IF(aoc_03_input[[#This Row],[CharAtPos2_4]]="#",1,0)</f>
        <v>0</v>
      </c>
      <c r="N162" s="1">
        <f>MOD(ROW(aoc_03_input[[#This Row],[CountRow2_5]])+1,2)</f>
        <v>1</v>
      </c>
      <c r="O162" s="1">
        <f t="shared" si="14"/>
        <v>81</v>
      </c>
      <c r="P162" s="1" t="str">
        <f>MID(aoc_03_input[[#This Row],[Forest]],MOD(aoc_03_input[[#This Row],[Pos2_5]]-1,LEN(aoc_03_input[[#This Row],[Forest]]))+1,1)</f>
        <v>.</v>
      </c>
      <c r="Q162" s="1">
        <f>IF(AND(aoc_03_input[[#This Row],[CountRow2_5]]=1,aoc_03_input[[#This Row],[CharAtPos2_5]]="#"),1,0)</f>
        <v>0</v>
      </c>
    </row>
    <row r="163" spans="1:17" x14ac:dyDescent="0.45">
      <c r="A163" s="1" t="s">
        <v>1547</v>
      </c>
      <c r="B163" s="1">
        <f t="shared" si="10"/>
        <v>484</v>
      </c>
      <c r="C163" s="1" t="str">
        <f>MID(aoc_03_input[[#This Row],[Forest]],MOD(aoc_03_input[[#This Row],[Pos1]]-1,LEN(aoc_03_input[[#This Row],[Forest]]))+1,1)</f>
        <v>.</v>
      </c>
      <c r="D163" s="1">
        <f>IF(aoc_03_input[[#This Row],[CharAtPos1]]="#",1,0)</f>
        <v>0</v>
      </c>
      <c r="E163" s="1">
        <f t="shared" si="11"/>
        <v>162</v>
      </c>
      <c r="F163" s="1" t="str">
        <f>MID(aoc_03_input[[#This Row],[Forest]],MOD(aoc_03_input[[#This Row],[Pos2_1]]-1,LEN(aoc_03_input[[#This Row],[Forest]]))+1,1)</f>
        <v>.</v>
      </c>
      <c r="G163" s="1">
        <f>IF(aoc_03_input[[#This Row],[CharAtPos2_1]]="#",1,0)</f>
        <v>0</v>
      </c>
      <c r="H163" s="1">
        <f t="shared" si="12"/>
        <v>806</v>
      </c>
      <c r="I163" s="1" t="str">
        <f>MID(aoc_03_input[[#This Row],[Forest]],MOD(aoc_03_input[[#This Row],[Pos2_3]]-1,LEN(aoc_03_input[[#This Row],[Forest]]))+1,1)</f>
        <v>.</v>
      </c>
      <c r="J163" s="1">
        <f>IF(aoc_03_input[[#This Row],[CharAtPos2_3]]="#",1,0)</f>
        <v>0</v>
      </c>
      <c r="K163" s="1">
        <f t="shared" si="13"/>
        <v>1128</v>
      </c>
      <c r="L163" s="1" t="str">
        <f>MID(aoc_03_input[[#This Row],[Forest]],MOD(aoc_03_input[[#This Row],[Pos2_4]]-1,LEN(aoc_03_input[[#This Row],[Forest]]))+1,1)</f>
        <v>#</v>
      </c>
      <c r="M163" s="1">
        <f>IF(aoc_03_input[[#This Row],[CharAtPos2_4]]="#",1,0)</f>
        <v>1</v>
      </c>
      <c r="N163" s="1">
        <f>MOD(ROW(aoc_03_input[[#This Row],[CountRow2_5]])+1,2)</f>
        <v>0</v>
      </c>
      <c r="O163" s="1">
        <f t="shared" si="14"/>
        <v>81</v>
      </c>
      <c r="P163" s="1" t="str">
        <f>MID(aoc_03_input[[#This Row],[Forest]],MOD(aoc_03_input[[#This Row],[Pos2_5]]-1,LEN(aoc_03_input[[#This Row],[Forest]]))+1,1)</f>
        <v>.</v>
      </c>
      <c r="Q163" s="1">
        <f>IF(AND(aoc_03_input[[#This Row],[CountRow2_5]]=1,aoc_03_input[[#This Row],[CharAtPos2_5]]="#"),1,0)</f>
        <v>0</v>
      </c>
    </row>
    <row r="164" spans="1:17" x14ac:dyDescent="0.45">
      <c r="A164" s="1" t="s">
        <v>1548</v>
      </c>
      <c r="B164" s="1">
        <f t="shared" si="10"/>
        <v>487</v>
      </c>
      <c r="C164" s="1" t="str">
        <f>MID(aoc_03_input[[#This Row],[Forest]],MOD(aoc_03_input[[#This Row],[Pos1]]-1,LEN(aoc_03_input[[#This Row],[Forest]]))+1,1)</f>
        <v>.</v>
      </c>
      <c r="D164" s="1">
        <f>IF(aoc_03_input[[#This Row],[CharAtPos1]]="#",1,0)</f>
        <v>0</v>
      </c>
      <c r="E164" s="1">
        <f t="shared" si="11"/>
        <v>163</v>
      </c>
      <c r="F164" s="1" t="str">
        <f>MID(aoc_03_input[[#This Row],[Forest]],MOD(aoc_03_input[[#This Row],[Pos2_1]]-1,LEN(aoc_03_input[[#This Row],[Forest]]))+1,1)</f>
        <v>#</v>
      </c>
      <c r="G164" s="1">
        <f>IF(aoc_03_input[[#This Row],[CharAtPos2_1]]="#",1,0)</f>
        <v>1</v>
      </c>
      <c r="H164" s="1">
        <f t="shared" si="12"/>
        <v>811</v>
      </c>
      <c r="I164" s="1" t="str">
        <f>MID(aoc_03_input[[#This Row],[Forest]],MOD(aoc_03_input[[#This Row],[Pos2_3]]-1,LEN(aoc_03_input[[#This Row],[Forest]]))+1,1)</f>
        <v>.</v>
      </c>
      <c r="J164" s="1">
        <f>IF(aoc_03_input[[#This Row],[CharAtPos2_3]]="#",1,0)</f>
        <v>0</v>
      </c>
      <c r="K164" s="1">
        <f t="shared" si="13"/>
        <v>1135</v>
      </c>
      <c r="L164" s="1" t="str">
        <f>MID(aoc_03_input[[#This Row],[Forest]],MOD(aoc_03_input[[#This Row],[Pos2_4]]-1,LEN(aoc_03_input[[#This Row],[Forest]]))+1,1)</f>
        <v>.</v>
      </c>
      <c r="M164" s="1">
        <f>IF(aoc_03_input[[#This Row],[CharAtPos2_4]]="#",1,0)</f>
        <v>0</v>
      </c>
      <c r="N164" s="1">
        <f>MOD(ROW(aoc_03_input[[#This Row],[CountRow2_5]])+1,2)</f>
        <v>1</v>
      </c>
      <c r="O164" s="1">
        <f t="shared" si="14"/>
        <v>82</v>
      </c>
      <c r="P164" s="1" t="str">
        <f>MID(aoc_03_input[[#This Row],[Forest]],MOD(aoc_03_input[[#This Row],[Pos2_5]]-1,LEN(aoc_03_input[[#This Row],[Forest]]))+1,1)</f>
        <v>.</v>
      </c>
      <c r="Q164" s="1">
        <f>IF(AND(aoc_03_input[[#This Row],[CountRow2_5]]=1,aoc_03_input[[#This Row],[CharAtPos2_5]]="#"),1,0)</f>
        <v>0</v>
      </c>
    </row>
    <row r="165" spans="1:17" x14ac:dyDescent="0.45">
      <c r="A165" s="1" t="s">
        <v>1549</v>
      </c>
      <c r="B165" s="1">
        <f t="shared" si="10"/>
        <v>490</v>
      </c>
      <c r="C165" s="1" t="str">
        <f>MID(aoc_03_input[[#This Row],[Forest]],MOD(aoc_03_input[[#This Row],[Pos1]]-1,LEN(aoc_03_input[[#This Row],[Forest]]))+1,1)</f>
        <v>#</v>
      </c>
      <c r="D165" s="1">
        <f>IF(aoc_03_input[[#This Row],[CharAtPos1]]="#",1,0)</f>
        <v>1</v>
      </c>
      <c r="E165" s="1">
        <f t="shared" si="11"/>
        <v>164</v>
      </c>
      <c r="F165" s="1" t="str">
        <f>MID(aoc_03_input[[#This Row],[Forest]],MOD(aoc_03_input[[#This Row],[Pos2_1]]-1,LEN(aoc_03_input[[#This Row],[Forest]]))+1,1)</f>
        <v>.</v>
      </c>
      <c r="G165" s="1">
        <f>IF(aoc_03_input[[#This Row],[CharAtPos2_1]]="#",1,0)</f>
        <v>0</v>
      </c>
      <c r="H165" s="1">
        <f t="shared" si="12"/>
        <v>816</v>
      </c>
      <c r="I165" s="1" t="str">
        <f>MID(aoc_03_input[[#This Row],[Forest]],MOD(aoc_03_input[[#This Row],[Pos2_3]]-1,LEN(aoc_03_input[[#This Row],[Forest]]))+1,1)</f>
        <v>.</v>
      </c>
      <c r="J165" s="1">
        <f>IF(aoc_03_input[[#This Row],[CharAtPos2_3]]="#",1,0)</f>
        <v>0</v>
      </c>
      <c r="K165" s="1">
        <f t="shared" si="13"/>
        <v>1142</v>
      </c>
      <c r="L165" s="1" t="str">
        <f>MID(aoc_03_input[[#This Row],[Forest]],MOD(aoc_03_input[[#This Row],[Pos2_4]]-1,LEN(aoc_03_input[[#This Row],[Forest]]))+1,1)</f>
        <v>.</v>
      </c>
      <c r="M165" s="1">
        <f>IF(aoc_03_input[[#This Row],[CharAtPos2_4]]="#",1,0)</f>
        <v>0</v>
      </c>
      <c r="N165" s="1">
        <f>MOD(ROW(aoc_03_input[[#This Row],[CountRow2_5]])+1,2)</f>
        <v>0</v>
      </c>
      <c r="O165" s="1">
        <f t="shared" si="14"/>
        <v>82</v>
      </c>
      <c r="P165" s="1" t="str">
        <f>MID(aoc_03_input[[#This Row],[Forest]],MOD(aoc_03_input[[#This Row],[Pos2_5]]-1,LEN(aoc_03_input[[#This Row],[Forest]]))+1,1)</f>
        <v>.</v>
      </c>
      <c r="Q165" s="1">
        <f>IF(AND(aoc_03_input[[#This Row],[CountRow2_5]]=1,aoc_03_input[[#This Row],[CharAtPos2_5]]="#"),1,0)</f>
        <v>0</v>
      </c>
    </row>
    <row r="166" spans="1:17" x14ac:dyDescent="0.45">
      <c r="A166" s="1" t="s">
        <v>1550</v>
      </c>
      <c r="B166" s="1">
        <f t="shared" si="10"/>
        <v>493</v>
      </c>
      <c r="C166" s="1" t="str">
        <f>MID(aoc_03_input[[#This Row],[Forest]],MOD(aoc_03_input[[#This Row],[Pos1]]-1,LEN(aoc_03_input[[#This Row],[Forest]]))+1,1)</f>
        <v>#</v>
      </c>
      <c r="D166" s="1">
        <f>IF(aoc_03_input[[#This Row],[CharAtPos1]]="#",1,0)</f>
        <v>1</v>
      </c>
      <c r="E166" s="1">
        <f t="shared" si="11"/>
        <v>165</v>
      </c>
      <c r="F166" s="1" t="str">
        <f>MID(aoc_03_input[[#This Row],[Forest]],MOD(aoc_03_input[[#This Row],[Pos2_1]]-1,LEN(aoc_03_input[[#This Row],[Forest]]))+1,1)</f>
        <v>.</v>
      </c>
      <c r="G166" s="1">
        <f>IF(aoc_03_input[[#This Row],[CharAtPos2_1]]="#",1,0)</f>
        <v>0</v>
      </c>
      <c r="H166" s="1">
        <f t="shared" si="12"/>
        <v>821</v>
      </c>
      <c r="I166" s="1" t="str">
        <f>MID(aoc_03_input[[#This Row],[Forest]],MOD(aoc_03_input[[#This Row],[Pos2_3]]-1,LEN(aoc_03_input[[#This Row],[Forest]]))+1,1)</f>
        <v>#</v>
      </c>
      <c r="J166" s="1">
        <f>IF(aoc_03_input[[#This Row],[CharAtPos2_3]]="#",1,0)</f>
        <v>1</v>
      </c>
      <c r="K166" s="1">
        <f t="shared" si="13"/>
        <v>1149</v>
      </c>
      <c r="L166" s="1" t="str">
        <f>MID(aoc_03_input[[#This Row],[Forest]],MOD(aoc_03_input[[#This Row],[Pos2_4]]-1,LEN(aoc_03_input[[#This Row],[Forest]]))+1,1)</f>
        <v>#</v>
      </c>
      <c r="M166" s="1">
        <f>IF(aoc_03_input[[#This Row],[CharAtPos2_4]]="#",1,0)</f>
        <v>1</v>
      </c>
      <c r="N166" s="1">
        <f>MOD(ROW(aoc_03_input[[#This Row],[CountRow2_5]])+1,2)</f>
        <v>1</v>
      </c>
      <c r="O166" s="1">
        <f t="shared" si="14"/>
        <v>83</v>
      </c>
      <c r="P166" s="1" t="str">
        <f>MID(aoc_03_input[[#This Row],[Forest]],MOD(aoc_03_input[[#This Row],[Pos2_5]]-1,LEN(aoc_03_input[[#This Row],[Forest]]))+1,1)</f>
        <v>#</v>
      </c>
      <c r="Q166" s="1">
        <f>IF(AND(aoc_03_input[[#This Row],[CountRow2_5]]=1,aoc_03_input[[#This Row],[CharAtPos2_5]]="#"),1,0)</f>
        <v>1</v>
      </c>
    </row>
    <row r="167" spans="1:17" x14ac:dyDescent="0.45">
      <c r="A167" s="1" t="s">
        <v>1551</v>
      </c>
      <c r="B167" s="1">
        <f t="shared" si="10"/>
        <v>496</v>
      </c>
      <c r="C167" s="1" t="str">
        <f>MID(aoc_03_input[[#This Row],[Forest]],MOD(aoc_03_input[[#This Row],[Pos1]]-1,LEN(aoc_03_input[[#This Row],[Forest]]))+1,1)</f>
        <v>#</v>
      </c>
      <c r="D167" s="1">
        <f>IF(aoc_03_input[[#This Row],[CharAtPos1]]="#",1,0)</f>
        <v>1</v>
      </c>
      <c r="E167" s="1">
        <f t="shared" si="11"/>
        <v>166</v>
      </c>
      <c r="F167" s="1" t="str">
        <f>MID(aoc_03_input[[#This Row],[Forest]],MOD(aoc_03_input[[#This Row],[Pos2_1]]-1,LEN(aoc_03_input[[#This Row],[Forest]]))+1,1)</f>
        <v>.</v>
      </c>
      <c r="G167" s="1">
        <f>IF(aoc_03_input[[#This Row],[CharAtPos2_1]]="#",1,0)</f>
        <v>0</v>
      </c>
      <c r="H167" s="1">
        <f t="shared" si="12"/>
        <v>826</v>
      </c>
      <c r="I167" s="1" t="str">
        <f>MID(aoc_03_input[[#This Row],[Forest]],MOD(aoc_03_input[[#This Row],[Pos2_3]]-1,LEN(aoc_03_input[[#This Row],[Forest]]))+1,1)</f>
        <v>.</v>
      </c>
      <c r="J167" s="1">
        <f>IF(aoc_03_input[[#This Row],[CharAtPos2_3]]="#",1,0)</f>
        <v>0</v>
      </c>
      <c r="K167" s="1">
        <f t="shared" si="13"/>
        <v>1156</v>
      </c>
      <c r="L167" s="1" t="str">
        <f>MID(aoc_03_input[[#This Row],[Forest]],MOD(aoc_03_input[[#This Row],[Pos2_4]]-1,LEN(aoc_03_input[[#This Row],[Forest]]))+1,1)</f>
        <v>.</v>
      </c>
      <c r="M167" s="1">
        <f>IF(aoc_03_input[[#This Row],[CharAtPos2_4]]="#",1,0)</f>
        <v>0</v>
      </c>
      <c r="N167" s="1">
        <f>MOD(ROW(aoc_03_input[[#This Row],[CountRow2_5]])+1,2)</f>
        <v>0</v>
      </c>
      <c r="O167" s="1">
        <f t="shared" si="14"/>
        <v>83</v>
      </c>
      <c r="P167" s="1" t="str">
        <f>MID(aoc_03_input[[#This Row],[Forest]],MOD(aoc_03_input[[#This Row],[Pos2_5]]-1,LEN(aoc_03_input[[#This Row],[Forest]]))+1,1)</f>
        <v>.</v>
      </c>
      <c r="Q167" s="1">
        <f>IF(AND(aoc_03_input[[#This Row],[CountRow2_5]]=1,aoc_03_input[[#This Row],[CharAtPos2_5]]="#"),1,0)</f>
        <v>0</v>
      </c>
    </row>
    <row r="168" spans="1:17" x14ac:dyDescent="0.45">
      <c r="A168" s="1" t="s">
        <v>1552</v>
      </c>
      <c r="B168" s="1">
        <f t="shared" si="10"/>
        <v>499</v>
      </c>
      <c r="C168" s="1" t="str">
        <f>MID(aoc_03_input[[#This Row],[Forest]],MOD(aoc_03_input[[#This Row],[Pos1]]-1,LEN(aoc_03_input[[#This Row],[Forest]]))+1,1)</f>
        <v>.</v>
      </c>
      <c r="D168" s="1">
        <f>IF(aoc_03_input[[#This Row],[CharAtPos1]]="#",1,0)</f>
        <v>0</v>
      </c>
      <c r="E168" s="1">
        <f t="shared" si="11"/>
        <v>167</v>
      </c>
      <c r="F168" s="1" t="str">
        <f>MID(aoc_03_input[[#This Row],[Forest]],MOD(aoc_03_input[[#This Row],[Pos2_1]]-1,LEN(aoc_03_input[[#This Row],[Forest]]))+1,1)</f>
        <v>.</v>
      </c>
      <c r="G168" s="1">
        <f>IF(aoc_03_input[[#This Row],[CharAtPos2_1]]="#",1,0)</f>
        <v>0</v>
      </c>
      <c r="H168" s="1">
        <f t="shared" si="12"/>
        <v>831</v>
      </c>
      <c r="I168" s="1" t="str">
        <f>MID(aoc_03_input[[#This Row],[Forest]],MOD(aoc_03_input[[#This Row],[Pos2_3]]-1,LEN(aoc_03_input[[#This Row],[Forest]]))+1,1)</f>
        <v>#</v>
      </c>
      <c r="J168" s="1">
        <f>IF(aoc_03_input[[#This Row],[CharAtPos2_3]]="#",1,0)</f>
        <v>1</v>
      </c>
      <c r="K168" s="1">
        <f t="shared" si="13"/>
        <v>1163</v>
      </c>
      <c r="L168" s="1" t="str">
        <f>MID(aoc_03_input[[#This Row],[Forest]],MOD(aoc_03_input[[#This Row],[Pos2_4]]-1,LEN(aoc_03_input[[#This Row],[Forest]]))+1,1)</f>
        <v>.</v>
      </c>
      <c r="M168" s="1">
        <f>IF(aoc_03_input[[#This Row],[CharAtPos2_4]]="#",1,0)</f>
        <v>0</v>
      </c>
      <c r="N168" s="1">
        <f>MOD(ROW(aoc_03_input[[#This Row],[CountRow2_5]])+1,2)</f>
        <v>1</v>
      </c>
      <c r="O168" s="1">
        <f t="shared" si="14"/>
        <v>84</v>
      </c>
      <c r="P168" s="1" t="str">
        <f>MID(aoc_03_input[[#This Row],[Forest]],MOD(aoc_03_input[[#This Row],[Pos2_5]]-1,LEN(aoc_03_input[[#This Row],[Forest]]))+1,1)</f>
        <v>.</v>
      </c>
      <c r="Q168" s="1">
        <f>IF(AND(aoc_03_input[[#This Row],[CountRow2_5]]=1,aoc_03_input[[#This Row],[CharAtPos2_5]]="#"),1,0)</f>
        <v>0</v>
      </c>
    </row>
    <row r="169" spans="1:17" x14ac:dyDescent="0.45">
      <c r="A169" s="1" t="s">
        <v>1553</v>
      </c>
      <c r="B169" s="1">
        <f t="shared" si="10"/>
        <v>502</v>
      </c>
      <c r="C169" s="1" t="str">
        <f>MID(aoc_03_input[[#This Row],[Forest]],MOD(aoc_03_input[[#This Row],[Pos1]]-1,LEN(aoc_03_input[[#This Row],[Forest]]))+1,1)</f>
        <v>.</v>
      </c>
      <c r="D169" s="1">
        <f>IF(aoc_03_input[[#This Row],[CharAtPos1]]="#",1,0)</f>
        <v>0</v>
      </c>
      <c r="E169" s="1">
        <f t="shared" si="11"/>
        <v>168</v>
      </c>
      <c r="F169" s="1" t="str">
        <f>MID(aoc_03_input[[#This Row],[Forest]],MOD(aoc_03_input[[#This Row],[Pos2_1]]-1,LEN(aoc_03_input[[#This Row],[Forest]]))+1,1)</f>
        <v>.</v>
      </c>
      <c r="G169" s="1">
        <f>IF(aoc_03_input[[#This Row],[CharAtPos2_1]]="#",1,0)</f>
        <v>0</v>
      </c>
      <c r="H169" s="1">
        <f t="shared" si="12"/>
        <v>836</v>
      </c>
      <c r="I169" s="1" t="str">
        <f>MID(aoc_03_input[[#This Row],[Forest]],MOD(aoc_03_input[[#This Row],[Pos2_3]]-1,LEN(aoc_03_input[[#This Row],[Forest]]))+1,1)</f>
        <v>.</v>
      </c>
      <c r="J169" s="1">
        <f>IF(aoc_03_input[[#This Row],[CharAtPos2_3]]="#",1,0)</f>
        <v>0</v>
      </c>
      <c r="K169" s="1">
        <f t="shared" si="13"/>
        <v>1170</v>
      </c>
      <c r="L169" s="1" t="str">
        <f>MID(aoc_03_input[[#This Row],[Forest]],MOD(aoc_03_input[[#This Row],[Pos2_4]]-1,LEN(aoc_03_input[[#This Row],[Forest]]))+1,1)</f>
        <v>.</v>
      </c>
      <c r="M169" s="1">
        <f>IF(aoc_03_input[[#This Row],[CharAtPos2_4]]="#",1,0)</f>
        <v>0</v>
      </c>
      <c r="N169" s="1">
        <f>MOD(ROW(aoc_03_input[[#This Row],[CountRow2_5]])+1,2)</f>
        <v>0</v>
      </c>
      <c r="O169" s="1">
        <f t="shared" si="14"/>
        <v>84</v>
      </c>
      <c r="P169" s="1" t="str">
        <f>MID(aoc_03_input[[#This Row],[Forest]],MOD(aoc_03_input[[#This Row],[Pos2_5]]-1,LEN(aoc_03_input[[#This Row],[Forest]]))+1,1)</f>
        <v>.</v>
      </c>
      <c r="Q169" s="1">
        <f>IF(AND(aoc_03_input[[#This Row],[CountRow2_5]]=1,aoc_03_input[[#This Row],[CharAtPos2_5]]="#"),1,0)</f>
        <v>0</v>
      </c>
    </row>
    <row r="170" spans="1:17" x14ac:dyDescent="0.45">
      <c r="A170" s="1" t="s">
        <v>1554</v>
      </c>
      <c r="B170" s="1">
        <f t="shared" si="10"/>
        <v>505</v>
      </c>
      <c r="C170" s="1" t="str">
        <f>MID(aoc_03_input[[#This Row],[Forest]],MOD(aoc_03_input[[#This Row],[Pos1]]-1,LEN(aoc_03_input[[#This Row],[Forest]]))+1,1)</f>
        <v>#</v>
      </c>
      <c r="D170" s="1">
        <f>IF(aoc_03_input[[#This Row],[CharAtPos1]]="#",1,0)</f>
        <v>1</v>
      </c>
      <c r="E170" s="1">
        <f t="shared" si="11"/>
        <v>169</v>
      </c>
      <c r="F170" s="1" t="str">
        <f>MID(aoc_03_input[[#This Row],[Forest]],MOD(aoc_03_input[[#This Row],[Pos2_1]]-1,LEN(aoc_03_input[[#This Row],[Forest]]))+1,1)</f>
        <v>.</v>
      </c>
      <c r="G170" s="1">
        <f>IF(aoc_03_input[[#This Row],[CharAtPos2_1]]="#",1,0)</f>
        <v>0</v>
      </c>
      <c r="H170" s="1">
        <f t="shared" si="12"/>
        <v>841</v>
      </c>
      <c r="I170" s="1" t="str">
        <f>MID(aoc_03_input[[#This Row],[Forest]],MOD(aoc_03_input[[#This Row],[Pos2_3]]-1,LEN(aoc_03_input[[#This Row],[Forest]]))+1,1)</f>
        <v>.</v>
      </c>
      <c r="J170" s="1">
        <f>IF(aoc_03_input[[#This Row],[CharAtPos2_3]]="#",1,0)</f>
        <v>0</v>
      </c>
      <c r="K170" s="1">
        <f t="shared" si="13"/>
        <v>1177</v>
      </c>
      <c r="L170" s="1" t="str">
        <f>MID(aoc_03_input[[#This Row],[Forest]],MOD(aoc_03_input[[#This Row],[Pos2_4]]-1,LEN(aoc_03_input[[#This Row],[Forest]]))+1,1)</f>
        <v>.</v>
      </c>
      <c r="M170" s="1">
        <f>IF(aoc_03_input[[#This Row],[CharAtPos2_4]]="#",1,0)</f>
        <v>0</v>
      </c>
      <c r="N170" s="1">
        <f>MOD(ROW(aoc_03_input[[#This Row],[CountRow2_5]])+1,2)</f>
        <v>1</v>
      </c>
      <c r="O170" s="1">
        <f t="shared" si="14"/>
        <v>85</v>
      </c>
      <c r="P170" s="1" t="str">
        <f>MID(aoc_03_input[[#This Row],[Forest]],MOD(aoc_03_input[[#This Row],[Pos2_5]]-1,LEN(aoc_03_input[[#This Row],[Forest]]))+1,1)</f>
        <v>#</v>
      </c>
      <c r="Q170" s="1">
        <f>IF(AND(aoc_03_input[[#This Row],[CountRow2_5]]=1,aoc_03_input[[#This Row],[CharAtPos2_5]]="#"),1,0)</f>
        <v>1</v>
      </c>
    </row>
    <row r="171" spans="1:17" x14ac:dyDescent="0.45">
      <c r="A171" s="1" t="s">
        <v>1555</v>
      </c>
      <c r="B171" s="1">
        <f t="shared" si="10"/>
        <v>508</v>
      </c>
      <c r="C171" s="1" t="str">
        <f>MID(aoc_03_input[[#This Row],[Forest]],MOD(aoc_03_input[[#This Row],[Pos1]]-1,LEN(aoc_03_input[[#This Row],[Forest]]))+1,1)</f>
        <v>.</v>
      </c>
      <c r="D171" s="1">
        <f>IF(aoc_03_input[[#This Row],[CharAtPos1]]="#",1,0)</f>
        <v>0</v>
      </c>
      <c r="E171" s="1">
        <f t="shared" si="11"/>
        <v>170</v>
      </c>
      <c r="F171" s="1" t="str">
        <f>MID(aoc_03_input[[#This Row],[Forest]],MOD(aoc_03_input[[#This Row],[Pos2_1]]-1,LEN(aoc_03_input[[#This Row],[Forest]]))+1,1)</f>
        <v>.</v>
      </c>
      <c r="G171" s="1">
        <f>IF(aoc_03_input[[#This Row],[CharAtPos2_1]]="#",1,0)</f>
        <v>0</v>
      </c>
      <c r="H171" s="1">
        <f t="shared" si="12"/>
        <v>846</v>
      </c>
      <c r="I171" s="1" t="str">
        <f>MID(aoc_03_input[[#This Row],[Forest]],MOD(aoc_03_input[[#This Row],[Pos2_3]]-1,LEN(aoc_03_input[[#This Row],[Forest]]))+1,1)</f>
        <v>.</v>
      </c>
      <c r="J171" s="1">
        <f>IF(aoc_03_input[[#This Row],[CharAtPos2_3]]="#",1,0)</f>
        <v>0</v>
      </c>
      <c r="K171" s="1">
        <f t="shared" si="13"/>
        <v>1184</v>
      </c>
      <c r="L171" s="1" t="str">
        <f>MID(aoc_03_input[[#This Row],[Forest]],MOD(aoc_03_input[[#This Row],[Pos2_4]]-1,LEN(aoc_03_input[[#This Row],[Forest]]))+1,1)</f>
        <v>.</v>
      </c>
      <c r="M171" s="1">
        <f>IF(aoc_03_input[[#This Row],[CharAtPos2_4]]="#",1,0)</f>
        <v>0</v>
      </c>
      <c r="N171" s="1">
        <f>MOD(ROW(aoc_03_input[[#This Row],[CountRow2_5]])+1,2)</f>
        <v>0</v>
      </c>
      <c r="O171" s="1">
        <f t="shared" si="14"/>
        <v>85</v>
      </c>
      <c r="P171" s="1" t="str">
        <f>MID(aoc_03_input[[#This Row],[Forest]],MOD(aoc_03_input[[#This Row],[Pos2_5]]-1,LEN(aoc_03_input[[#This Row],[Forest]]))+1,1)</f>
        <v>.</v>
      </c>
      <c r="Q171" s="1">
        <f>IF(AND(aoc_03_input[[#This Row],[CountRow2_5]]=1,aoc_03_input[[#This Row],[CharAtPos2_5]]="#"),1,0)</f>
        <v>0</v>
      </c>
    </row>
    <row r="172" spans="1:17" x14ac:dyDescent="0.45">
      <c r="A172" s="1" t="s">
        <v>1556</v>
      </c>
      <c r="B172" s="1">
        <f t="shared" si="10"/>
        <v>511</v>
      </c>
      <c r="C172" s="1" t="str">
        <f>MID(aoc_03_input[[#This Row],[Forest]],MOD(aoc_03_input[[#This Row],[Pos1]]-1,LEN(aoc_03_input[[#This Row],[Forest]]))+1,1)</f>
        <v>.</v>
      </c>
      <c r="D172" s="1">
        <f>IF(aoc_03_input[[#This Row],[CharAtPos1]]="#",1,0)</f>
        <v>0</v>
      </c>
      <c r="E172" s="1">
        <f t="shared" si="11"/>
        <v>171</v>
      </c>
      <c r="F172" s="1" t="str">
        <f>MID(aoc_03_input[[#This Row],[Forest]],MOD(aoc_03_input[[#This Row],[Pos2_1]]-1,LEN(aoc_03_input[[#This Row],[Forest]]))+1,1)</f>
        <v>.</v>
      </c>
      <c r="G172" s="1">
        <f>IF(aoc_03_input[[#This Row],[CharAtPos2_1]]="#",1,0)</f>
        <v>0</v>
      </c>
      <c r="H172" s="1">
        <f t="shared" si="12"/>
        <v>851</v>
      </c>
      <c r="I172" s="1" t="str">
        <f>MID(aoc_03_input[[#This Row],[Forest]],MOD(aoc_03_input[[#This Row],[Pos2_3]]-1,LEN(aoc_03_input[[#This Row],[Forest]]))+1,1)</f>
        <v>.</v>
      </c>
      <c r="J172" s="1">
        <f>IF(aoc_03_input[[#This Row],[CharAtPos2_3]]="#",1,0)</f>
        <v>0</v>
      </c>
      <c r="K172" s="1">
        <f t="shared" si="13"/>
        <v>1191</v>
      </c>
      <c r="L172" s="1" t="str">
        <f>MID(aoc_03_input[[#This Row],[Forest]],MOD(aoc_03_input[[#This Row],[Pos2_4]]-1,LEN(aoc_03_input[[#This Row],[Forest]]))+1,1)</f>
        <v>.</v>
      </c>
      <c r="M172" s="1">
        <f>IF(aoc_03_input[[#This Row],[CharAtPos2_4]]="#",1,0)</f>
        <v>0</v>
      </c>
      <c r="N172" s="1">
        <f>MOD(ROW(aoc_03_input[[#This Row],[CountRow2_5]])+1,2)</f>
        <v>1</v>
      </c>
      <c r="O172" s="1">
        <f t="shared" si="14"/>
        <v>86</v>
      </c>
      <c r="P172" s="1" t="str">
        <f>MID(aoc_03_input[[#This Row],[Forest]],MOD(aoc_03_input[[#This Row],[Pos2_5]]-1,LEN(aoc_03_input[[#This Row],[Forest]]))+1,1)</f>
        <v>.</v>
      </c>
      <c r="Q172" s="1">
        <f>IF(AND(aoc_03_input[[#This Row],[CountRow2_5]]=1,aoc_03_input[[#This Row],[CharAtPos2_5]]="#"),1,0)</f>
        <v>0</v>
      </c>
    </row>
    <row r="173" spans="1:17" x14ac:dyDescent="0.45">
      <c r="A173" s="1" t="s">
        <v>1557</v>
      </c>
      <c r="B173" s="1">
        <f t="shared" si="10"/>
        <v>514</v>
      </c>
      <c r="C173" s="1" t="str">
        <f>MID(aoc_03_input[[#This Row],[Forest]],MOD(aoc_03_input[[#This Row],[Pos1]]-1,LEN(aoc_03_input[[#This Row],[Forest]]))+1,1)</f>
        <v>#</v>
      </c>
      <c r="D173" s="1">
        <f>IF(aoc_03_input[[#This Row],[CharAtPos1]]="#",1,0)</f>
        <v>1</v>
      </c>
      <c r="E173" s="1">
        <f t="shared" si="11"/>
        <v>172</v>
      </c>
      <c r="F173" s="1" t="str">
        <f>MID(aoc_03_input[[#This Row],[Forest]],MOD(aoc_03_input[[#This Row],[Pos2_1]]-1,LEN(aoc_03_input[[#This Row],[Forest]]))+1,1)</f>
        <v>.</v>
      </c>
      <c r="G173" s="1">
        <f>IF(aoc_03_input[[#This Row],[CharAtPos2_1]]="#",1,0)</f>
        <v>0</v>
      </c>
      <c r="H173" s="1">
        <f t="shared" si="12"/>
        <v>856</v>
      </c>
      <c r="I173" s="1" t="str">
        <f>MID(aoc_03_input[[#This Row],[Forest]],MOD(aoc_03_input[[#This Row],[Pos2_3]]-1,LEN(aoc_03_input[[#This Row],[Forest]]))+1,1)</f>
        <v>.</v>
      </c>
      <c r="J173" s="1">
        <f>IF(aoc_03_input[[#This Row],[CharAtPos2_3]]="#",1,0)</f>
        <v>0</v>
      </c>
      <c r="K173" s="1">
        <f t="shared" si="13"/>
        <v>1198</v>
      </c>
      <c r="L173" s="1" t="str">
        <f>MID(aoc_03_input[[#This Row],[Forest]],MOD(aoc_03_input[[#This Row],[Pos2_4]]-1,LEN(aoc_03_input[[#This Row],[Forest]]))+1,1)</f>
        <v>#</v>
      </c>
      <c r="M173" s="1">
        <f>IF(aoc_03_input[[#This Row],[CharAtPos2_4]]="#",1,0)</f>
        <v>1</v>
      </c>
      <c r="N173" s="1">
        <f>MOD(ROW(aoc_03_input[[#This Row],[CountRow2_5]])+1,2)</f>
        <v>0</v>
      </c>
      <c r="O173" s="1">
        <f t="shared" si="14"/>
        <v>86</v>
      </c>
      <c r="P173" s="1" t="str">
        <f>MID(aoc_03_input[[#This Row],[Forest]],MOD(aoc_03_input[[#This Row],[Pos2_5]]-1,LEN(aoc_03_input[[#This Row],[Forest]]))+1,1)</f>
        <v>.</v>
      </c>
      <c r="Q173" s="1">
        <f>IF(AND(aoc_03_input[[#This Row],[CountRow2_5]]=1,aoc_03_input[[#This Row],[CharAtPos2_5]]="#"),1,0)</f>
        <v>0</v>
      </c>
    </row>
    <row r="174" spans="1:17" x14ac:dyDescent="0.45">
      <c r="A174" s="1" t="s">
        <v>1558</v>
      </c>
      <c r="B174" s="1">
        <f t="shared" si="10"/>
        <v>517</v>
      </c>
      <c r="C174" s="1" t="str">
        <f>MID(aoc_03_input[[#This Row],[Forest]],MOD(aoc_03_input[[#This Row],[Pos1]]-1,LEN(aoc_03_input[[#This Row],[Forest]]))+1,1)</f>
        <v>#</v>
      </c>
      <c r="D174" s="1">
        <f>IF(aoc_03_input[[#This Row],[CharAtPos1]]="#",1,0)</f>
        <v>1</v>
      </c>
      <c r="E174" s="1">
        <f t="shared" si="11"/>
        <v>173</v>
      </c>
      <c r="F174" s="1" t="str">
        <f>MID(aoc_03_input[[#This Row],[Forest]],MOD(aoc_03_input[[#This Row],[Pos2_1]]-1,LEN(aoc_03_input[[#This Row],[Forest]]))+1,1)</f>
        <v>.</v>
      </c>
      <c r="G174" s="1">
        <f>IF(aoc_03_input[[#This Row],[CharAtPos2_1]]="#",1,0)</f>
        <v>0</v>
      </c>
      <c r="H174" s="1">
        <f t="shared" si="12"/>
        <v>861</v>
      </c>
      <c r="I174" s="1" t="str">
        <f>MID(aoc_03_input[[#This Row],[Forest]],MOD(aoc_03_input[[#This Row],[Pos2_3]]-1,LEN(aoc_03_input[[#This Row],[Forest]]))+1,1)</f>
        <v>.</v>
      </c>
      <c r="J174" s="1">
        <f>IF(aoc_03_input[[#This Row],[CharAtPos2_3]]="#",1,0)</f>
        <v>0</v>
      </c>
      <c r="K174" s="1">
        <f t="shared" si="13"/>
        <v>1205</v>
      </c>
      <c r="L174" s="1" t="str">
        <f>MID(aoc_03_input[[#This Row],[Forest]],MOD(aoc_03_input[[#This Row],[Pos2_4]]-1,LEN(aoc_03_input[[#This Row],[Forest]]))+1,1)</f>
        <v>.</v>
      </c>
      <c r="M174" s="1">
        <f>IF(aoc_03_input[[#This Row],[CharAtPos2_4]]="#",1,0)</f>
        <v>0</v>
      </c>
      <c r="N174" s="1">
        <f>MOD(ROW(aoc_03_input[[#This Row],[CountRow2_5]])+1,2)</f>
        <v>1</v>
      </c>
      <c r="O174" s="1">
        <f t="shared" si="14"/>
        <v>87</v>
      </c>
      <c r="P174" s="1" t="str">
        <f>MID(aoc_03_input[[#This Row],[Forest]],MOD(aoc_03_input[[#This Row],[Pos2_5]]-1,LEN(aoc_03_input[[#This Row],[Forest]]))+1,1)</f>
        <v>#</v>
      </c>
      <c r="Q174" s="1">
        <f>IF(AND(aoc_03_input[[#This Row],[CountRow2_5]]=1,aoc_03_input[[#This Row],[CharAtPos2_5]]="#"),1,0)</f>
        <v>1</v>
      </c>
    </row>
    <row r="175" spans="1:17" x14ac:dyDescent="0.45">
      <c r="A175" s="1" t="s">
        <v>1559</v>
      </c>
      <c r="B175" s="1">
        <f t="shared" si="10"/>
        <v>520</v>
      </c>
      <c r="C175" s="1" t="str">
        <f>MID(aoc_03_input[[#This Row],[Forest]],MOD(aoc_03_input[[#This Row],[Pos1]]-1,LEN(aoc_03_input[[#This Row],[Forest]]))+1,1)</f>
        <v>#</v>
      </c>
      <c r="D175" s="1">
        <f>IF(aoc_03_input[[#This Row],[CharAtPos1]]="#",1,0)</f>
        <v>1</v>
      </c>
      <c r="E175" s="1">
        <f t="shared" si="11"/>
        <v>174</v>
      </c>
      <c r="F175" s="1" t="str">
        <f>MID(aoc_03_input[[#This Row],[Forest]],MOD(aoc_03_input[[#This Row],[Pos2_1]]-1,LEN(aoc_03_input[[#This Row],[Forest]]))+1,1)</f>
        <v>.</v>
      </c>
      <c r="G175" s="1">
        <f>IF(aoc_03_input[[#This Row],[CharAtPos2_1]]="#",1,0)</f>
        <v>0</v>
      </c>
      <c r="H175" s="1">
        <f t="shared" si="12"/>
        <v>866</v>
      </c>
      <c r="I175" s="1" t="str">
        <f>MID(aoc_03_input[[#This Row],[Forest]],MOD(aoc_03_input[[#This Row],[Pos2_3]]-1,LEN(aoc_03_input[[#This Row],[Forest]]))+1,1)</f>
        <v>.</v>
      </c>
      <c r="J175" s="1">
        <f>IF(aoc_03_input[[#This Row],[CharAtPos2_3]]="#",1,0)</f>
        <v>0</v>
      </c>
      <c r="K175" s="1">
        <f t="shared" si="13"/>
        <v>1212</v>
      </c>
      <c r="L175" s="1" t="str">
        <f>MID(aoc_03_input[[#This Row],[Forest]],MOD(aoc_03_input[[#This Row],[Pos2_4]]-1,LEN(aoc_03_input[[#This Row],[Forest]]))+1,1)</f>
        <v>.</v>
      </c>
      <c r="M175" s="1">
        <f>IF(aoc_03_input[[#This Row],[CharAtPos2_4]]="#",1,0)</f>
        <v>0</v>
      </c>
      <c r="N175" s="1">
        <f>MOD(ROW(aoc_03_input[[#This Row],[CountRow2_5]])+1,2)</f>
        <v>0</v>
      </c>
      <c r="O175" s="1">
        <f t="shared" si="14"/>
        <v>87</v>
      </c>
      <c r="P175" s="1" t="str">
        <f>MID(aoc_03_input[[#This Row],[Forest]],MOD(aoc_03_input[[#This Row],[Pos2_5]]-1,LEN(aoc_03_input[[#This Row],[Forest]]))+1,1)</f>
        <v>.</v>
      </c>
      <c r="Q175" s="1">
        <f>IF(AND(aoc_03_input[[#This Row],[CountRow2_5]]=1,aoc_03_input[[#This Row],[CharAtPos2_5]]="#"),1,0)</f>
        <v>0</v>
      </c>
    </row>
    <row r="176" spans="1:17" x14ac:dyDescent="0.45">
      <c r="A176" s="1" t="s">
        <v>1560</v>
      </c>
      <c r="B176" s="1">
        <f t="shared" si="10"/>
        <v>523</v>
      </c>
      <c r="C176" s="1" t="str">
        <f>MID(aoc_03_input[[#This Row],[Forest]],MOD(aoc_03_input[[#This Row],[Pos1]]-1,LEN(aoc_03_input[[#This Row],[Forest]]))+1,1)</f>
        <v>.</v>
      </c>
      <c r="D176" s="1">
        <f>IF(aoc_03_input[[#This Row],[CharAtPos1]]="#",1,0)</f>
        <v>0</v>
      </c>
      <c r="E176" s="1">
        <f t="shared" si="11"/>
        <v>175</v>
      </c>
      <c r="F176" s="1" t="str">
        <f>MID(aoc_03_input[[#This Row],[Forest]],MOD(aoc_03_input[[#This Row],[Pos2_1]]-1,LEN(aoc_03_input[[#This Row],[Forest]]))+1,1)</f>
        <v>.</v>
      </c>
      <c r="G176" s="1">
        <f>IF(aoc_03_input[[#This Row],[CharAtPos2_1]]="#",1,0)</f>
        <v>0</v>
      </c>
      <c r="H176" s="1">
        <f t="shared" si="12"/>
        <v>871</v>
      </c>
      <c r="I176" s="1" t="str">
        <f>MID(aoc_03_input[[#This Row],[Forest]],MOD(aoc_03_input[[#This Row],[Pos2_3]]-1,LEN(aoc_03_input[[#This Row],[Forest]]))+1,1)</f>
        <v>.</v>
      </c>
      <c r="J176" s="1">
        <f>IF(aoc_03_input[[#This Row],[CharAtPos2_3]]="#",1,0)</f>
        <v>0</v>
      </c>
      <c r="K176" s="1">
        <f t="shared" si="13"/>
        <v>1219</v>
      </c>
      <c r="L176" s="1" t="str">
        <f>MID(aoc_03_input[[#This Row],[Forest]],MOD(aoc_03_input[[#This Row],[Pos2_4]]-1,LEN(aoc_03_input[[#This Row],[Forest]]))+1,1)</f>
        <v>.</v>
      </c>
      <c r="M176" s="1">
        <f>IF(aoc_03_input[[#This Row],[CharAtPos2_4]]="#",1,0)</f>
        <v>0</v>
      </c>
      <c r="N176" s="1">
        <f>MOD(ROW(aoc_03_input[[#This Row],[CountRow2_5]])+1,2)</f>
        <v>1</v>
      </c>
      <c r="O176" s="1">
        <f t="shared" si="14"/>
        <v>88</v>
      </c>
      <c r="P176" s="1" t="str">
        <f>MID(aoc_03_input[[#This Row],[Forest]],MOD(aoc_03_input[[#This Row],[Pos2_5]]-1,LEN(aoc_03_input[[#This Row],[Forest]]))+1,1)</f>
        <v>.</v>
      </c>
      <c r="Q176" s="1">
        <f>IF(AND(aoc_03_input[[#This Row],[CountRow2_5]]=1,aoc_03_input[[#This Row],[CharAtPos2_5]]="#"),1,0)</f>
        <v>0</v>
      </c>
    </row>
    <row r="177" spans="1:17" x14ac:dyDescent="0.45">
      <c r="A177" s="1" t="s">
        <v>1561</v>
      </c>
      <c r="B177" s="1">
        <f t="shared" si="10"/>
        <v>526</v>
      </c>
      <c r="C177" s="1" t="str">
        <f>MID(aoc_03_input[[#This Row],[Forest]],MOD(aoc_03_input[[#This Row],[Pos1]]-1,LEN(aoc_03_input[[#This Row],[Forest]]))+1,1)</f>
        <v>.</v>
      </c>
      <c r="D177" s="1">
        <f>IF(aoc_03_input[[#This Row],[CharAtPos1]]="#",1,0)</f>
        <v>0</v>
      </c>
      <c r="E177" s="1">
        <f t="shared" si="11"/>
        <v>176</v>
      </c>
      <c r="F177" s="1" t="str">
        <f>MID(aoc_03_input[[#This Row],[Forest]],MOD(aoc_03_input[[#This Row],[Pos2_1]]-1,LEN(aoc_03_input[[#This Row],[Forest]]))+1,1)</f>
        <v>.</v>
      </c>
      <c r="G177" s="1">
        <f>IF(aoc_03_input[[#This Row],[CharAtPos2_1]]="#",1,0)</f>
        <v>0</v>
      </c>
      <c r="H177" s="1">
        <f t="shared" si="12"/>
        <v>876</v>
      </c>
      <c r="I177" s="1" t="str">
        <f>MID(aoc_03_input[[#This Row],[Forest]],MOD(aoc_03_input[[#This Row],[Pos2_3]]-1,LEN(aoc_03_input[[#This Row],[Forest]]))+1,1)</f>
        <v>.</v>
      </c>
      <c r="J177" s="1">
        <f>IF(aoc_03_input[[#This Row],[CharAtPos2_3]]="#",1,0)</f>
        <v>0</v>
      </c>
      <c r="K177" s="1">
        <f t="shared" si="13"/>
        <v>1226</v>
      </c>
      <c r="L177" s="1" t="str">
        <f>MID(aoc_03_input[[#This Row],[Forest]],MOD(aoc_03_input[[#This Row],[Pos2_4]]-1,LEN(aoc_03_input[[#This Row],[Forest]]))+1,1)</f>
        <v>.</v>
      </c>
      <c r="M177" s="1">
        <f>IF(aoc_03_input[[#This Row],[CharAtPos2_4]]="#",1,0)</f>
        <v>0</v>
      </c>
      <c r="N177" s="1">
        <f>MOD(ROW(aoc_03_input[[#This Row],[CountRow2_5]])+1,2)</f>
        <v>0</v>
      </c>
      <c r="O177" s="1">
        <f t="shared" si="14"/>
        <v>88</v>
      </c>
      <c r="P177" s="1" t="str">
        <f>MID(aoc_03_input[[#This Row],[Forest]],MOD(aoc_03_input[[#This Row],[Pos2_5]]-1,LEN(aoc_03_input[[#This Row],[Forest]]))+1,1)</f>
        <v>#</v>
      </c>
      <c r="Q177" s="1">
        <f>IF(AND(aoc_03_input[[#This Row],[CountRow2_5]]=1,aoc_03_input[[#This Row],[CharAtPos2_5]]="#"),1,0)</f>
        <v>0</v>
      </c>
    </row>
    <row r="178" spans="1:17" x14ac:dyDescent="0.45">
      <c r="A178" s="1" t="s">
        <v>1562</v>
      </c>
      <c r="B178" s="1">
        <f t="shared" si="10"/>
        <v>529</v>
      </c>
      <c r="C178" s="1" t="str">
        <f>MID(aoc_03_input[[#This Row],[Forest]],MOD(aoc_03_input[[#This Row],[Pos1]]-1,LEN(aoc_03_input[[#This Row],[Forest]]))+1,1)</f>
        <v>#</v>
      </c>
      <c r="D178" s="1">
        <f>IF(aoc_03_input[[#This Row],[CharAtPos1]]="#",1,0)</f>
        <v>1</v>
      </c>
      <c r="E178" s="1">
        <f t="shared" si="11"/>
        <v>177</v>
      </c>
      <c r="F178" s="1" t="str">
        <f>MID(aoc_03_input[[#This Row],[Forest]],MOD(aoc_03_input[[#This Row],[Pos2_1]]-1,LEN(aoc_03_input[[#This Row],[Forest]]))+1,1)</f>
        <v>#</v>
      </c>
      <c r="G178" s="1">
        <f>IF(aoc_03_input[[#This Row],[CharAtPos2_1]]="#",1,0)</f>
        <v>1</v>
      </c>
      <c r="H178" s="1">
        <f t="shared" si="12"/>
        <v>881</v>
      </c>
      <c r="I178" s="1" t="str">
        <f>MID(aoc_03_input[[#This Row],[Forest]],MOD(aoc_03_input[[#This Row],[Pos2_3]]-1,LEN(aoc_03_input[[#This Row],[Forest]]))+1,1)</f>
        <v>.</v>
      </c>
      <c r="J178" s="1">
        <f>IF(aoc_03_input[[#This Row],[CharAtPos2_3]]="#",1,0)</f>
        <v>0</v>
      </c>
      <c r="K178" s="1">
        <f t="shared" si="13"/>
        <v>1233</v>
      </c>
      <c r="L178" s="1" t="str">
        <f>MID(aoc_03_input[[#This Row],[Forest]],MOD(aoc_03_input[[#This Row],[Pos2_4]]-1,LEN(aoc_03_input[[#This Row],[Forest]]))+1,1)</f>
        <v>.</v>
      </c>
      <c r="M178" s="1">
        <f>IF(aoc_03_input[[#This Row],[CharAtPos2_4]]="#",1,0)</f>
        <v>0</v>
      </c>
      <c r="N178" s="1">
        <f>MOD(ROW(aoc_03_input[[#This Row],[CountRow2_5]])+1,2)</f>
        <v>1</v>
      </c>
      <c r="O178" s="1">
        <f t="shared" si="14"/>
        <v>89</v>
      </c>
      <c r="P178" s="1" t="str">
        <f>MID(aoc_03_input[[#This Row],[Forest]],MOD(aoc_03_input[[#This Row],[Pos2_5]]-1,LEN(aoc_03_input[[#This Row],[Forest]]))+1,1)</f>
        <v>.</v>
      </c>
      <c r="Q178" s="1">
        <f>IF(AND(aoc_03_input[[#This Row],[CountRow2_5]]=1,aoc_03_input[[#This Row],[CharAtPos2_5]]="#"),1,0)</f>
        <v>0</v>
      </c>
    </row>
    <row r="179" spans="1:17" x14ac:dyDescent="0.45">
      <c r="A179" s="1" t="s">
        <v>1563</v>
      </c>
      <c r="B179" s="1">
        <f t="shared" si="10"/>
        <v>532</v>
      </c>
      <c r="C179" s="1" t="str">
        <f>MID(aoc_03_input[[#This Row],[Forest]],MOD(aoc_03_input[[#This Row],[Pos1]]-1,LEN(aoc_03_input[[#This Row],[Forest]]))+1,1)</f>
        <v>#</v>
      </c>
      <c r="D179" s="1">
        <f>IF(aoc_03_input[[#This Row],[CharAtPos1]]="#",1,0)</f>
        <v>1</v>
      </c>
      <c r="E179" s="1">
        <f t="shared" si="11"/>
        <v>178</v>
      </c>
      <c r="F179" s="1" t="str">
        <f>MID(aoc_03_input[[#This Row],[Forest]],MOD(aoc_03_input[[#This Row],[Pos2_1]]-1,LEN(aoc_03_input[[#This Row],[Forest]]))+1,1)</f>
        <v>#</v>
      </c>
      <c r="G179" s="1">
        <f>IF(aoc_03_input[[#This Row],[CharAtPos2_1]]="#",1,0)</f>
        <v>1</v>
      </c>
      <c r="H179" s="1">
        <f t="shared" si="12"/>
        <v>886</v>
      </c>
      <c r="I179" s="1" t="str">
        <f>MID(aoc_03_input[[#This Row],[Forest]],MOD(aoc_03_input[[#This Row],[Pos2_3]]-1,LEN(aoc_03_input[[#This Row],[Forest]]))+1,1)</f>
        <v>#</v>
      </c>
      <c r="J179" s="1">
        <f>IF(aoc_03_input[[#This Row],[CharAtPos2_3]]="#",1,0)</f>
        <v>1</v>
      </c>
      <c r="K179" s="1">
        <f t="shared" si="13"/>
        <v>1240</v>
      </c>
      <c r="L179" s="1" t="str">
        <f>MID(aoc_03_input[[#This Row],[Forest]],MOD(aoc_03_input[[#This Row],[Pos2_4]]-1,LEN(aoc_03_input[[#This Row],[Forest]]))+1,1)</f>
        <v>.</v>
      </c>
      <c r="M179" s="1">
        <f>IF(aoc_03_input[[#This Row],[CharAtPos2_4]]="#",1,0)</f>
        <v>0</v>
      </c>
      <c r="N179" s="1">
        <f>MOD(ROW(aoc_03_input[[#This Row],[CountRow2_5]])+1,2)</f>
        <v>0</v>
      </c>
      <c r="O179" s="1">
        <f t="shared" si="14"/>
        <v>89</v>
      </c>
      <c r="P179" s="1" t="str">
        <f>MID(aoc_03_input[[#This Row],[Forest]],MOD(aoc_03_input[[#This Row],[Pos2_5]]-1,LEN(aoc_03_input[[#This Row],[Forest]]))+1,1)</f>
        <v>.</v>
      </c>
      <c r="Q179" s="1">
        <f>IF(AND(aoc_03_input[[#This Row],[CountRow2_5]]=1,aoc_03_input[[#This Row],[CharAtPos2_5]]="#"),1,0)</f>
        <v>0</v>
      </c>
    </row>
    <row r="180" spans="1:17" x14ac:dyDescent="0.45">
      <c r="A180" s="1" t="s">
        <v>1564</v>
      </c>
      <c r="B180" s="1">
        <f t="shared" si="10"/>
        <v>535</v>
      </c>
      <c r="C180" s="1" t="str">
        <f>MID(aoc_03_input[[#This Row],[Forest]],MOD(aoc_03_input[[#This Row],[Pos1]]-1,LEN(aoc_03_input[[#This Row],[Forest]]))+1,1)</f>
        <v>#</v>
      </c>
      <c r="D180" s="1">
        <f>IF(aoc_03_input[[#This Row],[CharAtPos1]]="#",1,0)</f>
        <v>1</v>
      </c>
      <c r="E180" s="1">
        <f t="shared" si="11"/>
        <v>179</v>
      </c>
      <c r="F180" s="1" t="str">
        <f>MID(aoc_03_input[[#This Row],[Forest]],MOD(aoc_03_input[[#This Row],[Pos2_1]]-1,LEN(aoc_03_input[[#This Row],[Forest]]))+1,1)</f>
        <v>.</v>
      </c>
      <c r="G180" s="1">
        <f>IF(aoc_03_input[[#This Row],[CharAtPos2_1]]="#",1,0)</f>
        <v>0</v>
      </c>
      <c r="H180" s="1">
        <f t="shared" si="12"/>
        <v>891</v>
      </c>
      <c r="I180" s="1" t="str">
        <f>MID(aoc_03_input[[#This Row],[Forest]],MOD(aoc_03_input[[#This Row],[Pos2_3]]-1,LEN(aoc_03_input[[#This Row],[Forest]]))+1,1)</f>
        <v>.</v>
      </c>
      <c r="J180" s="1">
        <f>IF(aoc_03_input[[#This Row],[CharAtPos2_3]]="#",1,0)</f>
        <v>0</v>
      </c>
      <c r="K180" s="1">
        <f t="shared" si="13"/>
        <v>1247</v>
      </c>
      <c r="L180" s="1" t="str">
        <f>MID(aoc_03_input[[#This Row],[Forest]],MOD(aoc_03_input[[#This Row],[Pos2_4]]-1,LEN(aoc_03_input[[#This Row],[Forest]]))+1,1)</f>
        <v>#</v>
      </c>
      <c r="M180" s="1">
        <f>IF(aoc_03_input[[#This Row],[CharAtPos2_4]]="#",1,0)</f>
        <v>1</v>
      </c>
      <c r="N180" s="1">
        <f>MOD(ROW(aoc_03_input[[#This Row],[CountRow2_5]])+1,2)</f>
        <v>1</v>
      </c>
      <c r="O180" s="1">
        <f t="shared" si="14"/>
        <v>90</v>
      </c>
      <c r="P180" s="1" t="str">
        <f>MID(aoc_03_input[[#This Row],[Forest]],MOD(aoc_03_input[[#This Row],[Pos2_5]]-1,LEN(aoc_03_input[[#This Row],[Forest]]))+1,1)</f>
        <v>#</v>
      </c>
      <c r="Q180" s="1">
        <f>IF(AND(aoc_03_input[[#This Row],[CountRow2_5]]=1,aoc_03_input[[#This Row],[CharAtPos2_5]]="#"),1,0)</f>
        <v>1</v>
      </c>
    </row>
    <row r="181" spans="1:17" x14ac:dyDescent="0.45">
      <c r="A181" s="1" t="s">
        <v>1565</v>
      </c>
      <c r="B181" s="1">
        <f t="shared" si="10"/>
        <v>538</v>
      </c>
      <c r="C181" s="1" t="str">
        <f>MID(aoc_03_input[[#This Row],[Forest]],MOD(aoc_03_input[[#This Row],[Pos1]]-1,LEN(aoc_03_input[[#This Row],[Forest]]))+1,1)</f>
        <v>#</v>
      </c>
      <c r="D181" s="1">
        <f>IF(aoc_03_input[[#This Row],[CharAtPos1]]="#",1,0)</f>
        <v>1</v>
      </c>
      <c r="E181" s="1">
        <f t="shared" si="11"/>
        <v>180</v>
      </c>
      <c r="F181" s="1" t="str">
        <f>MID(aoc_03_input[[#This Row],[Forest]],MOD(aoc_03_input[[#This Row],[Pos2_1]]-1,LEN(aoc_03_input[[#This Row],[Forest]]))+1,1)</f>
        <v>.</v>
      </c>
      <c r="G181" s="1">
        <f>IF(aoc_03_input[[#This Row],[CharAtPos2_1]]="#",1,0)</f>
        <v>0</v>
      </c>
      <c r="H181" s="1">
        <f t="shared" si="12"/>
        <v>896</v>
      </c>
      <c r="I181" s="1" t="str">
        <f>MID(aoc_03_input[[#This Row],[Forest]],MOD(aoc_03_input[[#This Row],[Pos2_3]]-1,LEN(aoc_03_input[[#This Row],[Forest]]))+1,1)</f>
        <v>.</v>
      </c>
      <c r="J181" s="1">
        <f>IF(aoc_03_input[[#This Row],[CharAtPos2_3]]="#",1,0)</f>
        <v>0</v>
      </c>
      <c r="K181" s="1">
        <f t="shared" si="13"/>
        <v>1254</v>
      </c>
      <c r="L181" s="1" t="str">
        <f>MID(aoc_03_input[[#This Row],[Forest]],MOD(aoc_03_input[[#This Row],[Pos2_4]]-1,LEN(aoc_03_input[[#This Row],[Forest]]))+1,1)</f>
        <v>.</v>
      </c>
      <c r="M181" s="1">
        <f>IF(aoc_03_input[[#This Row],[CharAtPos2_4]]="#",1,0)</f>
        <v>0</v>
      </c>
      <c r="N181" s="1">
        <f>MOD(ROW(aoc_03_input[[#This Row],[CountRow2_5]])+1,2)</f>
        <v>0</v>
      </c>
      <c r="O181" s="1">
        <f t="shared" si="14"/>
        <v>90</v>
      </c>
      <c r="P181" s="1" t="str">
        <f>MID(aoc_03_input[[#This Row],[Forest]],MOD(aoc_03_input[[#This Row],[Pos2_5]]-1,LEN(aoc_03_input[[#This Row],[Forest]]))+1,1)</f>
        <v>.</v>
      </c>
      <c r="Q181" s="1">
        <f>IF(AND(aoc_03_input[[#This Row],[CountRow2_5]]=1,aoc_03_input[[#This Row],[CharAtPos2_5]]="#"),1,0)</f>
        <v>0</v>
      </c>
    </row>
    <row r="182" spans="1:17" x14ac:dyDescent="0.45">
      <c r="A182" s="1" t="s">
        <v>1566</v>
      </c>
      <c r="B182" s="1">
        <f t="shared" si="10"/>
        <v>541</v>
      </c>
      <c r="C182" s="1" t="str">
        <f>MID(aoc_03_input[[#This Row],[Forest]],MOD(aoc_03_input[[#This Row],[Pos1]]-1,LEN(aoc_03_input[[#This Row],[Forest]]))+1,1)</f>
        <v>#</v>
      </c>
      <c r="D182" s="1">
        <f>IF(aoc_03_input[[#This Row],[CharAtPos1]]="#",1,0)</f>
        <v>1</v>
      </c>
      <c r="E182" s="1">
        <f t="shared" si="11"/>
        <v>181</v>
      </c>
      <c r="F182" s="1" t="str">
        <f>MID(aoc_03_input[[#This Row],[Forest]],MOD(aoc_03_input[[#This Row],[Pos2_1]]-1,LEN(aoc_03_input[[#This Row],[Forest]]))+1,1)</f>
        <v>#</v>
      </c>
      <c r="G182" s="1">
        <f>IF(aoc_03_input[[#This Row],[CharAtPos2_1]]="#",1,0)</f>
        <v>1</v>
      </c>
      <c r="H182" s="1">
        <f t="shared" si="12"/>
        <v>901</v>
      </c>
      <c r="I182" s="1" t="str">
        <f>MID(aoc_03_input[[#This Row],[Forest]],MOD(aoc_03_input[[#This Row],[Pos2_3]]-1,LEN(aoc_03_input[[#This Row],[Forest]]))+1,1)</f>
        <v>.</v>
      </c>
      <c r="J182" s="1">
        <f>IF(aoc_03_input[[#This Row],[CharAtPos2_3]]="#",1,0)</f>
        <v>0</v>
      </c>
      <c r="K182" s="1">
        <f t="shared" si="13"/>
        <v>1261</v>
      </c>
      <c r="L182" s="1" t="str">
        <f>MID(aoc_03_input[[#This Row],[Forest]],MOD(aoc_03_input[[#This Row],[Pos2_4]]-1,LEN(aoc_03_input[[#This Row],[Forest]]))+1,1)</f>
        <v>.</v>
      </c>
      <c r="M182" s="1">
        <f>IF(aoc_03_input[[#This Row],[CharAtPos2_4]]="#",1,0)</f>
        <v>0</v>
      </c>
      <c r="N182" s="1">
        <f>MOD(ROW(aoc_03_input[[#This Row],[CountRow2_5]])+1,2)</f>
        <v>1</v>
      </c>
      <c r="O182" s="1">
        <f t="shared" si="14"/>
        <v>91</v>
      </c>
      <c r="P182" s="1" t="str">
        <f>MID(aoc_03_input[[#This Row],[Forest]],MOD(aoc_03_input[[#This Row],[Pos2_5]]-1,LEN(aoc_03_input[[#This Row],[Forest]]))+1,1)</f>
        <v>.</v>
      </c>
      <c r="Q182" s="1">
        <f>IF(AND(aoc_03_input[[#This Row],[CountRow2_5]]=1,aoc_03_input[[#This Row],[CharAtPos2_5]]="#"),1,0)</f>
        <v>0</v>
      </c>
    </row>
    <row r="183" spans="1:17" x14ac:dyDescent="0.45">
      <c r="A183" s="1" t="s">
        <v>1567</v>
      </c>
      <c r="B183" s="1">
        <f t="shared" si="10"/>
        <v>544</v>
      </c>
      <c r="C183" s="1" t="str">
        <f>MID(aoc_03_input[[#This Row],[Forest]],MOD(aoc_03_input[[#This Row],[Pos1]]-1,LEN(aoc_03_input[[#This Row],[Forest]]))+1,1)</f>
        <v>#</v>
      </c>
      <c r="D183" s="1">
        <f>IF(aoc_03_input[[#This Row],[CharAtPos1]]="#",1,0)</f>
        <v>1</v>
      </c>
      <c r="E183" s="1">
        <f t="shared" si="11"/>
        <v>182</v>
      </c>
      <c r="F183" s="1" t="str">
        <f>MID(aoc_03_input[[#This Row],[Forest]],MOD(aoc_03_input[[#This Row],[Pos2_1]]-1,LEN(aoc_03_input[[#This Row],[Forest]]))+1,1)</f>
        <v>#</v>
      </c>
      <c r="G183" s="1">
        <f>IF(aoc_03_input[[#This Row],[CharAtPos2_1]]="#",1,0)</f>
        <v>1</v>
      </c>
      <c r="H183" s="1">
        <f t="shared" si="12"/>
        <v>906</v>
      </c>
      <c r="I183" s="1" t="str">
        <f>MID(aoc_03_input[[#This Row],[Forest]],MOD(aoc_03_input[[#This Row],[Pos2_3]]-1,LEN(aoc_03_input[[#This Row],[Forest]]))+1,1)</f>
        <v>.</v>
      </c>
      <c r="J183" s="1">
        <f>IF(aoc_03_input[[#This Row],[CharAtPos2_3]]="#",1,0)</f>
        <v>0</v>
      </c>
      <c r="K183" s="1">
        <f t="shared" si="13"/>
        <v>1268</v>
      </c>
      <c r="L183" s="1" t="str">
        <f>MID(aoc_03_input[[#This Row],[Forest]],MOD(aoc_03_input[[#This Row],[Pos2_4]]-1,LEN(aoc_03_input[[#This Row],[Forest]]))+1,1)</f>
        <v>.</v>
      </c>
      <c r="M183" s="1">
        <f>IF(aoc_03_input[[#This Row],[CharAtPos2_4]]="#",1,0)</f>
        <v>0</v>
      </c>
      <c r="N183" s="1">
        <f>MOD(ROW(aoc_03_input[[#This Row],[CountRow2_5]])+1,2)</f>
        <v>0</v>
      </c>
      <c r="O183" s="1">
        <f t="shared" si="14"/>
        <v>91</v>
      </c>
      <c r="P183" s="1" t="str">
        <f>MID(aoc_03_input[[#This Row],[Forest]],MOD(aoc_03_input[[#This Row],[Pos2_5]]-1,LEN(aoc_03_input[[#This Row],[Forest]]))+1,1)</f>
        <v>.</v>
      </c>
      <c r="Q183" s="1">
        <f>IF(AND(aoc_03_input[[#This Row],[CountRow2_5]]=1,aoc_03_input[[#This Row],[CharAtPos2_5]]="#"),1,0)</f>
        <v>0</v>
      </c>
    </row>
    <row r="184" spans="1:17" x14ac:dyDescent="0.45">
      <c r="A184" s="1" t="s">
        <v>1568</v>
      </c>
      <c r="B184" s="1">
        <f t="shared" si="10"/>
        <v>547</v>
      </c>
      <c r="C184" s="1" t="str">
        <f>MID(aoc_03_input[[#This Row],[Forest]],MOD(aoc_03_input[[#This Row],[Pos1]]-1,LEN(aoc_03_input[[#This Row],[Forest]]))+1,1)</f>
        <v>.</v>
      </c>
      <c r="D184" s="1">
        <f>IF(aoc_03_input[[#This Row],[CharAtPos1]]="#",1,0)</f>
        <v>0</v>
      </c>
      <c r="E184" s="1">
        <f t="shared" si="11"/>
        <v>183</v>
      </c>
      <c r="F184" s="1" t="str">
        <f>MID(aoc_03_input[[#This Row],[Forest]],MOD(aoc_03_input[[#This Row],[Pos2_1]]-1,LEN(aoc_03_input[[#This Row],[Forest]]))+1,1)</f>
        <v>#</v>
      </c>
      <c r="G184" s="1">
        <f>IF(aoc_03_input[[#This Row],[CharAtPos2_1]]="#",1,0)</f>
        <v>1</v>
      </c>
      <c r="H184" s="1">
        <f t="shared" si="12"/>
        <v>911</v>
      </c>
      <c r="I184" s="1" t="str">
        <f>MID(aoc_03_input[[#This Row],[Forest]],MOD(aoc_03_input[[#This Row],[Pos2_3]]-1,LEN(aoc_03_input[[#This Row],[Forest]]))+1,1)</f>
        <v>.</v>
      </c>
      <c r="J184" s="1">
        <f>IF(aoc_03_input[[#This Row],[CharAtPos2_3]]="#",1,0)</f>
        <v>0</v>
      </c>
      <c r="K184" s="1">
        <f t="shared" si="13"/>
        <v>1275</v>
      </c>
      <c r="L184" s="1" t="str">
        <f>MID(aoc_03_input[[#This Row],[Forest]],MOD(aoc_03_input[[#This Row],[Pos2_4]]-1,LEN(aoc_03_input[[#This Row],[Forest]]))+1,1)</f>
        <v>.</v>
      </c>
      <c r="M184" s="1">
        <f>IF(aoc_03_input[[#This Row],[CharAtPos2_4]]="#",1,0)</f>
        <v>0</v>
      </c>
      <c r="N184" s="1">
        <f>MOD(ROW(aoc_03_input[[#This Row],[CountRow2_5]])+1,2)</f>
        <v>1</v>
      </c>
      <c r="O184" s="1">
        <f t="shared" si="14"/>
        <v>92</v>
      </c>
      <c r="P184" s="1" t="str">
        <f>MID(aoc_03_input[[#This Row],[Forest]],MOD(aoc_03_input[[#This Row],[Pos2_5]]-1,LEN(aoc_03_input[[#This Row],[Forest]]))+1,1)</f>
        <v>#</v>
      </c>
      <c r="Q184" s="1">
        <f>IF(AND(aoc_03_input[[#This Row],[CountRow2_5]]=1,aoc_03_input[[#This Row],[CharAtPos2_5]]="#"),1,0)</f>
        <v>1</v>
      </c>
    </row>
    <row r="185" spans="1:17" x14ac:dyDescent="0.45">
      <c r="A185" s="1" t="s">
        <v>1569</v>
      </c>
      <c r="B185" s="1">
        <f t="shared" si="10"/>
        <v>550</v>
      </c>
      <c r="C185" s="1" t="str">
        <f>MID(aoc_03_input[[#This Row],[Forest]],MOD(aoc_03_input[[#This Row],[Pos1]]-1,LEN(aoc_03_input[[#This Row],[Forest]]))+1,1)</f>
        <v>.</v>
      </c>
      <c r="D185" s="1">
        <f>IF(aoc_03_input[[#This Row],[CharAtPos1]]="#",1,0)</f>
        <v>0</v>
      </c>
      <c r="E185" s="1">
        <f t="shared" si="11"/>
        <v>184</v>
      </c>
      <c r="F185" s="1" t="str">
        <f>MID(aoc_03_input[[#This Row],[Forest]],MOD(aoc_03_input[[#This Row],[Pos2_1]]-1,LEN(aoc_03_input[[#This Row],[Forest]]))+1,1)</f>
        <v>.</v>
      </c>
      <c r="G185" s="1">
        <f>IF(aoc_03_input[[#This Row],[CharAtPos2_1]]="#",1,0)</f>
        <v>0</v>
      </c>
      <c r="H185" s="1">
        <f t="shared" si="12"/>
        <v>916</v>
      </c>
      <c r="I185" s="1" t="str">
        <f>MID(aoc_03_input[[#This Row],[Forest]],MOD(aoc_03_input[[#This Row],[Pos2_3]]-1,LEN(aoc_03_input[[#This Row],[Forest]]))+1,1)</f>
        <v>.</v>
      </c>
      <c r="J185" s="1">
        <f>IF(aoc_03_input[[#This Row],[CharAtPos2_3]]="#",1,0)</f>
        <v>0</v>
      </c>
      <c r="K185" s="1">
        <f t="shared" si="13"/>
        <v>1282</v>
      </c>
      <c r="L185" s="1" t="str">
        <f>MID(aoc_03_input[[#This Row],[Forest]],MOD(aoc_03_input[[#This Row],[Pos2_4]]-1,LEN(aoc_03_input[[#This Row],[Forest]]))+1,1)</f>
        <v>.</v>
      </c>
      <c r="M185" s="1">
        <f>IF(aoc_03_input[[#This Row],[CharAtPos2_4]]="#",1,0)</f>
        <v>0</v>
      </c>
      <c r="N185" s="1">
        <f>MOD(ROW(aoc_03_input[[#This Row],[CountRow2_5]])+1,2)</f>
        <v>0</v>
      </c>
      <c r="O185" s="1">
        <f t="shared" si="14"/>
        <v>92</v>
      </c>
      <c r="P185" s="1" t="str">
        <f>MID(aoc_03_input[[#This Row],[Forest]],MOD(aoc_03_input[[#This Row],[Pos2_5]]-1,LEN(aoc_03_input[[#This Row],[Forest]]))+1,1)</f>
        <v>.</v>
      </c>
      <c r="Q185" s="1">
        <f>IF(AND(aoc_03_input[[#This Row],[CountRow2_5]]=1,aoc_03_input[[#This Row],[CharAtPos2_5]]="#"),1,0)</f>
        <v>0</v>
      </c>
    </row>
    <row r="186" spans="1:17" x14ac:dyDescent="0.45">
      <c r="A186" s="1" t="s">
        <v>1570</v>
      </c>
      <c r="B186" s="1">
        <f t="shared" si="10"/>
        <v>553</v>
      </c>
      <c r="C186" s="1" t="str">
        <f>MID(aoc_03_input[[#This Row],[Forest]],MOD(aoc_03_input[[#This Row],[Pos1]]-1,LEN(aoc_03_input[[#This Row],[Forest]]))+1,1)</f>
        <v>.</v>
      </c>
      <c r="D186" s="1">
        <f>IF(aoc_03_input[[#This Row],[CharAtPos1]]="#",1,0)</f>
        <v>0</v>
      </c>
      <c r="E186" s="1">
        <f t="shared" si="11"/>
        <v>185</v>
      </c>
      <c r="F186" s="1" t="str">
        <f>MID(aoc_03_input[[#This Row],[Forest]],MOD(aoc_03_input[[#This Row],[Pos2_1]]-1,LEN(aoc_03_input[[#This Row],[Forest]]))+1,1)</f>
        <v>#</v>
      </c>
      <c r="G186" s="1">
        <f>IF(aoc_03_input[[#This Row],[CharAtPos2_1]]="#",1,0)</f>
        <v>1</v>
      </c>
      <c r="H186" s="1">
        <f t="shared" si="12"/>
        <v>921</v>
      </c>
      <c r="I186" s="1" t="str">
        <f>MID(aoc_03_input[[#This Row],[Forest]],MOD(aoc_03_input[[#This Row],[Pos2_3]]-1,LEN(aoc_03_input[[#This Row],[Forest]]))+1,1)</f>
        <v>.</v>
      </c>
      <c r="J186" s="1">
        <f>IF(aoc_03_input[[#This Row],[CharAtPos2_3]]="#",1,0)</f>
        <v>0</v>
      </c>
      <c r="K186" s="1">
        <f t="shared" si="13"/>
        <v>1289</v>
      </c>
      <c r="L186" s="1" t="str">
        <f>MID(aoc_03_input[[#This Row],[Forest]],MOD(aoc_03_input[[#This Row],[Pos2_4]]-1,LEN(aoc_03_input[[#This Row],[Forest]]))+1,1)</f>
        <v>.</v>
      </c>
      <c r="M186" s="1">
        <f>IF(aoc_03_input[[#This Row],[CharAtPos2_4]]="#",1,0)</f>
        <v>0</v>
      </c>
      <c r="N186" s="1">
        <f>MOD(ROW(aoc_03_input[[#This Row],[CountRow2_5]])+1,2)</f>
        <v>1</v>
      </c>
      <c r="O186" s="1">
        <f t="shared" si="14"/>
        <v>93</v>
      </c>
      <c r="P186" s="1" t="str">
        <f>MID(aoc_03_input[[#This Row],[Forest]],MOD(aoc_03_input[[#This Row],[Pos2_5]]-1,LEN(aoc_03_input[[#This Row],[Forest]]))+1,1)</f>
        <v>.</v>
      </c>
      <c r="Q186" s="1">
        <f>IF(AND(aoc_03_input[[#This Row],[CountRow2_5]]=1,aoc_03_input[[#This Row],[CharAtPos2_5]]="#"),1,0)</f>
        <v>0</v>
      </c>
    </row>
    <row r="187" spans="1:17" x14ac:dyDescent="0.45">
      <c r="A187" s="1" t="s">
        <v>1571</v>
      </c>
      <c r="B187" s="1">
        <f t="shared" si="10"/>
        <v>556</v>
      </c>
      <c r="C187" s="1" t="str">
        <f>MID(aoc_03_input[[#This Row],[Forest]],MOD(aoc_03_input[[#This Row],[Pos1]]-1,LEN(aoc_03_input[[#This Row],[Forest]]))+1,1)</f>
        <v>.</v>
      </c>
      <c r="D187" s="1">
        <f>IF(aoc_03_input[[#This Row],[CharAtPos1]]="#",1,0)</f>
        <v>0</v>
      </c>
      <c r="E187" s="1">
        <f t="shared" si="11"/>
        <v>186</v>
      </c>
      <c r="F187" s="1" t="str">
        <f>MID(aoc_03_input[[#This Row],[Forest]],MOD(aoc_03_input[[#This Row],[Pos2_1]]-1,LEN(aoc_03_input[[#This Row],[Forest]]))+1,1)</f>
        <v>.</v>
      </c>
      <c r="G187" s="1">
        <f>IF(aoc_03_input[[#This Row],[CharAtPos2_1]]="#",1,0)</f>
        <v>0</v>
      </c>
      <c r="H187" s="1">
        <f t="shared" si="12"/>
        <v>926</v>
      </c>
      <c r="I187" s="1" t="str">
        <f>MID(aoc_03_input[[#This Row],[Forest]],MOD(aoc_03_input[[#This Row],[Pos2_3]]-1,LEN(aoc_03_input[[#This Row],[Forest]]))+1,1)</f>
        <v>.</v>
      </c>
      <c r="J187" s="1">
        <f>IF(aoc_03_input[[#This Row],[CharAtPos2_3]]="#",1,0)</f>
        <v>0</v>
      </c>
      <c r="K187" s="1">
        <f t="shared" si="13"/>
        <v>1296</v>
      </c>
      <c r="L187" s="1" t="str">
        <f>MID(aoc_03_input[[#This Row],[Forest]],MOD(aoc_03_input[[#This Row],[Pos2_4]]-1,LEN(aoc_03_input[[#This Row],[Forest]]))+1,1)</f>
        <v>#</v>
      </c>
      <c r="M187" s="1">
        <f>IF(aoc_03_input[[#This Row],[CharAtPos2_4]]="#",1,0)</f>
        <v>1</v>
      </c>
      <c r="N187" s="1">
        <f>MOD(ROW(aoc_03_input[[#This Row],[CountRow2_5]])+1,2)</f>
        <v>0</v>
      </c>
      <c r="O187" s="1">
        <f t="shared" si="14"/>
        <v>93</v>
      </c>
      <c r="P187" s="1" t="str">
        <f>MID(aoc_03_input[[#This Row],[Forest]],MOD(aoc_03_input[[#This Row],[Pos2_5]]-1,LEN(aoc_03_input[[#This Row],[Forest]]))+1,1)</f>
        <v>.</v>
      </c>
      <c r="Q187" s="1">
        <f>IF(AND(aoc_03_input[[#This Row],[CountRow2_5]]=1,aoc_03_input[[#This Row],[CharAtPos2_5]]="#"),1,0)</f>
        <v>0</v>
      </c>
    </row>
    <row r="188" spans="1:17" x14ac:dyDescent="0.45">
      <c r="A188" s="1" t="s">
        <v>1572</v>
      </c>
      <c r="B188" s="1">
        <f t="shared" si="10"/>
        <v>559</v>
      </c>
      <c r="C188" s="1" t="str">
        <f>MID(aoc_03_input[[#This Row],[Forest]],MOD(aoc_03_input[[#This Row],[Pos1]]-1,LEN(aoc_03_input[[#This Row],[Forest]]))+1,1)</f>
        <v>.</v>
      </c>
      <c r="D188" s="1">
        <f>IF(aoc_03_input[[#This Row],[CharAtPos1]]="#",1,0)</f>
        <v>0</v>
      </c>
      <c r="E188" s="1">
        <f t="shared" si="11"/>
        <v>187</v>
      </c>
      <c r="F188" s="1" t="str">
        <f>MID(aoc_03_input[[#This Row],[Forest]],MOD(aoc_03_input[[#This Row],[Pos2_1]]-1,LEN(aoc_03_input[[#This Row],[Forest]]))+1,1)</f>
        <v>.</v>
      </c>
      <c r="G188" s="1">
        <f>IF(aoc_03_input[[#This Row],[CharAtPos2_1]]="#",1,0)</f>
        <v>0</v>
      </c>
      <c r="H188" s="1">
        <f t="shared" si="12"/>
        <v>931</v>
      </c>
      <c r="I188" s="1" t="str">
        <f>MID(aoc_03_input[[#This Row],[Forest]],MOD(aoc_03_input[[#This Row],[Pos2_3]]-1,LEN(aoc_03_input[[#This Row],[Forest]]))+1,1)</f>
        <v>.</v>
      </c>
      <c r="J188" s="1">
        <f>IF(aoc_03_input[[#This Row],[CharAtPos2_3]]="#",1,0)</f>
        <v>0</v>
      </c>
      <c r="K188" s="1">
        <f t="shared" si="13"/>
        <v>1303</v>
      </c>
      <c r="L188" s="1" t="str">
        <f>MID(aoc_03_input[[#This Row],[Forest]],MOD(aoc_03_input[[#This Row],[Pos2_4]]-1,LEN(aoc_03_input[[#This Row],[Forest]]))+1,1)</f>
        <v>.</v>
      </c>
      <c r="M188" s="1">
        <f>IF(aoc_03_input[[#This Row],[CharAtPos2_4]]="#",1,0)</f>
        <v>0</v>
      </c>
      <c r="N188" s="1">
        <f>MOD(ROW(aoc_03_input[[#This Row],[CountRow2_5]])+1,2)</f>
        <v>1</v>
      </c>
      <c r="O188" s="1">
        <f t="shared" si="14"/>
        <v>94</v>
      </c>
      <c r="P188" s="1" t="str">
        <f>MID(aoc_03_input[[#This Row],[Forest]],MOD(aoc_03_input[[#This Row],[Pos2_5]]-1,LEN(aoc_03_input[[#This Row],[Forest]]))+1,1)</f>
        <v>.</v>
      </c>
      <c r="Q188" s="1">
        <f>IF(AND(aoc_03_input[[#This Row],[CountRow2_5]]=1,aoc_03_input[[#This Row],[CharAtPos2_5]]="#"),1,0)</f>
        <v>0</v>
      </c>
    </row>
    <row r="189" spans="1:17" x14ac:dyDescent="0.45">
      <c r="A189" s="1" t="s">
        <v>1573</v>
      </c>
      <c r="B189" s="1">
        <f t="shared" si="10"/>
        <v>562</v>
      </c>
      <c r="C189" s="1" t="str">
        <f>MID(aoc_03_input[[#This Row],[Forest]],MOD(aoc_03_input[[#This Row],[Pos1]]-1,LEN(aoc_03_input[[#This Row],[Forest]]))+1,1)</f>
        <v>#</v>
      </c>
      <c r="D189" s="1">
        <f>IF(aoc_03_input[[#This Row],[CharAtPos1]]="#",1,0)</f>
        <v>1</v>
      </c>
      <c r="E189" s="1">
        <f t="shared" si="11"/>
        <v>188</v>
      </c>
      <c r="F189" s="1" t="str">
        <f>MID(aoc_03_input[[#This Row],[Forest]],MOD(aoc_03_input[[#This Row],[Pos2_1]]-1,LEN(aoc_03_input[[#This Row],[Forest]]))+1,1)</f>
        <v>.</v>
      </c>
      <c r="G189" s="1">
        <f>IF(aoc_03_input[[#This Row],[CharAtPos2_1]]="#",1,0)</f>
        <v>0</v>
      </c>
      <c r="H189" s="1">
        <f t="shared" si="12"/>
        <v>936</v>
      </c>
      <c r="I189" s="1" t="str">
        <f>MID(aoc_03_input[[#This Row],[Forest]],MOD(aoc_03_input[[#This Row],[Pos2_3]]-1,LEN(aoc_03_input[[#This Row],[Forest]]))+1,1)</f>
        <v>.</v>
      </c>
      <c r="J189" s="1">
        <f>IF(aoc_03_input[[#This Row],[CharAtPos2_3]]="#",1,0)</f>
        <v>0</v>
      </c>
      <c r="K189" s="1">
        <f t="shared" si="13"/>
        <v>1310</v>
      </c>
      <c r="L189" s="1" t="str">
        <f>MID(aoc_03_input[[#This Row],[Forest]],MOD(aoc_03_input[[#This Row],[Pos2_4]]-1,LEN(aoc_03_input[[#This Row],[Forest]]))+1,1)</f>
        <v>.</v>
      </c>
      <c r="M189" s="1">
        <f>IF(aoc_03_input[[#This Row],[CharAtPos2_4]]="#",1,0)</f>
        <v>0</v>
      </c>
      <c r="N189" s="1">
        <f>MOD(ROW(aoc_03_input[[#This Row],[CountRow2_5]])+1,2)</f>
        <v>0</v>
      </c>
      <c r="O189" s="1">
        <f t="shared" si="14"/>
        <v>94</v>
      </c>
      <c r="P189" s="1" t="str">
        <f>MID(aoc_03_input[[#This Row],[Forest]],MOD(aoc_03_input[[#This Row],[Pos2_5]]-1,LEN(aoc_03_input[[#This Row],[Forest]]))+1,1)</f>
        <v>.</v>
      </c>
      <c r="Q189" s="1">
        <f>IF(AND(aoc_03_input[[#This Row],[CountRow2_5]]=1,aoc_03_input[[#This Row],[CharAtPos2_5]]="#"),1,0)</f>
        <v>0</v>
      </c>
    </row>
    <row r="190" spans="1:17" x14ac:dyDescent="0.45">
      <c r="A190" s="1" t="s">
        <v>1574</v>
      </c>
      <c r="B190" s="1">
        <f t="shared" si="10"/>
        <v>565</v>
      </c>
      <c r="C190" s="1" t="str">
        <f>MID(aoc_03_input[[#This Row],[Forest]],MOD(aoc_03_input[[#This Row],[Pos1]]-1,LEN(aoc_03_input[[#This Row],[Forest]]))+1,1)</f>
        <v>#</v>
      </c>
      <c r="D190" s="1">
        <f>IF(aoc_03_input[[#This Row],[CharAtPos1]]="#",1,0)</f>
        <v>1</v>
      </c>
      <c r="E190" s="1">
        <f t="shared" si="11"/>
        <v>189</v>
      </c>
      <c r="F190" s="1" t="str">
        <f>MID(aoc_03_input[[#This Row],[Forest]],MOD(aoc_03_input[[#This Row],[Pos2_1]]-1,LEN(aoc_03_input[[#This Row],[Forest]]))+1,1)</f>
        <v>.</v>
      </c>
      <c r="G190" s="1">
        <f>IF(aoc_03_input[[#This Row],[CharAtPos2_1]]="#",1,0)</f>
        <v>0</v>
      </c>
      <c r="H190" s="1">
        <f t="shared" si="12"/>
        <v>941</v>
      </c>
      <c r="I190" s="1" t="str">
        <f>MID(aoc_03_input[[#This Row],[Forest]],MOD(aoc_03_input[[#This Row],[Pos2_3]]-1,LEN(aoc_03_input[[#This Row],[Forest]]))+1,1)</f>
        <v>#</v>
      </c>
      <c r="J190" s="1">
        <f>IF(aoc_03_input[[#This Row],[CharAtPos2_3]]="#",1,0)</f>
        <v>1</v>
      </c>
      <c r="K190" s="1">
        <f t="shared" si="13"/>
        <v>1317</v>
      </c>
      <c r="L190" s="1" t="str">
        <f>MID(aoc_03_input[[#This Row],[Forest]],MOD(aoc_03_input[[#This Row],[Pos2_4]]-1,LEN(aoc_03_input[[#This Row],[Forest]]))+1,1)</f>
        <v>.</v>
      </c>
      <c r="M190" s="1">
        <f>IF(aoc_03_input[[#This Row],[CharAtPos2_4]]="#",1,0)</f>
        <v>0</v>
      </c>
      <c r="N190" s="1">
        <f>MOD(ROW(aoc_03_input[[#This Row],[CountRow2_5]])+1,2)</f>
        <v>1</v>
      </c>
      <c r="O190" s="1">
        <f t="shared" si="14"/>
        <v>95</v>
      </c>
      <c r="P190" s="1" t="str">
        <f>MID(aoc_03_input[[#This Row],[Forest]],MOD(aoc_03_input[[#This Row],[Pos2_5]]-1,LEN(aoc_03_input[[#This Row],[Forest]]))+1,1)</f>
        <v>.</v>
      </c>
      <c r="Q190" s="1">
        <f>IF(AND(aoc_03_input[[#This Row],[CountRow2_5]]=1,aoc_03_input[[#This Row],[CharAtPos2_5]]="#"),1,0)</f>
        <v>0</v>
      </c>
    </row>
    <row r="191" spans="1:17" x14ac:dyDescent="0.45">
      <c r="A191" s="1" t="s">
        <v>1575</v>
      </c>
      <c r="B191" s="1">
        <f t="shared" si="10"/>
        <v>568</v>
      </c>
      <c r="C191" s="1" t="str">
        <f>MID(aoc_03_input[[#This Row],[Forest]],MOD(aoc_03_input[[#This Row],[Pos1]]-1,LEN(aoc_03_input[[#This Row],[Forest]]))+1,1)</f>
        <v>#</v>
      </c>
      <c r="D191" s="1">
        <f>IF(aoc_03_input[[#This Row],[CharAtPos1]]="#",1,0)</f>
        <v>1</v>
      </c>
      <c r="E191" s="1">
        <f t="shared" si="11"/>
        <v>190</v>
      </c>
      <c r="F191" s="1" t="str">
        <f>MID(aoc_03_input[[#This Row],[Forest]],MOD(aoc_03_input[[#This Row],[Pos2_1]]-1,LEN(aoc_03_input[[#This Row],[Forest]]))+1,1)</f>
        <v>.</v>
      </c>
      <c r="G191" s="1">
        <f>IF(aoc_03_input[[#This Row],[CharAtPos2_1]]="#",1,0)</f>
        <v>0</v>
      </c>
      <c r="H191" s="1">
        <f t="shared" si="12"/>
        <v>946</v>
      </c>
      <c r="I191" s="1" t="str">
        <f>MID(aoc_03_input[[#This Row],[Forest]],MOD(aoc_03_input[[#This Row],[Pos2_3]]-1,LEN(aoc_03_input[[#This Row],[Forest]]))+1,1)</f>
        <v>.</v>
      </c>
      <c r="J191" s="1">
        <f>IF(aoc_03_input[[#This Row],[CharAtPos2_3]]="#",1,0)</f>
        <v>0</v>
      </c>
      <c r="K191" s="1">
        <f t="shared" si="13"/>
        <v>1324</v>
      </c>
      <c r="L191" s="1" t="str">
        <f>MID(aoc_03_input[[#This Row],[Forest]],MOD(aoc_03_input[[#This Row],[Pos2_4]]-1,LEN(aoc_03_input[[#This Row],[Forest]]))+1,1)</f>
        <v>.</v>
      </c>
      <c r="M191" s="1">
        <f>IF(aoc_03_input[[#This Row],[CharAtPos2_4]]="#",1,0)</f>
        <v>0</v>
      </c>
      <c r="N191" s="1">
        <f>MOD(ROW(aoc_03_input[[#This Row],[CountRow2_5]])+1,2)</f>
        <v>0</v>
      </c>
      <c r="O191" s="1">
        <f t="shared" si="14"/>
        <v>95</v>
      </c>
      <c r="P191" s="1" t="str">
        <f>MID(aoc_03_input[[#This Row],[Forest]],MOD(aoc_03_input[[#This Row],[Pos2_5]]-1,LEN(aoc_03_input[[#This Row],[Forest]]))+1,1)</f>
        <v>.</v>
      </c>
      <c r="Q191" s="1">
        <f>IF(AND(aoc_03_input[[#This Row],[CountRow2_5]]=1,aoc_03_input[[#This Row],[CharAtPos2_5]]="#"),1,0)</f>
        <v>0</v>
      </c>
    </row>
    <row r="192" spans="1:17" x14ac:dyDescent="0.45">
      <c r="A192" s="1" t="s">
        <v>1576</v>
      </c>
      <c r="B192" s="1">
        <f t="shared" si="10"/>
        <v>571</v>
      </c>
      <c r="C192" s="1" t="str">
        <f>MID(aoc_03_input[[#This Row],[Forest]],MOD(aoc_03_input[[#This Row],[Pos1]]-1,LEN(aoc_03_input[[#This Row],[Forest]]))+1,1)</f>
        <v>.</v>
      </c>
      <c r="D192" s="1">
        <f>IF(aoc_03_input[[#This Row],[CharAtPos1]]="#",1,0)</f>
        <v>0</v>
      </c>
      <c r="E192" s="1">
        <f t="shared" si="11"/>
        <v>191</v>
      </c>
      <c r="F192" s="1" t="str">
        <f>MID(aoc_03_input[[#This Row],[Forest]],MOD(aoc_03_input[[#This Row],[Pos2_1]]-1,LEN(aoc_03_input[[#This Row],[Forest]]))+1,1)</f>
        <v>.</v>
      </c>
      <c r="G192" s="1">
        <f>IF(aoc_03_input[[#This Row],[CharAtPos2_1]]="#",1,0)</f>
        <v>0</v>
      </c>
      <c r="H192" s="1">
        <f t="shared" si="12"/>
        <v>951</v>
      </c>
      <c r="I192" s="1" t="str">
        <f>MID(aoc_03_input[[#This Row],[Forest]],MOD(aoc_03_input[[#This Row],[Pos2_3]]-1,LEN(aoc_03_input[[#This Row],[Forest]]))+1,1)</f>
        <v>.</v>
      </c>
      <c r="J192" s="1">
        <f>IF(aoc_03_input[[#This Row],[CharAtPos2_3]]="#",1,0)</f>
        <v>0</v>
      </c>
      <c r="K192" s="1">
        <f t="shared" si="13"/>
        <v>1331</v>
      </c>
      <c r="L192" s="1" t="str">
        <f>MID(aoc_03_input[[#This Row],[Forest]],MOD(aoc_03_input[[#This Row],[Pos2_4]]-1,LEN(aoc_03_input[[#This Row],[Forest]]))+1,1)</f>
        <v>.</v>
      </c>
      <c r="M192" s="1">
        <f>IF(aoc_03_input[[#This Row],[CharAtPos2_4]]="#",1,0)</f>
        <v>0</v>
      </c>
      <c r="N192" s="1">
        <f>MOD(ROW(aoc_03_input[[#This Row],[CountRow2_5]])+1,2)</f>
        <v>1</v>
      </c>
      <c r="O192" s="1">
        <f t="shared" si="14"/>
        <v>96</v>
      </c>
      <c r="P192" s="1" t="str">
        <f>MID(aoc_03_input[[#This Row],[Forest]],MOD(aoc_03_input[[#This Row],[Pos2_5]]-1,LEN(aoc_03_input[[#This Row],[Forest]]))+1,1)</f>
        <v>.</v>
      </c>
      <c r="Q192" s="1">
        <f>IF(AND(aoc_03_input[[#This Row],[CountRow2_5]]=1,aoc_03_input[[#This Row],[CharAtPos2_5]]="#"),1,0)</f>
        <v>0</v>
      </c>
    </row>
    <row r="193" spans="1:17" x14ac:dyDescent="0.45">
      <c r="A193" s="1" t="s">
        <v>1577</v>
      </c>
      <c r="B193" s="1">
        <f t="shared" si="10"/>
        <v>574</v>
      </c>
      <c r="C193" s="1" t="str">
        <f>MID(aoc_03_input[[#This Row],[Forest]],MOD(aoc_03_input[[#This Row],[Pos1]]-1,LEN(aoc_03_input[[#This Row],[Forest]]))+1,1)</f>
        <v>#</v>
      </c>
      <c r="D193" s="1">
        <f>IF(aoc_03_input[[#This Row],[CharAtPos1]]="#",1,0)</f>
        <v>1</v>
      </c>
      <c r="E193" s="1">
        <f t="shared" si="11"/>
        <v>192</v>
      </c>
      <c r="F193" s="1" t="str">
        <f>MID(aoc_03_input[[#This Row],[Forest]],MOD(aoc_03_input[[#This Row],[Pos2_1]]-1,LEN(aoc_03_input[[#This Row],[Forest]]))+1,1)</f>
        <v>.</v>
      </c>
      <c r="G193" s="1">
        <f>IF(aoc_03_input[[#This Row],[CharAtPos2_1]]="#",1,0)</f>
        <v>0</v>
      </c>
      <c r="H193" s="1">
        <f t="shared" si="12"/>
        <v>956</v>
      </c>
      <c r="I193" s="1" t="str">
        <f>MID(aoc_03_input[[#This Row],[Forest]],MOD(aoc_03_input[[#This Row],[Pos2_3]]-1,LEN(aoc_03_input[[#This Row],[Forest]]))+1,1)</f>
        <v>.</v>
      </c>
      <c r="J193" s="1">
        <f>IF(aoc_03_input[[#This Row],[CharAtPos2_3]]="#",1,0)</f>
        <v>0</v>
      </c>
      <c r="K193" s="1">
        <f t="shared" si="13"/>
        <v>1338</v>
      </c>
      <c r="L193" s="1" t="str">
        <f>MID(aoc_03_input[[#This Row],[Forest]],MOD(aoc_03_input[[#This Row],[Pos2_4]]-1,LEN(aoc_03_input[[#This Row],[Forest]]))+1,1)</f>
        <v>.</v>
      </c>
      <c r="M193" s="1">
        <f>IF(aoc_03_input[[#This Row],[CharAtPos2_4]]="#",1,0)</f>
        <v>0</v>
      </c>
      <c r="N193" s="1">
        <f>MOD(ROW(aoc_03_input[[#This Row],[CountRow2_5]])+1,2)</f>
        <v>0</v>
      </c>
      <c r="O193" s="1">
        <f t="shared" si="14"/>
        <v>96</v>
      </c>
      <c r="P193" s="1" t="str">
        <f>MID(aoc_03_input[[#This Row],[Forest]],MOD(aoc_03_input[[#This Row],[Pos2_5]]-1,LEN(aoc_03_input[[#This Row],[Forest]]))+1,1)</f>
        <v>.</v>
      </c>
      <c r="Q193" s="1">
        <f>IF(AND(aoc_03_input[[#This Row],[CountRow2_5]]=1,aoc_03_input[[#This Row],[CharAtPos2_5]]="#"),1,0)</f>
        <v>0</v>
      </c>
    </row>
    <row r="194" spans="1:17" x14ac:dyDescent="0.45">
      <c r="A194" s="1" t="s">
        <v>1578</v>
      </c>
      <c r="B194" s="1">
        <f t="shared" si="10"/>
        <v>577</v>
      </c>
      <c r="C194" s="1" t="str">
        <f>MID(aoc_03_input[[#This Row],[Forest]],MOD(aoc_03_input[[#This Row],[Pos1]]-1,LEN(aoc_03_input[[#This Row],[Forest]]))+1,1)</f>
        <v>.</v>
      </c>
      <c r="D194" s="1">
        <f>IF(aoc_03_input[[#This Row],[CharAtPos1]]="#",1,0)</f>
        <v>0</v>
      </c>
      <c r="E194" s="1">
        <f t="shared" si="11"/>
        <v>193</v>
      </c>
      <c r="F194" s="1" t="str">
        <f>MID(aoc_03_input[[#This Row],[Forest]],MOD(aoc_03_input[[#This Row],[Pos2_1]]-1,LEN(aoc_03_input[[#This Row],[Forest]]))+1,1)</f>
        <v>.</v>
      </c>
      <c r="G194" s="1">
        <f>IF(aoc_03_input[[#This Row],[CharAtPos2_1]]="#",1,0)</f>
        <v>0</v>
      </c>
      <c r="H194" s="1">
        <f t="shared" si="12"/>
        <v>961</v>
      </c>
      <c r="I194" s="1" t="str">
        <f>MID(aoc_03_input[[#This Row],[Forest]],MOD(aoc_03_input[[#This Row],[Pos2_3]]-1,LEN(aoc_03_input[[#This Row],[Forest]]))+1,1)</f>
        <v>.</v>
      </c>
      <c r="J194" s="1">
        <f>IF(aoc_03_input[[#This Row],[CharAtPos2_3]]="#",1,0)</f>
        <v>0</v>
      </c>
      <c r="K194" s="1">
        <f t="shared" si="13"/>
        <v>1345</v>
      </c>
      <c r="L194" s="1" t="str">
        <f>MID(aoc_03_input[[#This Row],[Forest]],MOD(aoc_03_input[[#This Row],[Pos2_4]]-1,LEN(aoc_03_input[[#This Row],[Forest]]))+1,1)</f>
        <v>.</v>
      </c>
      <c r="M194" s="1">
        <f>IF(aoc_03_input[[#This Row],[CharAtPos2_4]]="#",1,0)</f>
        <v>0</v>
      </c>
      <c r="N194" s="1">
        <f>MOD(ROW(aoc_03_input[[#This Row],[CountRow2_5]])+1,2)</f>
        <v>1</v>
      </c>
      <c r="O194" s="1">
        <f t="shared" si="14"/>
        <v>97</v>
      </c>
      <c r="P194" s="1" t="str">
        <f>MID(aoc_03_input[[#This Row],[Forest]],MOD(aoc_03_input[[#This Row],[Pos2_5]]-1,LEN(aoc_03_input[[#This Row],[Forest]]))+1,1)</f>
        <v>#</v>
      </c>
      <c r="Q194" s="1">
        <f>IF(AND(aoc_03_input[[#This Row],[CountRow2_5]]=1,aoc_03_input[[#This Row],[CharAtPos2_5]]="#"),1,0)</f>
        <v>1</v>
      </c>
    </row>
    <row r="195" spans="1:17" x14ac:dyDescent="0.45">
      <c r="A195" s="1" t="s">
        <v>1579</v>
      </c>
      <c r="B195" s="1">
        <f t="shared" si="10"/>
        <v>580</v>
      </c>
      <c r="C195" s="1" t="str">
        <f>MID(aoc_03_input[[#This Row],[Forest]],MOD(aoc_03_input[[#This Row],[Pos1]]-1,LEN(aoc_03_input[[#This Row],[Forest]]))+1,1)</f>
        <v>#</v>
      </c>
      <c r="D195" s="1">
        <f>IF(aoc_03_input[[#This Row],[CharAtPos1]]="#",1,0)</f>
        <v>1</v>
      </c>
      <c r="E195" s="1">
        <f t="shared" si="11"/>
        <v>194</v>
      </c>
      <c r="F195" s="1" t="str">
        <f>MID(aoc_03_input[[#This Row],[Forest]],MOD(aoc_03_input[[#This Row],[Pos2_1]]-1,LEN(aoc_03_input[[#This Row],[Forest]]))+1,1)</f>
        <v>#</v>
      </c>
      <c r="G195" s="1">
        <f>IF(aoc_03_input[[#This Row],[CharAtPos2_1]]="#",1,0)</f>
        <v>1</v>
      </c>
      <c r="H195" s="1">
        <f t="shared" si="12"/>
        <v>966</v>
      </c>
      <c r="I195" s="1" t="str">
        <f>MID(aoc_03_input[[#This Row],[Forest]],MOD(aoc_03_input[[#This Row],[Pos2_3]]-1,LEN(aoc_03_input[[#This Row],[Forest]]))+1,1)</f>
        <v>.</v>
      </c>
      <c r="J195" s="1">
        <f>IF(aoc_03_input[[#This Row],[CharAtPos2_3]]="#",1,0)</f>
        <v>0</v>
      </c>
      <c r="K195" s="1">
        <f t="shared" si="13"/>
        <v>1352</v>
      </c>
      <c r="L195" s="1" t="str">
        <f>MID(aoc_03_input[[#This Row],[Forest]],MOD(aoc_03_input[[#This Row],[Pos2_4]]-1,LEN(aoc_03_input[[#This Row],[Forest]]))+1,1)</f>
        <v>#</v>
      </c>
      <c r="M195" s="1">
        <f>IF(aoc_03_input[[#This Row],[CharAtPos2_4]]="#",1,0)</f>
        <v>1</v>
      </c>
      <c r="N195" s="1">
        <f>MOD(ROW(aoc_03_input[[#This Row],[CountRow2_5]])+1,2)</f>
        <v>0</v>
      </c>
      <c r="O195" s="1">
        <f t="shared" si="14"/>
        <v>97</v>
      </c>
      <c r="P195" s="1" t="str">
        <f>MID(aoc_03_input[[#This Row],[Forest]],MOD(aoc_03_input[[#This Row],[Pos2_5]]-1,LEN(aoc_03_input[[#This Row],[Forest]]))+1,1)</f>
        <v>.</v>
      </c>
      <c r="Q195" s="1">
        <f>IF(AND(aoc_03_input[[#This Row],[CountRow2_5]]=1,aoc_03_input[[#This Row],[CharAtPos2_5]]="#"),1,0)</f>
        <v>0</v>
      </c>
    </row>
    <row r="196" spans="1:17" x14ac:dyDescent="0.45">
      <c r="A196" s="1" t="s">
        <v>1580</v>
      </c>
      <c r="B196" s="1">
        <f t="shared" ref="B196:B259" si="15">B195+3</f>
        <v>583</v>
      </c>
      <c r="C196" s="1" t="str">
        <f>MID(aoc_03_input[[#This Row],[Forest]],MOD(aoc_03_input[[#This Row],[Pos1]]-1,LEN(aoc_03_input[[#This Row],[Forest]]))+1,1)</f>
        <v>#</v>
      </c>
      <c r="D196" s="1">
        <f>IF(aoc_03_input[[#This Row],[CharAtPos1]]="#",1,0)</f>
        <v>1</v>
      </c>
      <c r="E196" s="1">
        <f t="shared" ref="E196:E259" si="16">E195+1</f>
        <v>195</v>
      </c>
      <c r="F196" s="1" t="str">
        <f>MID(aoc_03_input[[#This Row],[Forest]],MOD(aoc_03_input[[#This Row],[Pos2_1]]-1,LEN(aoc_03_input[[#This Row],[Forest]]))+1,1)</f>
        <v>#</v>
      </c>
      <c r="G196" s="1">
        <f>IF(aoc_03_input[[#This Row],[CharAtPos2_1]]="#",1,0)</f>
        <v>1</v>
      </c>
      <c r="H196" s="1">
        <f t="shared" ref="H196:H259" si="17">H195+5</f>
        <v>971</v>
      </c>
      <c r="I196" s="1" t="str">
        <f>MID(aoc_03_input[[#This Row],[Forest]],MOD(aoc_03_input[[#This Row],[Pos2_3]]-1,LEN(aoc_03_input[[#This Row],[Forest]]))+1,1)</f>
        <v>.</v>
      </c>
      <c r="J196" s="1">
        <f>IF(aoc_03_input[[#This Row],[CharAtPos2_3]]="#",1,0)</f>
        <v>0</v>
      </c>
      <c r="K196" s="1">
        <f t="shared" ref="K196:K259" si="18">K195+7</f>
        <v>1359</v>
      </c>
      <c r="L196" s="1" t="str">
        <f>MID(aoc_03_input[[#This Row],[Forest]],MOD(aoc_03_input[[#This Row],[Pos2_4]]-1,LEN(aoc_03_input[[#This Row],[Forest]]))+1,1)</f>
        <v>.</v>
      </c>
      <c r="M196" s="1">
        <f>IF(aoc_03_input[[#This Row],[CharAtPos2_4]]="#",1,0)</f>
        <v>0</v>
      </c>
      <c r="N196" s="1">
        <f>MOD(ROW(aoc_03_input[[#This Row],[CountRow2_5]])+1,2)</f>
        <v>1</v>
      </c>
      <c r="O196" s="1">
        <f t="shared" si="14"/>
        <v>98</v>
      </c>
      <c r="P196" s="1" t="str">
        <f>MID(aoc_03_input[[#This Row],[Forest]],MOD(aoc_03_input[[#This Row],[Pos2_5]]-1,LEN(aoc_03_input[[#This Row],[Forest]]))+1,1)</f>
        <v>.</v>
      </c>
      <c r="Q196" s="1">
        <f>IF(AND(aoc_03_input[[#This Row],[CountRow2_5]]=1,aoc_03_input[[#This Row],[CharAtPos2_5]]="#"),1,0)</f>
        <v>0</v>
      </c>
    </row>
    <row r="197" spans="1:17" x14ac:dyDescent="0.45">
      <c r="A197" s="1" t="s">
        <v>1581</v>
      </c>
      <c r="B197" s="1">
        <f t="shared" si="15"/>
        <v>586</v>
      </c>
      <c r="C197" s="1" t="str">
        <f>MID(aoc_03_input[[#This Row],[Forest]],MOD(aoc_03_input[[#This Row],[Pos1]]-1,LEN(aoc_03_input[[#This Row],[Forest]]))+1,1)</f>
        <v>.</v>
      </c>
      <c r="D197" s="1">
        <f>IF(aoc_03_input[[#This Row],[CharAtPos1]]="#",1,0)</f>
        <v>0</v>
      </c>
      <c r="E197" s="1">
        <f t="shared" si="16"/>
        <v>196</v>
      </c>
      <c r="F197" s="1" t="str">
        <f>MID(aoc_03_input[[#This Row],[Forest]],MOD(aoc_03_input[[#This Row],[Pos2_1]]-1,LEN(aoc_03_input[[#This Row],[Forest]]))+1,1)</f>
        <v>.</v>
      </c>
      <c r="G197" s="1">
        <f>IF(aoc_03_input[[#This Row],[CharAtPos2_1]]="#",1,0)</f>
        <v>0</v>
      </c>
      <c r="H197" s="1">
        <f t="shared" si="17"/>
        <v>976</v>
      </c>
      <c r="I197" s="1" t="str">
        <f>MID(aoc_03_input[[#This Row],[Forest]],MOD(aoc_03_input[[#This Row],[Pos2_3]]-1,LEN(aoc_03_input[[#This Row],[Forest]]))+1,1)</f>
        <v>#</v>
      </c>
      <c r="J197" s="1">
        <f>IF(aoc_03_input[[#This Row],[CharAtPos2_3]]="#",1,0)</f>
        <v>1</v>
      </c>
      <c r="K197" s="1">
        <f t="shared" si="18"/>
        <v>1366</v>
      </c>
      <c r="L197" s="1" t="str">
        <f>MID(aoc_03_input[[#This Row],[Forest]],MOD(aoc_03_input[[#This Row],[Pos2_4]]-1,LEN(aoc_03_input[[#This Row],[Forest]]))+1,1)</f>
        <v>#</v>
      </c>
      <c r="M197" s="1">
        <f>IF(aoc_03_input[[#This Row],[CharAtPos2_4]]="#",1,0)</f>
        <v>1</v>
      </c>
      <c r="N197" s="1">
        <f>MOD(ROW(aoc_03_input[[#This Row],[CountRow2_5]])+1,2)</f>
        <v>0</v>
      </c>
      <c r="O197" s="1">
        <f t="shared" si="14"/>
        <v>98</v>
      </c>
      <c r="P197" s="1" t="str">
        <f>MID(aoc_03_input[[#This Row],[Forest]],MOD(aoc_03_input[[#This Row],[Pos2_5]]-1,LEN(aoc_03_input[[#This Row],[Forest]]))+1,1)</f>
        <v>.</v>
      </c>
      <c r="Q197" s="1">
        <f>IF(AND(aoc_03_input[[#This Row],[CountRow2_5]]=1,aoc_03_input[[#This Row],[CharAtPos2_5]]="#"),1,0)</f>
        <v>0</v>
      </c>
    </row>
    <row r="198" spans="1:17" x14ac:dyDescent="0.45">
      <c r="A198" s="1" t="s">
        <v>1582</v>
      </c>
      <c r="B198" s="1">
        <f t="shared" si="15"/>
        <v>589</v>
      </c>
      <c r="C198" s="1" t="str">
        <f>MID(aoc_03_input[[#This Row],[Forest]],MOD(aoc_03_input[[#This Row],[Pos1]]-1,LEN(aoc_03_input[[#This Row],[Forest]]))+1,1)</f>
        <v>#</v>
      </c>
      <c r="D198" s="1">
        <f>IF(aoc_03_input[[#This Row],[CharAtPos1]]="#",1,0)</f>
        <v>1</v>
      </c>
      <c r="E198" s="1">
        <f t="shared" si="16"/>
        <v>197</v>
      </c>
      <c r="F198" s="1" t="str">
        <f>MID(aoc_03_input[[#This Row],[Forest]],MOD(aoc_03_input[[#This Row],[Pos2_1]]-1,LEN(aoc_03_input[[#This Row],[Forest]]))+1,1)</f>
        <v>.</v>
      </c>
      <c r="G198" s="1">
        <f>IF(aoc_03_input[[#This Row],[CharAtPos2_1]]="#",1,0)</f>
        <v>0</v>
      </c>
      <c r="H198" s="1">
        <f t="shared" si="17"/>
        <v>981</v>
      </c>
      <c r="I198" s="1" t="str">
        <f>MID(aoc_03_input[[#This Row],[Forest]],MOD(aoc_03_input[[#This Row],[Pos2_3]]-1,LEN(aoc_03_input[[#This Row],[Forest]]))+1,1)</f>
        <v>.</v>
      </c>
      <c r="J198" s="1">
        <f>IF(aoc_03_input[[#This Row],[CharAtPos2_3]]="#",1,0)</f>
        <v>0</v>
      </c>
      <c r="K198" s="1">
        <f t="shared" si="18"/>
        <v>1373</v>
      </c>
      <c r="L198" s="1" t="str">
        <f>MID(aoc_03_input[[#This Row],[Forest]],MOD(aoc_03_input[[#This Row],[Pos2_4]]-1,LEN(aoc_03_input[[#This Row],[Forest]]))+1,1)</f>
        <v>#</v>
      </c>
      <c r="M198" s="1">
        <f>IF(aoc_03_input[[#This Row],[CharAtPos2_4]]="#",1,0)</f>
        <v>1</v>
      </c>
      <c r="N198" s="1">
        <f>MOD(ROW(aoc_03_input[[#This Row],[CountRow2_5]])+1,2)</f>
        <v>1</v>
      </c>
      <c r="O198" s="1">
        <f t="shared" ref="O198:O261" si="19">O196+1</f>
        <v>99</v>
      </c>
      <c r="P198" s="1" t="str">
        <f>MID(aoc_03_input[[#This Row],[Forest]],MOD(aoc_03_input[[#This Row],[Pos2_5]]-1,LEN(aoc_03_input[[#This Row],[Forest]]))+1,1)</f>
        <v>.</v>
      </c>
      <c r="Q198" s="1">
        <f>IF(AND(aoc_03_input[[#This Row],[CountRow2_5]]=1,aoc_03_input[[#This Row],[CharAtPos2_5]]="#"),1,0)</f>
        <v>0</v>
      </c>
    </row>
    <row r="199" spans="1:17" x14ac:dyDescent="0.45">
      <c r="A199" s="1" t="s">
        <v>1583</v>
      </c>
      <c r="B199" s="1">
        <f t="shared" si="15"/>
        <v>592</v>
      </c>
      <c r="C199" s="1" t="str">
        <f>MID(aoc_03_input[[#This Row],[Forest]],MOD(aoc_03_input[[#This Row],[Pos1]]-1,LEN(aoc_03_input[[#This Row],[Forest]]))+1,1)</f>
        <v>.</v>
      </c>
      <c r="D199" s="1">
        <f>IF(aoc_03_input[[#This Row],[CharAtPos1]]="#",1,0)</f>
        <v>0</v>
      </c>
      <c r="E199" s="1">
        <f t="shared" si="16"/>
        <v>198</v>
      </c>
      <c r="F199" s="1" t="str">
        <f>MID(aoc_03_input[[#This Row],[Forest]],MOD(aoc_03_input[[#This Row],[Pos2_1]]-1,LEN(aoc_03_input[[#This Row],[Forest]]))+1,1)</f>
        <v>#</v>
      </c>
      <c r="G199" s="1">
        <f>IF(aoc_03_input[[#This Row],[CharAtPos2_1]]="#",1,0)</f>
        <v>1</v>
      </c>
      <c r="H199" s="1">
        <f t="shared" si="17"/>
        <v>986</v>
      </c>
      <c r="I199" s="1" t="str">
        <f>MID(aoc_03_input[[#This Row],[Forest]],MOD(aoc_03_input[[#This Row],[Pos2_3]]-1,LEN(aoc_03_input[[#This Row],[Forest]]))+1,1)</f>
        <v>.</v>
      </c>
      <c r="J199" s="1">
        <f>IF(aoc_03_input[[#This Row],[CharAtPos2_3]]="#",1,0)</f>
        <v>0</v>
      </c>
      <c r="K199" s="1">
        <f t="shared" si="18"/>
        <v>1380</v>
      </c>
      <c r="L199" s="1" t="str">
        <f>MID(aoc_03_input[[#This Row],[Forest]],MOD(aoc_03_input[[#This Row],[Pos2_4]]-1,LEN(aoc_03_input[[#This Row],[Forest]]))+1,1)</f>
        <v>.</v>
      </c>
      <c r="M199" s="1">
        <f>IF(aoc_03_input[[#This Row],[CharAtPos2_4]]="#",1,0)</f>
        <v>0</v>
      </c>
      <c r="N199" s="1">
        <f>MOD(ROW(aoc_03_input[[#This Row],[CountRow2_5]])+1,2)</f>
        <v>0</v>
      </c>
      <c r="O199" s="1">
        <f t="shared" si="19"/>
        <v>99</v>
      </c>
      <c r="P199" s="1" t="str">
        <f>MID(aoc_03_input[[#This Row],[Forest]],MOD(aoc_03_input[[#This Row],[Pos2_5]]-1,LEN(aoc_03_input[[#This Row],[Forest]]))+1,1)</f>
        <v>.</v>
      </c>
      <c r="Q199" s="1">
        <f>IF(AND(aoc_03_input[[#This Row],[CountRow2_5]]=1,aoc_03_input[[#This Row],[CharAtPos2_5]]="#"),1,0)</f>
        <v>0</v>
      </c>
    </row>
    <row r="200" spans="1:17" x14ac:dyDescent="0.45">
      <c r="A200" s="1" t="s">
        <v>1584</v>
      </c>
      <c r="B200" s="1">
        <f t="shared" si="15"/>
        <v>595</v>
      </c>
      <c r="C200" s="1" t="str">
        <f>MID(aoc_03_input[[#This Row],[Forest]],MOD(aoc_03_input[[#This Row],[Pos1]]-1,LEN(aoc_03_input[[#This Row],[Forest]]))+1,1)</f>
        <v>.</v>
      </c>
      <c r="D200" s="1">
        <f>IF(aoc_03_input[[#This Row],[CharAtPos1]]="#",1,0)</f>
        <v>0</v>
      </c>
      <c r="E200" s="1">
        <f t="shared" si="16"/>
        <v>199</v>
      </c>
      <c r="F200" s="1" t="str">
        <f>MID(aoc_03_input[[#This Row],[Forest]],MOD(aoc_03_input[[#This Row],[Pos2_1]]-1,LEN(aoc_03_input[[#This Row],[Forest]]))+1,1)</f>
        <v>#</v>
      </c>
      <c r="G200" s="1">
        <f>IF(aoc_03_input[[#This Row],[CharAtPos2_1]]="#",1,0)</f>
        <v>1</v>
      </c>
      <c r="H200" s="1">
        <f t="shared" si="17"/>
        <v>991</v>
      </c>
      <c r="I200" s="1" t="str">
        <f>MID(aoc_03_input[[#This Row],[Forest]],MOD(aoc_03_input[[#This Row],[Pos2_3]]-1,LEN(aoc_03_input[[#This Row],[Forest]]))+1,1)</f>
        <v>#</v>
      </c>
      <c r="J200" s="1">
        <f>IF(aoc_03_input[[#This Row],[CharAtPos2_3]]="#",1,0)</f>
        <v>1</v>
      </c>
      <c r="K200" s="1">
        <f t="shared" si="18"/>
        <v>1387</v>
      </c>
      <c r="L200" s="1" t="str">
        <f>MID(aoc_03_input[[#This Row],[Forest]],MOD(aoc_03_input[[#This Row],[Pos2_4]]-1,LEN(aoc_03_input[[#This Row],[Forest]]))+1,1)</f>
        <v>.</v>
      </c>
      <c r="M200" s="1">
        <f>IF(aoc_03_input[[#This Row],[CharAtPos2_4]]="#",1,0)</f>
        <v>0</v>
      </c>
      <c r="N200" s="1">
        <f>MOD(ROW(aoc_03_input[[#This Row],[CountRow2_5]])+1,2)</f>
        <v>1</v>
      </c>
      <c r="O200" s="1">
        <f t="shared" si="19"/>
        <v>100</v>
      </c>
      <c r="P200" s="1" t="str">
        <f>MID(aoc_03_input[[#This Row],[Forest]],MOD(aoc_03_input[[#This Row],[Pos2_5]]-1,LEN(aoc_03_input[[#This Row],[Forest]]))+1,1)</f>
        <v>#</v>
      </c>
      <c r="Q200" s="1">
        <f>IF(AND(aoc_03_input[[#This Row],[CountRow2_5]]=1,aoc_03_input[[#This Row],[CharAtPos2_5]]="#"),1,0)</f>
        <v>1</v>
      </c>
    </row>
    <row r="201" spans="1:17" x14ac:dyDescent="0.45">
      <c r="A201" s="1" t="s">
        <v>1585</v>
      </c>
      <c r="B201" s="1">
        <f t="shared" si="15"/>
        <v>598</v>
      </c>
      <c r="C201" s="1" t="str">
        <f>MID(aoc_03_input[[#This Row],[Forest]],MOD(aoc_03_input[[#This Row],[Pos1]]-1,LEN(aoc_03_input[[#This Row],[Forest]]))+1,1)</f>
        <v>.</v>
      </c>
      <c r="D201" s="1">
        <f>IF(aoc_03_input[[#This Row],[CharAtPos1]]="#",1,0)</f>
        <v>0</v>
      </c>
      <c r="E201" s="1">
        <f t="shared" si="16"/>
        <v>200</v>
      </c>
      <c r="F201" s="1" t="str">
        <f>MID(aoc_03_input[[#This Row],[Forest]],MOD(aoc_03_input[[#This Row],[Pos2_1]]-1,LEN(aoc_03_input[[#This Row],[Forest]]))+1,1)</f>
        <v>#</v>
      </c>
      <c r="G201" s="1">
        <f>IF(aoc_03_input[[#This Row],[CharAtPos2_1]]="#",1,0)</f>
        <v>1</v>
      </c>
      <c r="H201" s="1">
        <f t="shared" si="17"/>
        <v>996</v>
      </c>
      <c r="I201" s="1" t="str">
        <f>MID(aoc_03_input[[#This Row],[Forest]],MOD(aoc_03_input[[#This Row],[Pos2_3]]-1,LEN(aoc_03_input[[#This Row],[Forest]]))+1,1)</f>
        <v>.</v>
      </c>
      <c r="J201" s="1">
        <f>IF(aoc_03_input[[#This Row],[CharAtPos2_3]]="#",1,0)</f>
        <v>0</v>
      </c>
      <c r="K201" s="1">
        <f t="shared" si="18"/>
        <v>1394</v>
      </c>
      <c r="L201" s="1" t="str">
        <f>MID(aoc_03_input[[#This Row],[Forest]],MOD(aoc_03_input[[#This Row],[Pos2_4]]-1,LEN(aoc_03_input[[#This Row],[Forest]]))+1,1)</f>
        <v>.</v>
      </c>
      <c r="M201" s="1">
        <f>IF(aoc_03_input[[#This Row],[CharAtPos2_4]]="#",1,0)</f>
        <v>0</v>
      </c>
      <c r="N201" s="1">
        <f>MOD(ROW(aoc_03_input[[#This Row],[CountRow2_5]])+1,2)</f>
        <v>0</v>
      </c>
      <c r="O201" s="1">
        <f t="shared" si="19"/>
        <v>100</v>
      </c>
      <c r="P201" s="1" t="str">
        <f>MID(aoc_03_input[[#This Row],[Forest]],MOD(aoc_03_input[[#This Row],[Pos2_5]]-1,LEN(aoc_03_input[[#This Row],[Forest]]))+1,1)</f>
        <v>#</v>
      </c>
      <c r="Q201" s="1">
        <f>IF(AND(aoc_03_input[[#This Row],[CountRow2_5]]=1,aoc_03_input[[#This Row],[CharAtPos2_5]]="#"),1,0)</f>
        <v>0</v>
      </c>
    </row>
    <row r="202" spans="1:17" x14ac:dyDescent="0.45">
      <c r="A202" s="1" t="s">
        <v>1586</v>
      </c>
      <c r="B202" s="1">
        <f t="shared" si="15"/>
        <v>601</v>
      </c>
      <c r="C202" s="1" t="str">
        <f>MID(aoc_03_input[[#This Row],[Forest]],MOD(aoc_03_input[[#This Row],[Pos1]]-1,LEN(aoc_03_input[[#This Row],[Forest]]))+1,1)</f>
        <v>#</v>
      </c>
      <c r="D202" s="1">
        <f>IF(aoc_03_input[[#This Row],[CharAtPos1]]="#",1,0)</f>
        <v>1</v>
      </c>
      <c r="E202" s="1">
        <f t="shared" si="16"/>
        <v>201</v>
      </c>
      <c r="F202" s="1" t="str">
        <f>MID(aoc_03_input[[#This Row],[Forest]],MOD(aoc_03_input[[#This Row],[Pos2_1]]-1,LEN(aoc_03_input[[#This Row],[Forest]]))+1,1)</f>
        <v>.</v>
      </c>
      <c r="G202" s="1">
        <f>IF(aoc_03_input[[#This Row],[CharAtPos2_1]]="#",1,0)</f>
        <v>0</v>
      </c>
      <c r="H202" s="1">
        <f t="shared" si="17"/>
        <v>1001</v>
      </c>
      <c r="I202" s="1" t="str">
        <f>MID(aoc_03_input[[#This Row],[Forest]],MOD(aoc_03_input[[#This Row],[Pos2_3]]-1,LEN(aoc_03_input[[#This Row],[Forest]]))+1,1)</f>
        <v>.</v>
      </c>
      <c r="J202" s="1">
        <f>IF(aoc_03_input[[#This Row],[CharAtPos2_3]]="#",1,0)</f>
        <v>0</v>
      </c>
      <c r="K202" s="1">
        <f t="shared" si="18"/>
        <v>1401</v>
      </c>
      <c r="L202" s="1" t="str">
        <f>MID(aoc_03_input[[#This Row],[Forest]],MOD(aoc_03_input[[#This Row],[Pos2_4]]-1,LEN(aoc_03_input[[#This Row],[Forest]]))+1,1)</f>
        <v>.</v>
      </c>
      <c r="M202" s="1">
        <f>IF(aoc_03_input[[#This Row],[CharAtPos2_4]]="#",1,0)</f>
        <v>0</v>
      </c>
      <c r="N202" s="1">
        <f>MOD(ROW(aoc_03_input[[#This Row],[CountRow2_5]])+1,2)</f>
        <v>1</v>
      </c>
      <c r="O202" s="1">
        <f t="shared" si="19"/>
        <v>101</v>
      </c>
      <c r="P202" s="1" t="str">
        <f>MID(aoc_03_input[[#This Row],[Forest]],MOD(aoc_03_input[[#This Row],[Pos2_5]]-1,LEN(aoc_03_input[[#This Row],[Forest]]))+1,1)</f>
        <v>.</v>
      </c>
      <c r="Q202" s="1">
        <f>IF(AND(aoc_03_input[[#This Row],[CountRow2_5]]=1,aoc_03_input[[#This Row],[CharAtPos2_5]]="#"),1,0)</f>
        <v>0</v>
      </c>
    </row>
    <row r="203" spans="1:17" x14ac:dyDescent="0.45">
      <c r="A203" s="1" t="s">
        <v>1587</v>
      </c>
      <c r="B203" s="1">
        <f t="shared" si="15"/>
        <v>604</v>
      </c>
      <c r="C203" s="1" t="str">
        <f>MID(aoc_03_input[[#This Row],[Forest]],MOD(aoc_03_input[[#This Row],[Pos1]]-1,LEN(aoc_03_input[[#This Row],[Forest]]))+1,1)</f>
        <v>#</v>
      </c>
      <c r="D203" s="1">
        <f>IF(aoc_03_input[[#This Row],[CharAtPos1]]="#",1,0)</f>
        <v>1</v>
      </c>
      <c r="E203" s="1">
        <f t="shared" si="16"/>
        <v>202</v>
      </c>
      <c r="F203" s="1" t="str">
        <f>MID(aoc_03_input[[#This Row],[Forest]],MOD(aoc_03_input[[#This Row],[Pos2_1]]-1,LEN(aoc_03_input[[#This Row],[Forest]]))+1,1)</f>
        <v>.</v>
      </c>
      <c r="G203" s="1">
        <f>IF(aoc_03_input[[#This Row],[CharAtPos2_1]]="#",1,0)</f>
        <v>0</v>
      </c>
      <c r="H203" s="1">
        <f t="shared" si="17"/>
        <v>1006</v>
      </c>
      <c r="I203" s="1" t="str">
        <f>MID(aoc_03_input[[#This Row],[Forest]],MOD(aoc_03_input[[#This Row],[Pos2_3]]-1,LEN(aoc_03_input[[#This Row],[Forest]]))+1,1)</f>
        <v>.</v>
      </c>
      <c r="J203" s="1">
        <f>IF(aoc_03_input[[#This Row],[CharAtPos2_3]]="#",1,0)</f>
        <v>0</v>
      </c>
      <c r="K203" s="1">
        <f t="shared" si="18"/>
        <v>1408</v>
      </c>
      <c r="L203" s="1" t="str">
        <f>MID(aoc_03_input[[#This Row],[Forest]],MOD(aoc_03_input[[#This Row],[Pos2_4]]-1,LEN(aoc_03_input[[#This Row],[Forest]]))+1,1)</f>
        <v>.</v>
      </c>
      <c r="M203" s="1">
        <f>IF(aoc_03_input[[#This Row],[CharAtPos2_4]]="#",1,0)</f>
        <v>0</v>
      </c>
      <c r="N203" s="1">
        <f>MOD(ROW(aoc_03_input[[#This Row],[CountRow2_5]])+1,2)</f>
        <v>0</v>
      </c>
      <c r="O203" s="1">
        <f t="shared" si="19"/>
        <v>101</v>
      </c>
      <c r="P203" s="1" t="str">
        <f>MID(aoc_03_input[[#This Row],[Forest]],MOD(aoc_03_input[[#This Row],[Pos2_5]]-1,LEN(aoc_03_input[[#This Row],[Forest]]))+1,1)</f>
        <v>.</v>
      </c>
      <c r="Q203" s="1">
        <f>IF(AND(aoc_03_input[[#This Row],[CountRow2_5]]=1,aoc_03_input[[#This Row],[CharAtPos2_5]]="#"),1,0)</f>
        <v>0</v>
      </c>
    </row>
    <row r="204" spans="1:17" x14ac:dyDescent="0.45">
      <c r="A204" s="1" t="s">
        <v>1588</v>
      </c>
      <c r="B204" s="1">
        <f t="shared" si="15"/>
        <v>607</v>
      </c>
      <c r="C204" s="1" t="str">
        <f>MID(aoc_03_input[[#This Row],[Forest]],MOD(aoc_03_input[[#This Row],[Pos1]]-1,LEN(aoc_03_input[[#This Row],[Forest]]))+1,1)</f>
        <v>#</v>
      </c>
      <c r="D204" s="1">
        <f>IF(aoc_03_input[[#This Row],[CharAtPos1]]="#",1,0)</f>
        <v>1</v>
      </c>
      <c r="E204" s="1">
        <f t="shared" si="16"/>
        <v>203</v>
      </c>
      <c r="F204" s="1" t="str">
        <f>MID(aoc_03_input[[#This Row],[Forest]],MOD(aoc_03_input[[#This Row],[Pos2_1]]-1,LEN(aoc_03_input[[#This Row],[Forest]]))+1,1)</f>
        <v>#</v>
      </c>
      <c r="G204" s="1">
        <f>IF(aoc_03_input[[#This Row],[CharAtPos2_1]]="#",1,0)</f>
        <v>1</v>
      </c>
      <c r="H204" s="1">
        <f t="shared" si="17"/>
        <v>1011</v>
      </c>
      <c r="I204" s="1" t="str">
        <f>MID(aoc_03_input[[#This Row],[Forest]],MOD(aoc_03_input[[#This Row],[Pos2_3]]-1,LEN(aoc_03_input[[#This Row],[Forest]]))+1,1)</f>
        <v>.</v>
      </c>
      <c r="J204" s="1">
        <f>IF(aoc_03_input[[#This Row],[CharAtPos2_3]]="#",1,0)</f>
        <v>0</v>
      </c>
      <c r="K204" s="1">
        <f t="shared" si="18"/>
        <v>1415</v>
      </c>
      <c r="L204" s="1" t="str">
        <f>MID(aoc_03_input[[#This Row],[Forest]],MOD(aoc_03_input[[#This Row],[Pos2_4]]-1,LEN(aoc_03_input[[#This Row],[Forest]]))+1,1)</f>
        <v>#</v>
      </c>
      <c r="M204" s="1">
        <f>IF(aoc_03_input[[#This Row],[CharAtPos2_4]]="#",1,0)</f>
        <v>1</v>
      </c>
      <c r="N204" s="1">
        <f>MOD(ROW(aoc_03_input[[#This Row],[CountRow2_5]])+1,2)</f>
        <v>1</v>
      </c>
      <c r="O204" s="1">
        <f t="shared" si="19"/>
        <v>102</v>
      </c>
      <c r="P204" s="1" t="str">
        <f>MID(aoc_03_input[[#This Row],[Forest]],MOD(aoc_03_input[[#This Row],[Pos2_5]]-1,LEN(aoc_03_input[[#This Row],[Forest]]))+1,1)</f>
        <v>.</v>
      </c>
      <c r="Q204" s="1">
        <f>IF(AND(aoc_03_input[[#This Row],[CountRow2_5]]=1,aoc_03_input[[#This Row],[CharAtPos2_5]]="#"),1,0)</f>
        <v>0</v>
      </c>
    </row>
    <row r="205" spans="1:17" x14ac:dyDescent="0.45">
      <c r="A205" s="1" t="s">
        <v>1589</v>
      </c>
      <c r="B205" s="1">
        <f t="shared" si="15"/>
        <v>610</v>
      </c>
      <c r="C205" s="1" t="str">
        <f>MID(aoc_03_input[[#This Row],[Forest]],MOD(aoc_03_input[[#This Row],[Pos1]]-1,LEN(aoc_03_input[[#This Row],[Forest]]))+1,1)</f>
        <v>#</v>
      </c>
      <c r="D205" s="1">
        <f>IF(aoc_03_input[[#This Row],[CharAtPos1]]="#",1,0)</f>
        <v>1</v>
      </c>
      <c r="E205" s="1">
        <f t="shared" si="16"/>
        <v>204</v>
      </c>
      <c r="F205" s="1" t="str">
        <f>MID(aoc_03_input[[#This Row],[Forest]],MOD(aoc_03_input[[#This Row],[Pos2_1]]-1,LEN(aoc_03_input[[#This Row],[Forest]]))+1,1)</f>
        <v>.</v>
      </c>
      <c r="G205" s="1">
        <f>IF(aoc_03_input[[#This Row],[CharAtPos2_1]]="#",1,0)</f>
        <v>0</v>
      </c>
      <c r="H205" s="1">
        <f t="shared" si="17"/>
        <v>1016</v>
      </c>
      <c r="I205" s="1" t="str">
        <f>MID(aoc_03_input[[#This Row],[Forest]],MOD(aoc_03_input[[#This Row],[Pos2_3]]-1,LEN(aoc_03_input[[#This Row],[Forest]]))+1,1)</f>
        <v>.</v>
      </c>
      <c r="J205" s="1">
        <f>IF(aoc_03_input[[#This Row],[CharAtPos2_3]]="#",1,0)</f>
        <v>0</v>
      </c>
      <c r="K205" s="1">
        <f t="shared" si="18"/>
        <v>1422</v>
      </c>
      <c r="L205" s="1" t="str">
        <f>MID(aoc_03_input[[#This Row],[Forest]],MOD(aoc_03_input[[#This Row],[Pos2_4]]-1,LEN(aoc_03_input[[#This Row],[Forest]]))+1,1)</f>
        <v>.</v>
      </c>
      <c r="M205" s="1">
        <f>IF(aoc_03_input[[#This Row],[CharAtPos2_4]]="#",1,0)</f>
        <v>0</v>
      </c>
      <c r="N205" s="1">
        <f>MOD(ROW(aoc_03_input[[#This Row],[CountRow2_5]])+1,2)</f>
        <v>0</v>
      </c>
      <c r="O205" s="1">
        <f t="shared" si="19"/>
        <v>102</v>
      </c>
      <c r="P205" s="1" t="str">
        <f>MID(aoc_03_input[[#This Row],[Forest]],MOD(aoc_03_input[[#This Row],[Pos2_5]]-1,LEN(aoc_03_input[[#This Row],[Forest]]))+1,1)</f>
        <v>.</v>
      </c>
      <c r="Q205" s="1">
        <f>IF(AND(aoc_03_input[[#This Row],[CountRow2_5]]=1,aoc_03_input[[#This Row],[CharAtPos2_5]]="#"),1,0)</f>
        <v>0</v>
      </c>
    </row>
    <row r="206" spans="1:17" x14ac:dyDescent="0.45">
      <c r="A206" s="1" t="s">
        <v>1590</v>
      </c>
      <c r="B206" s="1">
        <f t="shared" si="15"/>
        <v>613</v>
      </c>
      <c r="C206" s="1" t="str">
        <f>MID(aoc_03_input[[#This Row],[Forest]],MOD(aoc_03_input[[#This Row],[Pos1]]-1,LEN(aoc_03_input[[#This Row],[Forest]]))+1,1)</f>
        <v>.</v>
      </c>
      <c r="D206" s="1">
        <f>IF(aoc_03_input[[#This Row],[CharAtPos1]]="#",1,0)</f>
        <v>0</v>
      </c>
      <c r="E206" s="1">
        <f t="shared" si="16"/>
        <v>205</v>
      </c>
      <c r="F206" s="1" t="str">
        <f>MID(aoc_03_input[[#This Row],[Forest]],MOD(aoc_03_input[[#This Row],[Pos2_1]]-1,LEN(aoc_03_input[[#This Row],[Forest]]))+1,1)</f>
        <v>.</v>
      </c>
      <c r="G206" s="1">
        <f>IF(aoc_03_input[[#This Row],[CharAtPos2_1]]="#",1,0)</f>
        <v>0</v>
      </c>
      <c r="H206" s="1">
        <f t="shared" si="17"/>
        <v>1021</v>
      </c>
      <c r="I206" s="1" t="str">
        <f>MID(aoc_03_input[[#This Row],[Forest]],MOD(aoc_03_input[[#This Row],[Pos2_3]]-1,LEN(aoc_03_input[[#This Row],[Forest]]))+1,1)</f>
        <v>.</v>
      </c>
      <c r="J206" s="1">
        <f>IF(aoc_03_input[[#This Row],[CharAtPos2_3]]="#",1,0)</f>
        <v>0</v>
      </c>
      <c r="K206" s="1">
        <f t="shared" si="18"/>
        <v>1429</v>
      </c>
      <c r="L206" s="1" t="str">
        <f>MID(aoc_03_input[[#This Row],[Forest]],MOD(aoc_03_input[[#This Row],[Pos2_4]]-1,LEN(aoc_03_input[[#This Row],[Forest]]))+1,1)</f>
        <v>.</v>
      </c>
      <c r="M206" s="1">
        <f>IF(aoc_03_input[[#This Row],[CharAtPos2_4]]="#",1,0)</f>
        <v>0</v>
      </c>
      <c r="N206" s="1">
        <f>MOD(ROW(aoc_03_input[[#This Row],[CountRow2_5]])+1,2)</f>
        <v>1</v>
      </c>
      <c r="O206" s="1">
        <f t="shared" si="19"/>
        <v>103</v>
      </c>
      <c r="P206" s="1" t="str">
        <f>MID(aoc_03_input[[#This Row],[Forest]],MOD(aoc_03_input[[#This Row],[Pos2_5]]-1,LEN(aoc_03_input[[#This Row],[Forest]]))+1,1)</f>
        <v>.</v>
      </c>
      <c r="Q206" s="1">
        <f>IF(AND(aoc_03_input[[#This Row],[CountRow2_5]]=1,aoc_03_input[[#This Row],[CharAtPos2_5]]="#"),1,0)</f>
        <v>0</v>
      </c>
    </row>
    <row r="207" spans="1:17" x14ac:dyDescent="0.45">
      <c r="A207" s="1" t="s">
        <v>1591</v>
      </c>
      <c r="B207" s="1">
        <f t="shared" si="15"/>
        <v>616</v>
      </c>
      <c r="C207" s="1" t="str">
        <f>MID(aoc_03_input[[#This Row],[Forest]],MOD(aoc_03_input[[#This Row],[Pos1]]-1,LEN(aoc_03_input[[#This Row],[Forest]]))+1,1)</f>
        <v>#</v>
      </c>
      <c r="D207" s="1">
        <f>IF(aoc_03_input[[#This Row],[CharAtPos1]]="#",1,0)</f>
        <v>1</v>
      </c>
      <c r="E207" s="1">
        <f t="shared" si="16"/>
        <v>206</v>
      </c>
      <c r="F207" s="1" t="str">
        <f>MID(aoc_03_input[[#This Row],[Forest]],MOD(aoc_03_input[[#This Row],[Pos2_1]]-1,LEN(aoc_03_input[[#This Row],[Forest]]))+1,1)</f>
        <v>.</v>
      </c>
      <c r="G207" s="1">
        <f>IF(aoc_03_input[[#This Row],[CharAtPos2_1]]="#",1,0)</f>
        <v>0</v>
      </c>
      <c r="H207" s="1">
        <f t="shared" si="17"/>
        <v>1026</v>
      </c>
      <c r="I207" s="1" t="str">
        <f>MID(aoc_03_input[[#This Row],[Forest]],MOD(aoc_03_input[[#This Row],[Pos2_3]]-1,LEN(aoc_03_input[[#This Row],[Forest]]))+1,1)</f>
        <v>.</v>
      </c>
      <c r="J207" s="1">
        <f>IF(aoc_03_input[[#This Row],[CharAtPos2_3]]="#",1,0)</f>
        <v>0</v>
      </c>
      <c r="K207" s="1">
        <f t="shared" si="18"/>
        <v>1436</v>
      </c>
      <c r="L207" s="1" t="str">
        <f>MID(aoc_03_input[[#This Row],[Forest]],MOD(aoc_03_input[[#This Row],[Pos2_4]]-1,LEN(aoc_03_input[[#This Row],[Forest]]))+1,1)</f>
        <v>.</v>
      </c>
      <c r="M207" s="1">
        <f>IF(aoc_03_input[[#This Row],[CharAtPos2_4]]="#",1,0)</f>
        <v>0</v>
      </c>
      <c r="N207" s="1">
        <f>MOD(ROW(aoc_03_input[[#This Row],[CountRow2_5]])+1,2)</f>
        <v>0</v>
      </c>
      <c r="O207" s="1">
        <f t="shared" si="19"/>
        <v>103</v>
      </c>
      <c r="P207" s="1" t="str">
        <f>MID(aoc_03_input[[#This Row],[Forest]],MOD(aoc_03_input[[#This Row],[Pos2_5]]-1,LEN(aoc_03_input[[#This Row],[Forest]]))+1,1)</f>
        <v>.</v>
      </c>
      <c r="Q207" s="1">
        <f>IF(AND(aoc_03_input[[#This Row],[CountRow2_5]]=1,aoc_03_input[[#This Row],[CharAtPos2_5]]="#"),1,0)</f>
        <v>0</v>
      </c>
    </row>
    <row r="208" spans="1:17" x14ac:dyDescent="0.45">
      <c r="A208" s="1" t="s">
        <v>1592</v>
      </c>
      <c r="B208" s="1">
        <f t="shared" si="15"/>
        <v>619</v>
      </c>
      <c r="C208" s="1" t="str">
        <f>MID(aoc_03_input[[#This Row],[Forest]],MOD(aoc_03_input[[#This Row],[Pos1]]-1,LEN(aoc_03_input[[#This Row],[Forest]]))+1,1)</f>
        <v>.</v>
      </c>
      <c r="D208" s="1">
        <f>IF(aoc_03_input[[#This Row],[CharAtPos1]]="#",1,0)</f>
        <v>0</v>
      </c>
      <c r="E208" s="1">
        <f t="shared" si="16"/>
        <v>207</v>
      </c>
      <c r="F208" s="1" t="str">
        <f>MID(aoc_03_input[[#This Row],[Forest]],MOD(aoc_03_input[[#This Row],[Pos2_1]]-1,LEN(aoc_03_input[[#This Row],[Forest]]))+1,1)</f>
        <v>.</v>
      </c>
      <c r="G208" s="1">
        <f>IF(aoc_03_input[[#This Row],[CharAtPos2_1]]="#",1,0)</f>
        <v>0</v>
      </c>
      <c r="H208" s="1">
        <f t="shared" si="17"/>
        <v>1031</v>
      </c>
      <c r="I208" s="1" t="str">
        <f>MID(aoc_03_input[[#This Row],[Forest]],MOD(aoc_03_input[[#This Row],[Pos2_3]]-1,LEN(aoc_03_input[[#This Row],[Forest]]))+1,1)</f>
        <v>#</v>
      </c>
      <c r="J208" s="1">
        <f>IF(aoc_03_input[[#This Row],[CharAtPos2_3]]="#",1,0)</f>
        <v>1</v>
      </c>
      <c r="K208" s="1">
        <f t="shared" si="18"/>
        <v>1443</v>
      </c>
      <c r="L208" s="1" t="str">
        <f>MID(aoc_03_input[[#This Row],[Forest]],MOD(aoc_03_input[[#This Row],[Pos2_4]]-1,LEN(aoc_03_input[[#This Row],[Forest]]))+1,1)</f>
        <v>.</v>
      </c>
      <c r="M208" s="1">
        <f>IF(aoc_03_input[[#This Row],[CharAtPos2_4]]="#",1,0)</f>
        <v>0</v>
      </c>
      <c r="N208" s="1">
        <f>MOD(ROW(aoc_03_input[[#This Row],[CountRow2_5]])+1,2)</f>
        <v>1</v>
      </c>
      <c r="O208" s="1">
        <f t="shared" si="19"/>
        <v>104</v>
      </c>
      <c r="P208" s="1" t="str">
        <f>MID(aoc_03_input[[#This Row],[Forest]],MOD(aoc_03_input[[#This Row],[Pos2_5]]-1,LEN(aoc_03_input[[#This Row],[Forest]]))+1,1)</f>
        <v>.</v>
      </c>
      <c r="Q208" s="1">
        <f>IF(AND(aoc_03_input[[#This Row],[CountRow2_5]]=1,aoc_03_input[[#This Row],[CharAtPos2_5]]="#"),1,0)</f>
        <v>0</v>
      </c>
    </row>
    <row r="209" spans="1:17" x14ac:dyDescent="0.45">
      <c r="A209" s="1" t="s">
        <v>1593</v>
      </c>
      <c r="B209" s="1">
        <f t="shared" si="15"/>
        <v>622</v>
      </c>
      <c r="C209" s="1" t="str">
        <f>MID(aoc_03_input[[#This Row],[Forest]],MOD(aoc_03_input[[#This Row],[Pos1]]-1,LEN(aoc_03_input[[#This Row],[Forest]]))+1,1)</f>
        <v>.</v>
      </c>
      <c r="D209" s="1">
        <f>IF(aoc_03_input[[#This Row],[CharAtPos1]]="#",1,0)</f>
        <v>0</v>
      </c>
      <c r="E209" s="1">
        <f t="shared" si="16"/>
        <v>208</v>
      </c>
      <c r="F209" s="1" t="str">
        <f>MID(aoc_03_input[[#This Row],[Forest]],MOD(aoc_03_input[[#This Row],[Pos2_1]]-1,LEN(aoc_03_input[[#This Row],[Forest]]))+1,1)</f>
        <v>.</v>
      </c>
      <c r="G209" s="1">
        <f>IF(aoc_03_input[[#This Row],[CharAtPos2_1]]="#",1,0)</f>
        <v>0</v>
      </c>
      <c r="H209" s="1">
        <f t="shared" si="17"/>
        <v>1036</v>
      </c>
      <c r="I209" s="1" t="str">
        <f>MID(aoc_03_input[[#This Row],[Forest]],MOD(aoc_03_input[[#This Row],[Pos2_3]]-1,LEN(aoc_03_input[[#This Row],[Forest]]))+1,1)</f>
        <v>#</v>
      </c>
      <c r="J209" s="1">
        <f>IF(aoc_03_input[[#This Row],[CharAtPos2_3]]="#",1,0)</f>
        <v>1</v>
      </c>
      <c r="K209" s="1">
        <f t="shared" si="18"/>
        <v>1450</v>
      </c>
      <c r="L209" s="1" t="str">
        <f>MID(aoc_03_input[[#This Row],[Forest]],MOD(aoc_03_input[[#This Row],[Pos2_4]]-1,LEN(aoc_03_input[[#This Row],[Forest]]))+1,1)</f>
        <v>.</v>
      </c>
      <c r="M209" s="1">
        <f>IF(aoc_03_input[[#This Row],[CharAtPos2_4]]="#",1,0)</f>
        <v>0</v>
      </c>
      <c r="N209" s="1">
        <f>MOD(ROW(aoc_03_input[[#This Row],[CountRow2_5]])+1,2)</f>
        <v>0</v>
      </c>
      <c r="O209" s="1">
        <f t="shared" si="19"/>
        <v>104</v>
      </c>
      <c r="P209" s="1" t="str">
        <f>MID(aoc_03_input[[#This Row],[Forest]],MOD(aoc_03_input[[#This Row],[Pos2_5]]-1,LEN(aoc_03_input[[#This Row],[Forest]]))+1,1)</f>
        <v>#</v>
      </c>
      <c r="Q209" s="1">
        <f>IF(AND(aoc_03_input[[#This Row],[CountRow2_5]]=1,aoc_03_input[[#This Row],[CharAtPos2_5]]="#"),1,0)</f>
        <v>0</v>
      </c>
    </row>
    <row r="210" spans="1:17" x14ac:dyDescent="0.45">
      <c r="A210" s="1" t="s">
        <v>1594</v>
      </c>
      <c r="B210" s="1">
        <f t="shared" si="15"/>
        <v>625</v>
      </c>
      <c r="C210" s="1" t="str">
        <f>MID(aoc_03_input[[#This Row],[Forest]],MOD(aoc_03_input[[#This Row],[Pos1]]-1,LEN(aoc_03_input[[#This Row],[Forest]]))+1,1)</f>
        <v>#</v>
      </c>
      <c r="D210" s="1">
        <f>IF(aoc_03_input[[#This Row],[CharAtPos1]]="#",1,0)</f>
        <v>1</v>
      </c>
      <c r="E210" s="1">
        <f t="shared" si="16"/>
        <v>209</v>
      </c>
      <c r="F210" s="1" t="str">
        <f>MID(aoc_03_input[[#This Row],[Forest]],MOD(aoc_03_input[[#This Row],[Pos2_1]]-1,LEN(aoc_03_input[[#This Row],[Forest]]))+1,1)</f>
        <v>#</v>
      </c>
      <c r="G210" s="1">
        <f>IF(aoc_03_input[[#This Row],[CharAtPos2_1]]="#",1,0)</f>
        <v>1</v>
      </c>
      <c r="H210" s="1">
        <f t="shared" si="17"/>
        <v>1041</v>
      </c>
      <c r="I210" s="1" t="str">
        <f>MID(aoc_03_input[[#This Row],[Forest]],MOD(aoc_03_input[[#This Row],[Pos2_3]]-1,LEN(aoc_03_input[[#This Row],[Forest]]))+1,1)</f>
        <v>.</v>
      </c>
      <c r="J210" s="1">
        <f>IF(aoc_03_input[[#This Row],[CharAtPos2_3]]="#",1,0)</f>
        <v>0</v>
      </c>
      <c r="K210" s="1">
        <f t="shared" si="18"/>
        <v>1457</v>
      </c>
      <c r="L210" s="1" t="str">
        <f>MID(aoc_03_input[[#This Row],[Forest]],MOD(aoc_03_input[[#This Row],[Pos2_4]]-1,LEN(aoc_03_input[[#This Row],[Forest]]))+1,1)</f>
        <v>.</v>
      </c>
      <c r="M210" s="1">
        <f>IF(aoc_03_input[[#This Row],[CharAtPos2_4]]="#",1,0)</f>
        <v>0</v>
      </c>
      <c r="N210" s="1">
        <f>MOD(ROW(aoc_03_input[[#This Row],[CountRow2_5]])+1,2)</f>
        <v>1</v>
      </c>
      <c r="O210" s="1">
        <f t="shared" si="19"/>
        <v>105</v>
      </c>
      <c r="P210" s="1" t="str">
        <f>MID(aoc_03_input[[#This Row],[Forest]],MOD(aoc_03_input[[#This Row],[Pos2_5]]-1,LEN(aoc_03_input[[#This Row],[Forest]]))+1,1)</f>
        <v>.</v>
      </c>
      <c r="Q210" s="1">
        <f>IF(AND(aoc_03_input[[#This Row],[CountRow2_5]]=1,aoc_03_input[[#This Row],[CharAtPos2_5]]="#"),1,0)</f>
        <v>0</v>
      </c>
    </row>
    <row r="211" spans="1:17" x14ac:dyDescent="0.45">
      <c r="A211" s="1" t="s">
        <v>1595</v>
      </c>
      <c r="B211" s="1">
        <f t="shared" si="15"/>
        <v>628</v>
      </c>
      <c r="C211" s="1" t="str">
        <f>MID(aoc_03_input[[#This Row],[Forest]],MOD(aoc_03_input[[#This Row],[Pos1]]-1,LEN(aoc_03_input[[#This Row],[Forest]]))+1,1)</f>
        <v>#</v>
      </c>
      <c r="D211" s="1">
        <f>IF(aoc_03_input[[#This Row],[CharAtPos1]]="#",1,0)</f>
        <v>1</v>
      </c>
      <c r="E211" s="1">
        <f t="shared" si="16"/>
        <v>210</v>
      </c>
      <c r="F211" s="1" t="str">
        <f>MID(aoc_03_input[[#This Row],[Forest]],MOD(aoc_03_input[[#This Row],[Pos2_1]]-1,LEN(aoc_03_input[[#This Row],[Forest]]))+1,1)</f>
        <v>.</v>
      </c>
      <c r="G211" s="1">
        <f>IF(aoc_03_input[[#This Row],[CharAtPos2_1]]="#",1,0)</f>
        <v>0</v>
      </c>
      <c r="H211" s="1">
        <f t="shared" si="17"/>
        <v>1046</v>
      </c>
      <c r="I211" s="1" t="str">
        <f>MID(aoc_03_input[[#This Row],[Forest]],MOD(aoc_03_input[[#This Row],[Pos2_3]]-1,LEN(aoc_03_input[[#This Row],[Forest]]))+1,1)</f>
        <v>.</v>
      </c>
      <c r="J211" s="1">
        <f>IF(aoc_03_input[[#This Row],[CharAtPos2_3]]="#",1,0)</f>
        <v>0</v>
      </c>
      <c r="K211" s="1">
        <f t="shared" si="18"/>
        <v>1464</v>
      </c>
      <c r="L211" s="1" t="str">
        <f>MID(aoc_03_input[[#This Row],[Forest]],MOD(aoc_03_input[[#This Row],[Pos2_4]]-1,LEN(aoc_03_input[[#This Row],[Forest]]))+1,1)</f>
        <v>.</v>
      </c>
      <c r="M211" s="1">
        <f>IF(aoc_03_input[[#This Row],[CharAtPos2_4]]="#",1,0)</f>
        <v>0</v>
      </c>
      <c r="N211" s="1">
        <f>MOD(ROW(aoc_03_input[[#This Row],[CountRow2_5]])+1,2)</f>
        <v>0</v>
      </c>
      <c r="O211" s="1">
        <f t="shared" si="19"/>
        <v>105</v>
      </c>
      <c r="P211" s="1" t="str">
        <f>MID(aoc_03_input[[#This Row],[Forest]],MOD(aoc_03_input[[#This Row],[Pos2_5]]-1,LEN(aoc_03_input[[#This Row],[Forest]]))+1,1)</f>
        <v>.</v>
      </c>
      <c r="Q211" s="1">
        <f>IF(AND(aoc_03_input[[#This Row],[CountRow2_5]]=1,aoc_03_input[[#This Row],[CharAtPos2_5]]="#"),1,0)</f>
        <v>0</v>
      </c>
    </row>
    <row r="212" spans="1:17" x14ac:dyDescent="0.45">
      <c r="A212" s="1" t="s">
        <v>1596</v>
      </c>
      <c r="B212" s="1">
        <f t="shared" si="15"/>
        <v>631</v>
      </c>
      <c r="C212" s="1" t="str">
        <f>MID(aoc_03_input[[#This Row],[Forest]],MOD(aoc_03_input[[#This Row],[Pos1]]-1,LEN(aoc_03_input[[#This Row],[Forest]]))+1,1)</f>
        <v>#</v>
      </c>
      <c r="D212" s="1">
        <f>IF(aoc_03_input[[#This Row],[CharAtPos1]]="#",1,0)</f>
        <v>1</v>
      </c>
      <c r="E212" s="1">
        <f t="shared" si="16"/>
        <v>211</v>
      </c>
      <c r="F212" s="1" t="str">
        <f>MID(aoc_03_input[[#This Row],[Forest]],MOD(aoc_03_input[[#This Row],[Pos2_1]]-1,LEN(aoc_03_input[[#This Row],[Forest]]))+1,1)</f>
        <v>.</v>
      </c>
      <c r="G212" s="1">
        <f>IF(aoc_03_input[[#This Row],[CharAtPos2_1]]="#",1,0)</f>
        <v>0</v>
      </c>
      <c r="H212" s="1">
        <f t="shared" si="17"/>
        <v>1051</v>
      </c>
      <c r="I212" s="1" t="str">
        <f>MID(aoc_03_input[[#This Row],[Forest]],MOD(aoc_03_input[[#This Row],[Pos2_3]]-1,LEN(aoc_03_input[[#This Row],[Forest]]))+1,1)</f>
        <v>#</v>
      </c>
      <c r="J212" s="1">
        <f>IF(aoc_03_input[[#This Row],[CharAtPos2_3]]="#",1,0)</f>
        <v>1</v>
      </c>
      <c r="K212" s="1">
        <f t="shared" si="18"/>
        <v>1471</v>
      </c>
      <c r="L212" s="1" t="str">
        <f>MID(aoc_03_input[[#This Row],[Forest]],MOD(aoc_03_input[[#This Row],[Pos2_4]]-1,LEN(aoc_03_input[[#This Row],[Forest]]))+1,1)</f>
        <v>.</v>
      </c>
      <c r="M212" s="1">
        <f>IF(aoc_03_input[[#This Row],[CharAtPos2_4]]="#",1,0)</f>
        <v>0</v>
      </c>
      <c r="N212" s="1">
        <f>MOD(ROW(aoc_03_input[[#This Row],[CountRow2_5]])+1,2)</f>
        <v>1</v>
      </c>
      <c r="O212" s="1">
        <f t="shared" si="19"/>
        <v>106</v>
      </c>
      <c r="P212" s="1" t="str">
        <f>MID(aoc_03_input[[#This Row],[Forest]],MOD(aoc_03_input[[#This Row],[Pos2_5]]-1,LEN(aoc_03_input[[#This Row],[Forest]]))+1,1)</f>
        <v>.</v>
      </c>
      <c r="Q212" s="1">
        <f>IF(AND(aoc_03_input[[#This Row],[CountRow2_5]]=1,aoc_03_input[[#This Row],[CharAtPos2_5]]="#"),1,0)</f>
        <v>0</v>
      </c>
    </row>
    <row r="213" spans="1:17" x14ac:dyDescent="0.45">
      <c r="A213" s="1" t="s">
        <v>1597</v>
      </c>
      <c r="B213" s="1">
        <f t="shared" si="15"/>
        <v>634</v>
      </c>
      <c r="C213" s="1" t="str">
        <f>MID(aoc_03_input[[#This Row],[Forest]],MOD(aoc_03_input[[#This Row],[Pos1]]-1,LEN(aoc_03_input[[#This Row],[Forest]]))+1,1)</f>
        <v>.</v>
      </c>
      <c r="D213" s="1">
        <f>IF(aoc_03_input[[#This Row],[CharAtPos1]]="#",1,0)</f>
        <v>0</v>
      </c>
      <c r="E213" s="1">
        <f t="shared" si="16"/>
        <v>212</v>
      </c>
      <c r="F213" s="1" t="str">
        <f>MID(aoc_03_input[[#This Row],[Forest]],MOD(aoc_03_input[[#This Row],[Pos2_1]]-1,LEN(aoc_03_input[[#This Row],[Forest]]))+1,1)</f>
        <v>.</v>
      </c>
      <c r="G213" s="1">
        <f>IF(aoc_03_input[[#This Row],[CharAtPos2_1]]="#",1,0)</f>
        <v>0</v>
      </c>
      <c r="H213" s="1">
        <f t="shared" si="17"/>
        <v>1056</v>
      </c>
      <c r="I213" s="1" t="str">
        <f>MID(aoc_03_input[[#This Row],[Forest]],MOD(aoc_03_input[[#This Row],[Pos2_3]]-1,LEN(aoc_03_input[[#This Row],[Forest]]))+1,1)</f>
        <v>.</v>
      </c>
      <c r="J213" s="1">
        <f>IF(aoc_03_input[[#This Row],[CharAtPos2_3]]="#",1,0)</f>
        <v>0</v>
      </c>
      <c r="K213" s="1">
        <f t="shared" si="18"/>
        <v>1478</v>
      </c>
      <c r="L213" s="1" t="str">
        <f>MID(aoc_03_input[[#This Row],[Forest]],MOD(aoc_03_input[[#This Row],[Pos2_4]]-1,LEN(aoc_03_input[[#This Row],[Forest]]))+1,1)</f>
        <v>.</v>
      </c>
      <c r="M213" s="1">
        <f>IF(aoc_03_input[[#This Row],[CharAtPos2_4]]="#",1,0)</f>
        <v>0</v>
      </c>
      <c r="N213" s="1">
        <f>MOD(ROW(aoc_03_input[[#This Row],[CountRow2_5]])+1,2)</f>
        <v>0</v>
      </c>
      <c r="O213" s="1">
        <f t="shared" si="19"/>
        <v>106</v>
      </c>
      <c r="P213" s="1" t="str">
        <f>MID(aoc_03_input[[#This Row],[Forest]],MOD(aoc_03_input[[#This Row],[Pos2_5]]-1,LEN(aoc_03_input[[#This Row],[Forest]]))+1,1)</f>
        <v>.</v>
      </c>
      <c r="Q213" s="1">
        <f>IF(AND(aoc_03_input[[#This Row],[CountRow2_5]]=1,aoc_03_input[[#This Row],[CharAtPos2_5]]="#"),1,0)</f>
        <v>0</v>
      </c>
    </row>
    <row r="214" spans="1:17" x14ac:dyDescent="0.45">
      <c r="A214" s="1" t="s">
        <v>1598</v>
      </c>
      <c r="B214" s="1">
        <f t="shared" si="15"/>
        <v>637</v>
      </c>
      <c r="C214" s="1" t="str">
        <f>MID(aoc_03_input[[#This Row],[Forest]],MOD(aoc_03_input[[#This Row],[Pos1]]-1,LEN(aoc_03_input[[#This Row],[Forest]]))+1,1)</f>
        <v>.</v>
      </c>
      <c r="D214" s="1">
        <f>IF(aoc_03_input[[#This Row],[CharAtPos1]]="#",1,0)</f>
        <v>0</v>
      </c>
      <c r="E214" s="1">
        <f t="shared" si="16"/>
        <v>213</v>
      </c>
      <c r="F214" s="1" t="str">
        <f>MID(aoc_03_input[[#This Row],[Forest]],MOD(aoc_03_input[[#This Row],[Pos2_1]]-1,LEN(aoc_03_input[[#This Row],[Forest]]))+1,1)</f>
        <v>.</v>
      </c>
      <c r="G214" s="1">
        <f>IF(aoc_03_input[[#This Row],[CharAtPos2_1]]="#",1,0)</f>
        <v>0</v>
      </c>
      <c r="H214" s="1">
        <f t="shared" si="17"/>
        <v>1061</v>
      </c>
      <c r="I214" s="1" t="str">
        <f>MID(aoc_03_input[[#This Row],[Forest]],MOD(aoc_03_input[[#This Row],[Pos2_3]]-1,LEN(aoc_03_input[[#This Row],[Forest]]))+1,1)</f>
        <v>.</v>
      </c>
      <c r="J214" s="1">
        <f>IF(aoc_03_input[[#This Row],[CharAtPos2_3]]="#",1,0)</f>
        <v>0</v>
      </c>
      <c r="K214" s="1">
        <f t="shared" si="18"/>
        <v>1485</v>
      </c>
      <c r="L214" s="1" t="str">
        <f>MID(aoc_03_input[[#This Row],[Forest]],MOD(aoc_03_input[[#This Row],[Pos2_4]]-1,LEN(aoc_03_input[[#This Row],[Forest]]))+1,1)</f>
        <v>.</v>
      </c>
      <c r="M214" s="1">
        <f>IF(aoc_03_input[[#This Row],[CharAtPos2_4]]="#",1,0)</f>
        <v>0</v>
      </c>
      <c r="N214" s="1">
        <f>MOD(ROW(aoc_03_input[[#This Row],[CountRow2_5]])+1,2)</f>
        <v>1</v>
      </c>
      <c r="O214" s="1">
        <f t="shared" si="19"/>
        <v>107</v>
      </c>
      <c r="P214" s="1" t="str">
        <f>MID(aoc_03_input[[#This Row],[Forest]],MOD(aoc_03_input[[#This Row],[Pos2_5]]-1,LEN(aoc_03_input[[#This Row],[Forest]]))+1,1)</f>
        <v>#</v>
      </c>
      <c r="Q214" s="1">
        <f>IF(AND(aoc_03_input[[#This Row],[CountRow2_5]]=1,aoc_03_input[[#This Row],[CharAtPos2_5]]="#"),1,0)</f>
        <v>1</v>
      </c>
    </row>
    <row r="215" spans="1:17" x14ac:dyDescent="0.45">
      <c r="A215" s="1" t="s">
        <v>1599</v>
      </c>
      <c r="B215" s="1">
        <f t="shared" si="15"/>
        <v>640</v>
      </c>
      <c r="C215" s="1" t="str">
        <f>MID(aoc_03_input[[#This Row],[Forest]],MOD(aoc_03_input[[#This Row],[Pos1]]-1,LEN(aoc_03_input[[#This Row],[Forest]]))+1,1)</f>
        <v>#</v>
      </c>
      <c r="D215" s="1">
        <f>IF(aoc_03_input[[#This Row],[CharAtPos1]]="#",1,0)</f>
        <v>1</v>
      </c>
      <c r="E215" s="1">
        <f t="shared" si="16"/>
        <v>214</v>
      </c>
      <c r="F215" s="1" t="str">
        <f>MID(aoc_03_input[[#This Row],[Forest]],MOD(aoc_03_input[[#This Row],[Pos2_1]]-1,LEN(aoc_03_input[[#This Row],[Forest]]))+1,1)</f>
        <v>.</v>
      </c>
      <c r="G215" s="1">
        <f>IF(aoc_03_input[[#This Row],[CharAtPos2_1]]="#",1,0)</f>
        <v>0</v>
      </c>
      <c r="H215" s="1">
        <f t="shared" si="17"/>
        <v>1066</v>
      </c>
      <c r="I215" s="1" t="str">
        <f>MID(aoc_03_input[[#This Row],[Forest]],MOD(aoc_03_input[[#This Row],[Pos2_3]]-1,LEN(aoc_03_input[[#This Row],[Forest]]))+1,1)</f>
        <v>#</v>
      </c>
      <c r="J215" s="1">
        <f>IF(aoc_03_input[[#This Row],[CharAtPos2_3]]="#",1,0)</f>
        <v>1</v>
      </c>
      <c r="K215" s="1">
        <f t="shared" si="18"/>
        <v>1492</v>
      </c>
      <c r="L215" s="1" t="str">
        <f>MID(aoc_03_input[[#This Row],[Forest]],MOD(aoc_03_input[[#This Row],[Pos2_4]]-1,LEN(aoc_03_input[[#This Row],[Forest]]))+1,1)</f>
        <v>#</v>
      </c>
      <c r="M215" s="1">
        <f>IF(aoc_03_input[[#This Row],[CharAtPos2_4]]="#",1,0)</f>
        <v>1</v>
      </c>
      <c r="N215" s="1">
        <f>MOD(ROW(aoc_03_input[[#This Row],[CountRow2_5]])+1,2)</f>
        <v>0</v>
      </c>
      <c r="O215" s="1">
        <f t="shared" si="19"/>
        <v>107</v>
      </c>
      <c r="P215" s="1" t="str">
        <f>MID(aoc_03_input[[#This Row],[Forest]],MOD(aoc_03_input[[#This Row],[Pos2_5]]-1,LEN(aoc_03_input[[#This Row],[Forest]]))+1,1)</f>
        <v>.</v>
      </c>
      <c r="Q215" s="1">
        <f>IF(AND(aoc_03_input[[#This Row],[CountRow2_5]]=1,aoc_03_input[[#This Row],[CharAtPos2_5]]="#"),1,0)</f>
        <v>0</v>
      </c>
    </row>
    <row r="216" spans="1:17" x14ac:dyDescent="0.45">
      <c r="A216" s="1" t="s">
        <v>1600</v>
      </c>
      <c r="B216" s="1">
        <f t="shared" si="15"/>
        <v>643</v>
      </c>
      <c r="C216" s="1" t="str">
        <f>MID(aoc_03_input[[#This Row],[Forest]],MOD(aoc_03_input[[#This Row],[Pos1]]-1,LEN(aoc_03_input[[#This Row],[Forest]]))+1,1)</f>
        <v>#</v>
      </c>
      <c r="D216" s="1">
        <f>IF(aoc_03_input[[#This Row],[CharAtPos1]]="#",1,0)</f>
        <v>1</v>
      </c>
      <c r="E216" s="1">
        <f t="shared" si="16"/>
        <v>215</v>
      </c>
      <c r="F216" s="1" t="str">
        <f>MID(aoc_03_input[[#This Row],[Forest]],MOD(aoc_03_input[[#This Row],[Pos2_1]]-1,LEN(aoc_03_input[[#This Row],[Forest]]))+1,1)</f>
        <v>.</v>
      </c>
      <c r="G216" s="1">
        <f>IF(aoc_03_input[[#This Row],[CharAtPos2_1]]="#",1,0)</f>
        <v>0</v>
      </c>
      <c r="H216" s="1">
        <f t="shared" si="17"/>
        <v>1071</v>
      </c>
      <c r="I216" s="1" t="str">
        <f>MID(aoc_03_input[[#This Row],[Forest]],MOD(aoc_03_input[[#This Row],[Pos2_3]]-1,LEN(aoc_03_input[[#This Row],[Forest]]))+1,1)</f>
        <v>.</v>
      </c>
      <c r="J216" s="1">
        <f>IF(aoc_03_input[[#This Row],[CharAtPos2_3]]="#",1,0)</f>
        <v>0</v>
      </c>
      <c r="K216" s="1">
        <f t="shared" si="18"/>
        <v>1499</v>
      </c>
      <c r="L216" s="1" t="str">
        <f>MID(aoc_03_input[[#This Row],[Forest]],MOD(aoc_03_input[[#This Row],[Pos2_4]]-1,LEN(aoc_03_input[[#This Row],[Forest]]))+1,1)</f>
        <v>.</v>
      </c>
      <c r="M216" s="1">
        <f>IF(aoc_03_input[[#This Row],[CharAtPos2_4]]="#",1,0)</f>
        <v>0</v>
      </c>
      <c r="N216" s="1">
        <f>MOD(ROW(aoc_03_input[[#This Row],[CountRow2_5]])+1,2)</f>
        <v>1</v>
      </c>
      <c r="O216" s="1">
        <f t="shared" si="19"/>
        <v>108</v>
      </c>
      <c r="P216" s="1" t="str">
        <f>MID(aoc_03_input[[#This Row],[Forest]],MOD(aoc_03_input[[#This Row],[Pos2_5]]-1,LEN(aoc_03_input[[#This Row],[Forest]]))+1,1)</f>
        <v>.</v>
      </c>
      <c r="Q216" s="1">
        <f>IF(AND(aoc_03_input[[#This Row],[CountRow2_5]]=1,aoc_03_input[[#This Row],[CharAtPos2_5]]="#"),1,0)</f>
        <v>0</v>
      </c>
    </row>
    <row r="217" spans="1:17" x14ac:dyDescent="0.45">
      <c r="A217" s="1" t="s">
        <v>1601</v>
      </c>
      <c r="B217" s="1">
        <f t="shared" si="15"/>
        <v>646</v>
      </c>
      <c r="C217" s="1" t="str">
        <f>MID(aoc_03_input[[#This Row],[Forest]],MOD(aoc_03_input[[#This Row],[Pos1]]-1,LEN(aoc_03_input[[#This Row],[Forest]]))+1,1)</f>
        <v>#</v>
      </c>
      <c r="D217" s="1">
        <f>IF(aoc_03_input[[#This Row],[CharAtPos1]]="#",1,0)</f>
        <v>1</v>
      </c>
      <c r="E217" s="1">
        <f t="shared" si="16"/>
        <v>216</v>
      </c>
      <c r="F217" s="1" t="str">
        <f>MID(aoc_03_input[[#This Row],[Forest]],MOD(aoc_03_input[[#This Row],[Pos2_1]]-1,LEN(aoc_03_input[[#This Row],[Forest]]))+1,1)</f>
        <v>#</v>
      </c>
      <c r="G217" s="1">
        <f>IF(aoc_03_input[[#This Row],[CharAtPos2_1]]="#",1,0)</f>
        <v>1</v>
      </c>
      <c r="H217" s="1">
        <f t="shared" si="17"/>
        <v>1076</v>
      </c>
      <c r="I217" s="1" t="str">
        <f>MID(aoc_03_input[[#This Row],[Forest]],MOD(aoc_03_input[[#This Row],[Pos2_3]]-1,LEN(aoc_03_input[[#This Row],[Forest]]))+1,1)</f>
        <v>.</v>
      </c>
      <c r="J217" s="1">
        <f>IF(aoc_03_input[[#This Row],[CharAtPos2_3]]="#",1,0)</f>
        <v>0</v>
      </c>
      <c r="K217" s="1">
        <f t="shared" si="18"/>
        <v>1506</v>
      </c>
      <c r="L217" s="1" t="str">
        <f>MID(aoc_03_input[[#This Row],[Forest]],MOD(aoc_03_input[[#This Row],[Pos2_4]]-1,LEN(aoc_03_input[[#This Row],[Forest]]))+1,1)</f>
        <v>.</v>
      </c>
      <c r="M217" s="1">
        <f>IF(aoc_03_input[[#This Row],[CharAtPos2_4]]="#",1,0)</f>
        <v>0</v>
      </c>
      <c r="N217" s="1">
        <f>MOD(ROW(aoc_03_input[[#This Row],[CountRow2_5]])+1,2)</f>
        <v>0</v>
      </c>
      <c r="O217" s="1">
        <f t="shared" si="19"/>
        <v>108</v>
      </c>
      <c r="P217" s="1" t="str">
        <f>MID(aoc_03_input[[#This Row],[Forest]],MOD(aoc_03_input[[#This Row],[Pos2_5]]-1,LEN(aoc_03_input[[#This Row],[Forest]]))+1,1)</f>
        <v>.</v>
      </c>
      <c r="Q217" s="1">
        <f>IF(AND(aoc_03_input[[#This Row],[CountRow2_5]]=1,aoc_03_input[[#This Row],[CharAtPos2_5]]="#"),1,0)</f>
        <v>0</v>
      </c>
    </row>
    <row r="218" spans="1:17" x14ac:dyDescent="0.45">
      <c r="A218" s="1" t="s">
        <v>1602</v>
      </c>
      <c r="B218" s="1">
        <f t="shared" si="15"/>
        <v>649</v>
      </c>
      <c r="C218" s="1" t="str">
        <f>MID(aoc_03_input[[#This Row],[Forest]],MOD(aoc_03_input[[#This Row],[Pos1]]-1,LEN(aoc_03_input[[#This Row],[Forest]]))+1,1)</f>
        <v>#</v>
      </c>
      <c r="D218" s="1">
        <f>IF(aoc_03_input[[#This Row],[CharAtPos1]]="#",1,0)</f>
        <v>1</v>
      </c>
      <c r="E218" s="1">
        <f t="shared" si="16"/>
        <v>217</v>
      </c>
      <c r="F218" s="1" t="str">
        <f>MID(aoc_03_input[[#This Row],[Forest]],MOD(aoc_03_input[[#This Row],[Pos2_1]]-1,LEN(aoc_03_input[[#This Row],[Forest]]))+1,1)</f>
        <v>.</v>
      </c>
      <c r="G218" s="1">
        <f>IF(aoc_03_input[[#This Row],[CharAtPos2_1]]="#",1,0)</f>
        <v>0</v>
      </c>
      <c r="H218" s="1">
        <f t="shared" si="17"/>
        <v>1081</v>
      </c>
      <c r="I218" s="1" t="str">
        <f>MID(aoc_03_input[[#This Row],[Forest]],MOD(aoc_03_input[[#This Row],[Pos2_3]]-1,LEN(aoc_03_input[[#This Row],[Forest]]))+1,1)</f>
        <v>#</v>
      </c>
      <c r="J218" s="1">
        <f>IF(aoc_03_input[[#This Row],[CharAtPos2_3]]="#",1,0)</f>
        <v>1</v>
      </c>
      <c r="K218" s="1">
        <f t="shared" si="18"/>
        <v>1513</v>
      </c>
      <c r="L218" s="1" t="str">
        <f>MID(aoc_03_input[[#This Row],[Forest]],MOD(aoc_03_input[[#This Row],[Pos2_4]]-1,LEN(aoc_03_input[[#This Row],[Forest]]))+1,1)</f>
        <v>.</v>
      </c>
      <c r="M218" s="1">
        <f>IF(aoc_03_input[[#This Row],[CharAtPos2_4]]="#",1,0)</f>
        <v>0</v>
      </c>
      <c r="N218" s="1">
        <f>MOD(ROW(aoc_03_input[[#This Row],[CountRow2_5]])+1,2)</f>
        <v>1</v>
      </c>
      <c r="O218" s="1">
        <f t="shared" si="19"/>
        <v>109</v>
      </c>
      <c r="P218" s="1" t="str">
        <f>MID(aoc_03_input[[#This Row],[Forest]],MOD(aoc_03_input[[#This Row],[Pos2_5]]-1,LEN(aoc_03_input[[#This Row],[Forest]]))+1,1)</f>
        <v>.</v>
      </c>
      <c r="Q218" s="1">
        <f>IF(AND(aoc_03_input[[#This Row],[CountRow2_5]]=1,aoc_03_input[[#This Row],[CharAtPos2_5]]="#"),1,0)</f>
        <v>0</v>
      </c>
    </row>
    <row r="219" spans="1:17" x14ac:dyDescent="0.45">
      <c r="A219" s="1" t="s">
        <v>1603</v>
      </c>
      <c r="B219" s="1">
        <f t="shared" si="15"/>
        <v>652</v>
      </c>
      <c r="C219" s="1" t="str">
        <f>MID(aoc_03_input[[#This Row],[Forest]],MOD(aoc_03_input[[#This Row],[Pos1]]-1,LEN(aoc_03_input[[#This Row],[Forest]]))+1,1)</f>
        <v>#</v>
      </c>
      <c r="D219" s="1">
        <f>IF(aoc_03_input[[#This Row],[CharAtPos1]]="#",1,0)</f>
        <v>1</v>
      </c>
      <c r="E219" s="1">
        <f t="shared" si="16"/>
        <v>218</v>
      </c>
      <c r="F219" s="1" t="str">
        <f>MID(aoc_03_input[[#This Row],[Forest]],MOD(aoc_03_input[[#This Row],[Pos2_1]]-1,LEN(aoc_03_input[[#This Row],[Forest]]))+1,1)</f>
        <v>#</v>
      </c>
      <c r="G219" s="1">
        <f>IF(aoc_03_input[[#This Row],[CharAtPos2_1]]="#",1,0)</f>
        <v>1</v>
      </c>
      <c r="H219" s="1">
        <f t="shared" si="17"/>
        <v>1086</v>
      </c>
      <c r="I219" s="1" t="str">
        <f>MID(aoc_03_input[[#This Row],[Forest]],MOD(aoc_03_input[[#This Row],[Pos2_3]]-1,LEN(aoc_03_input[[#This Row],[Forest]]))+1,1)</f>
        <v>#</v>
      </c>
      <c r="J219" s="1">
        <f>IF(aoc_03_input[[#This Row],[CharAtPos2_3]]="#",1,0)</f>
        <v>1</v>
      </c>
      <c r="K219" s="1">
        <f t="shared" si="18"/>
        <v>1520</v>
      </c>
      <c r="L219" s="1" t="str">
        <f>MID(aoc_03_input[[#This Row],[Forest]],MOD(aoc_03_input[[#This Row],[Pos2_4]]-1,LEN(aoc_03_input[[#This Row],[Forest]]))+1,1)</f>
        <v>#</v>
      </c>
      <c r="M219" s="1">
        <f>IF(aoc_03_input[[#This Row],[CharAtPos2_4]]="#",1,0)</f>
        <v>1</v>
      </c>
      <c r="N219" s="1">
        <f>MOD(ROW(aoc_03_input[[#This Row],[CountRow2_5]])+1,2)</f>
        <v>0</v>
      </c>
      <c r="O219" s="1">
        <f t="shared" si="19"/>
        <v>109</v>
      </c>
      <c r="P219" s="1" t="str">
        <f>MID(aoc_03_input[[#This Row],[Forest]],MOD(aoc_03_input[[#This Row],[Pos2_5]]-1,LEN(aoc_03_input[[#This Row],[Forest]]))+1,1)</f>
        <v>#</v>
      </c>
      <c r="Q219" s="1">
        <f>IF(AND(aoc_03_input[[#This Row],[CountRow2_5]]=1,aoc_03_input[[#This Row],[CharAtPos2_5]]="#"),1,0)</f>
        <v>0</v>
      </c>
    </row>
    <row r="220" spans="1:17" x14ac:dyDescent="0.45">
      <c r="A220" s="1" t="s">
        <v>1604</v>
      </c>
      <c r="B220" s="1">
        <f t="shared" si="15"/>
        <v>655</v>
      </c>
      <c r="C220" s="1" t="str">
        <f>MID(aoc_03_input[[#This Row],[Forest]],MOD(aoc_03_input[[#This Row],[Pos1]]-1,LEN(aoc_03_input[[#This Row],[Forest]]))+1,1)</f>
        <v>#</v>
      </c>
      <c r="D220" s="1">
        <f>IF(aoc_03_input[[#This Row],[CharAtPos1]]="#",1,0)</f>
        <v>1</v>
      </c>
      <c r="E220" s="1">
        <f t="shared" si="16"/>
        <v>219</v>
      </c>
      <c r="F220" s="1" t="str">
        <f>MID(aoc_03_input[[#This Row],[Forest]],MOD(aoc_03_input[[#This Row],[Pos2_1]]-1,LEN(aoc_03_input[[#This Row],[Forest]]))+1,1)</f>
        <v>.</v>
      </c>
      <c r="G220" s="1">
        <f>IF(aoc_03_input[[#This Row],[CharAtPos2_1]]="#",1,0)</f>
        <v>0</v>
      </c>
      <c r="H220" s="1">
        <f t="shared" si="17"/>
        <v>1091</v>
      </c>
      <c r="I220" s="1" t="str">
        <f>MID(aoc_03_input[[#This Row],[Forest]],MOD(aoc_03_input[[#This Row],[Pos2_3]]-1,LEN(aoc_03_input[[#This Row],[Forest]]))+1,1)</f>
        <v>.</v>
      </c>
      <c r="J220" s="1">
        <f>IF(aoc_03_input[[#This Row],[CharAtPos2_3]]="#",1,0)</f>
        <v>0</v>
      </c>
      <c r="K220" s="1">
        <f t="shared" si="18"/>
        <v>1527</v>
      </c>
      <c r="L220" s="1" t="str">
        <f>MID(aoc_03_input[[#This Row],[Forest]],MOD(aoc_03_input[[#This Row],[Pos2_4]]-1,LEN(aoc_03_input[[#This Row],[Forest]]))+1,1)</f>
        <v>#</v>
      </c>
      <c r="M220" s="1">
        <f>IF(aoc_03_input[[#This Row],[CharAtPos2_4]]="#",1,0)</f>
        <v>1</v>
      </c>
      <c r="N220" s="1">
        <f>MOD(ROW(aoc_03_input[[#This Row],[CountRow2_5]])+1,2)</f>
        <v>1</v>
      </c>
      <c r="O220" s="1">
        <f t="shared" si="19"/>
        <v>110</v>
      </c>
      <c r="P220" s="1" t="str">
        <f>MID(aoc_03_input[[#This Row],[Forest]],MOD(aoc_03_input[[#This Row],[Pos2_5]]-1,LEN(aoc_03_input[[#This Row],[Forest]]))+1,1)</f>
        <v>.</v>
      </c>
      <c r="Q220" s="1">
        <f>IF(AND(aoc_03_input[[#This Row],[CountRow2_5]]=1,aoc_03_input[[#This Row],[CharAtPos2_5]]="#"),1,0)</f>
        <v>0</v>
      </c>
    </row>
    <row r="221" spans="1:17" x14ac:dyDescent="0.45">
      <c r="A221" s="1" t="s">
        <v>1605</v>
      </c>
      <c r="B221" s="1">
        <f t="shared" si="15"/>
        <v>658</v>
      </c>
      <c r="C221" s="1" t="str">
        <f>MID(aoc_03_input[[#This Row],[Forest]],MOD(aoc_03_input[[#This Row],[Pos1]]-1,LEN(aoc_03_input[[#This Row],[Forest]]))+1,1)</f>
        <v>#</v>
      </c>
      <c r="D221" s="1">
        <f>IF(aoc_03_input[[#This Row],[CharAtPos1]]="#",1,0)</f>
        <v>1</v>
      </c>
      <c r="E221" s="1">
        <f t="shared" si="16"/>
        <v>220</v>
      </c>
      <c r="F221" s="1" t="str">
        <f>MID(aoc_03_input[[#This Row],[Forest]],MOD(aoc_03_input[[#This Row],[Pos2_1]]-1,LEN(aoc_03_input[[#This Row],[Forest]]))+1,1)</f>
        <v>.</v>
      </c>
      <c r="G221" s="1">
        <f>IF(aoc_03_input[[#This Row],[CharAtPos2_1]]="#",1,0)</f>
        <v>0</v>
      </c>
      <c r="H221" s="1">
        <f t="shared" si="17"/>
        <v>1096</v>
      </c>
      <c r="I221" s="1" t="str">
        <f>MID(aoc_03_input[[#This Row],[Forest]],MOD(aoc_03_input[[#This Row],[Pos2_3]]-1,LEN(aoc_03_input[[#This Row],[Forest]]))+1,1)</f>
        <v>#</v>
      </c>
      <c r="J221" s="1">
        <f>IF(aoc_03_input[[#This Row],[CharAtPos2_3]]="#",1,0)</f>
        <v>1</v>
      </c>
      <c r="K221" s="1">
        <f t="shared" si="18"/>
        <v>1534</v>
      </c>
      <c r="L221" s="1" t="str">
        <f>MID(aoc_03_input[[#This Row],[Forest]],MOD(aoc_03_input[[#This Row],[Pos2_4]]-1,LEN(aoc_03_input[[#This Row],[Forest]]))+1,1)</f>
        <v>.</v>
      </c>
      <c r="M221" s="1">
        <f>IF(aoc_03_input[[#This Row],[CharAtPos2_4]]="#",1,0)</f>
        <v>0</v>
      </c>
      <c r="N221" s="1">
        <f>MOD(ROW(aoc_03_input[[#This Row],[CountRow2_5]])+1,2)</f>
        <v>0</v>
      </c>
      <c r="O221" s="1">
        <f t="shared" si="19"/>
        <v>110</v>
      </c>
      <c r="P221" s="1" t="str">
        <f>MID(aoc_03_input[[#This Row],[Forest]],MOD(aoc_03_input[[#This Row],[Pos2_5]]-1,LEN(aoc_03_input[[#This Row],[Forest]]))+1,1)</f>
        <v>#</v>
      </c>
      <c r="Q221" s="1">
        <f>IF(AND(aoc_03_input[[#This Row],[CountRow2_5]]=1,aoc_03_input[[#This Row],[CharAtPos2_5]]="#"),1,0)</f>
        <v>0</v>
      </c>
    </row>
    <row r="222" spans="1:17" x14ac:dyDescent="0.45">
      <c r="A222" s="1" t="s">
        <v>1606</v>
      </c>
      <c r="B222" s="1">
        <f t="shared" si="15"/>
        <v>661</v>
      </c>
      <c r="C222" s="1" t="str">
        <f>MID(aoc_03_input[[#This Row],[Forest]],MOD(aoc_03_input[[#This Row],[Pos1]]-1,LEN(aoc_03_input[[#This Row],[Forest]]))+1,1)</f>
        <v>#</v>
      </c>
      <c r="D222" s="1">
        <f>IF(aoc_03_input[[#This Row],[CharAtPos1]]="#",1,0)</f>
        <v>1</v>
      </c>
      <c r="E222" s="1">
        <f t="shared" si="16"/>
        <v>221</v>
      </c>
      <c r="F222" s="1" t="str">
        <f>MID(aoc_03_input[[#This Row],[Forest]],MOD(aoc_03_input[[#This Row],[Pos2_1]]-1,LEN(aoc_03_input[[#This Row],[Forest]]))+1,1)</f>
        <v>.</v>
      </c>
      <c r="G222" s="1">
        <f>IF(aoc_03_input[[#This Row],[CharAtPos2_1]]="#",1,0)</f>
        <v>0</v>
      </c>
      <c r="H222" s="1">
        <f t="shared" si="17"/>
        <v>1101</v>
      </c>
      <c r="I222" s="1" t="str">
        <f>MID(aoc_03_input[[#This Row],[Forest]],MOD(aoc_03_input[[#This Row],[Pos2_3]]-1,LEN(aoc_03_input[[#This Row],[Forest]]))+1,1)</f>
        <v>.</v>
      </c>
      <c r="J222" s="1">
        <f>IF(aoc_03_input[[#This Row],[CharAtPos2_3]]="#",1,0)</f>
        <v>0</v>
      </c>
      <c r="K222" s="1">
        <f t="shared" si="18"/>
        <v>1541</v>
      </c>
      <c r="L222" s="1" t="str">
        <f>MID(aoc_03_input[[#This Row],[Forest]],MOD(aoc_03_input[[#This Row],[Pos2_4]]-1,LEN(aoc_03_input[[#This Row],[Forest]]))+1,1)</f>
        <v>.</v>
      </c>
      <c r="M222" s="1">
        <f>IF(aoc_03_input[[#This Row],[CharAtPos2_4]]="#",1,0)</f>
        <v>0</v>
      </c>
      <c r="N222" s="1">
        <f>MOD(ROW(aoc_03_input[[#This Row],[CountRow2_5]])+1,2)</f>
        <v>1</v>
      </c>
      <c r="O222" s="1">
        <f t="shared" si="19"/>
        <v>111</v>
      </c>
      <c r="P222" s="1" t="str">
        <f>MID(aoc_03_input[[#This Row],[Forest]],MOD(aoc_03_input[[#This Row],[Pos2_5]]-1,LEN(aoc_03_input[[#This Row],[Forest]]))+1,1)</f>
        <v>.</v>
      </c>
      <c r="Q222" s="1">
        <f>IF(AND(aoc_03_input[[#This Row],[CountRow2_5]]=1,aoc_03_input[[#This Row],[CharAtPos2_5]]="#"),1,0)</f>
        <v>0</v>
      </c>
    </row>
    <row r="223" spans="1:17" x14ac:dyDescent="0.45">
      <c r="A223" s="1" t="s">
        <v>1607</v>
      </c>
      <c r="B223" s="1">
        <f t="shared" si="15"/>
        <v>664</v>
      </c>
      <c r="C223" s="1" t="str">
        <f>MID(aoc_03_input[[#This Row],[Forest]],MOD(aoc_03_input[[#This Row],[Pos1]]-1,LEN(aoc_03_input[[#This Row],[Forest]]))+1,1)</f>
        <v>#</v>
      </c>
      <c r="D223" s="1">
        <f>IF(aoc_03_input[[#This Row],[CharAtPos1]]="#",1,0)</f>
        <v>1</v>
      </c>
      <c r="E223" s="1">
        <f t="shared" si="16"/>
        <v>222</v>
      </c>
      <c r="F223" s="1" t="str">
        <f>MID(aoc_03_input[[#This Row],[Forest]],MOD(aoc_03_input[[#This Row],[Pos2_1]]-1,LEN(aoc_03_input[[#This Row],[Forest]]))+1,1)</f>
        <v>.</v>
      </c>
      <c r="G223" s="1">
        <f>IF(aoc_03_input[[#This Row],[CharAtPos2_1]]="#",1,0)</f>
        <v>0</v>
      </c>
      <c r="H223" s="1">
        <f t="shared" si="17"/>
        <v>1106</v>
      </c>
      <c r="I223" s="1" t="str">
        <f>MID(aoc_03_input[[#This Row],[Forest]],MOD(aoc_03_input[[#This Row],[Pos2_3]]-1,LEN(aoc_03_input[[#This Row],[Forest]]))+1,1)</f>
        <v>.</v>
      </c>
      <c r="J223" s="1">
        <f>IF(aoc_03_input[[#This Row],[CharAtPos2_3]]="#",1,0)</f>
        <v>0</v>
      </c>
      <c r="K223" s="1">
        <f t="shared" si="18"/>
        <v>1548</v>
      </c>
      <c r="L223" s="1" t="str">
        <f>MID(aoc_03_input[[#This Row],[Forest]],MOD(aoc_03_input[[#This Row],[Pos2_4]]-1,LEN(aoc_03_input[[#This Row],[Forest]]))+1,1)</f>
        <v>.</v>
      </c>
      <c r="M223" s="1">
        <f>IF(aoc_03_input[[#This Row],[CharAtPos2_4]]="#",1,0)</f>
        <v>0</v>
      </c>
      <c r="N223" s="1">
        <f>MOD(ROW(aoc_03_input[[#This Row],[CountRow2_5]])+1,2)</f>
        <v>0</v>
      </c>
      <c r="O223" s="1">
        <f t="shared" si="19"/>
        <v>111</v>
      </c>
      <c r="P223" s="1" t="str">
        <f>MID(aoc_03_input[[#This Row],[Forest]],MOD(aoc_03_input[[#This Row],[Pos2_5]]-1,LEN(aoc_03_input[[#This Row],[Forest]]))+1,1)</f>
        <v>#</v>
      </c>
      <c r="Q223" s="1">
        <f>IF(AND(aoc_03_input[[#This Row],[CountRow2_5]]=1,aoc_03_input[[#This Row],[CharAtPos2_5]]="#"),1,0)</f>
        <v>0</v>
      </c>
    </row>
    <row r="224" spans="1:17" x14ac:dyDescent="0.45">
      <c r="A224" s="1" t="s">
        <v>1608</v>
      </c>
      <c r="B224" s="1">
        <f t="shared" si="15"/>
        <v>667</v>
      </c>
      <c r="C224" s="1" t="str">
        <f>MID(aoc_03_input[[#This Row],[Forest]],MOD(aoc_03_input[[#This Row],[Pos1]]-1,LEN(aoc_03_input[[#This Row],[Forest]]))+1,1)</f>
        <v>.</v>
      </c>
      <c r="D224" s="1">
        <f>IF(aoc_03_input[[#This Row],[CharAtPos1]]="#",1,0)</f>
        <v>0</v>
      </c>
      <c r="E224" s="1">
        <f t="shared" si="16"/>
        <v>223</v>
      </c>
      <c r="F224" s="1" t="str">
        <f>MID(aoc_03_input[[#This Row],[Forest]],MOD(aoc_03_input[[#This Row],[Pos2_1]]-1,LEN(aoc_03_input[[#This Row],[Forest]]))+1,1)</f>
        <v>.</v>
      </c>
      <c r="G224" s="1">
        <f>IF(aoc_03_input[[#This Row],[CharAtPos2_1]]="#",1,0)</f>
        <v>0</v>
      </c>
      <c r="H224" s="1">
        <f t="shared" si="17"/>
        <v>1111</v>
      </c>
      <c r="I224" s="1" t="str">
        <f>MID(aoc_03_input[[#This Row],[Forest]],MOD(aoc_03_input[[#This Row],[Pos2_3]]-1,LEN(aoc_03_input[[#This Row],[Forest]]))+1,1)</f>
        <v>#</v>
      </c>
      <c r="J224" s="1">
        <f>IF(aoc_03_input[[#This Row],[CharAtPos2_3]]="#",1,0)</f>
        <v>1</v>
      </c>
      <c r="K224" s="1">
        <f t="shared" si="18"/>
        <v>1555</v>
      </c>
      <c r="L224" s="1" t="str">
        <f>MID(aoc_03_input[[#This Row],[Forest]],MOD(aoc_03_input[[#This Row],[Pos2_4]]-1,LEN(aoc_03_input[[#This Row],[Forest]]))+1,1)</f>
        <v>.</v>
      </c>
      <c r="M224" s="1">
        <f>IF(aoc_03_input[[#This Row],[CharAtPos2_4]]="#",1,0)</f>
        <v>0</v>
      </c>
      <c r="N224" s="1">
        <f>MOD(ROW(aoc_03_input[[#This Row],[CountRow2_5]])+1,2)</f>
        <v>1</v>
      </c>
      <c r="O224" s="1">
        <f t="shared" si="19"/>
        <v>112</v>
      </c>
      <c r="P224" s="1" t="str">
        <f>MID(aoc_03_input[[#This Row],[Forest]],MOD(aoc_03_input[[#This Row],[Pos2_5]]-1,LEN(aoc_03_input[[#This Row],[Forest]]))+1,1)</f>
        <v>.</v>
      </c>
      <c r="Q224" s="1">
        <f>IF(AND(aoc_03_input[[#This Row],[CountRow2_5]]=1,aoc_03_input[[#This Row],[CharAtPos2_5]]="#"),1,0)</f>
        <v>0</v>
      </c>
    </row>
    <row r="225" spans="1:17" x14ac:dyDescent="0.45">
      <c r="A225" s="1" t="s">
        <v>1609</v>
      </c>
      <c r="B225" s="1">
        <f t="shared" si="15"/>
        <v>670</v>
      </c>
      <c r="C225" s="1" t="str">
        <f>MID(aoc_03_input[[#This Row],[Forest]],MOD(aoc_03_input[[#This Row],[Pos1]]-1,LEN(aoc_03_input[[#This Row],[Forest]]))+1,1)</f>
        <v>.</v>
      </c>
      <c r="D225" s="1">
        <f>IF(aoc_03_input[[#This Row],[CharAtPos1]]="#",1,0)</f>
        <v>0</v>
      </c>
      <c r="E225" s="1">
        <f t="shared" si="16"/>
        <v>224</v>
      </c>
      <c r="F225" s="1" t="str">
        <f>MID(aoc_03_input[[#This Row],[Forest]],MOD(aoc_03_input[[#This Row],[Pos2_1]]-1,LEN(aoc_03_input[[#This Row],[Forest]]))+1,1)</f>
        <v>.</v>
      </c>
      <c r="G225" s="1">
        <f>IF(aoc_03_input[[#This Row],[CharAtPos2_1]]="#",1,0)</f>
        <v>0</v>
      </c>
      <c r="H225" s="1">
        <f t="shared" si="17"/>
        <v>1116</v>
      </c>
      <c r="I225" s="1" t="str">
        <f>MID(aoc_03_input[[#This Row],[Forest]],MOD(aoc_03_input[[#This Row],[Pos2_3]]-1,LEN(aoc_03_input[[#This Row],[Forest]]))+1,1)</f>
        <v>.</v>
      </c>
      <c r="J225" s="1">
        <f>IF(aoc_03_input[[#This Row],[CharAtPos2_3]]="#",1,0)</f>
        <v>0</v>
      </c>
      <c r="K225" s="1">
        <f t="shared" si="18"/>
        <v>1562</v>
      </c>
      <c r="L225" s="1" t="str">
        <f>MID(aoc_03_input[[#This Row],[Forest]],MOD(aoc_03_input[[#This Row],[Pos2_4]]-1,LEN(aoc_03_input[[#This Row],[Forest]]))+1,1)</f>
        <v>#</v>
      </c>
      <c r="M225" s="1">
        <f>IF(aoc_03_input[[#This Row],[CharAtPos2_4]]="#",1,0)</f>
        <v>1</v>
      </c>
      <c r="N225" s="1">
        <f>MOD(ROW(aoc_03_input[[#This Row],[CountRow2_5]])+1,2)</f>
        <v>0</v>
      </c>
      <c r="O225" s="1">
        <f t="shared" si="19"/>
        <v>112</v>
      </c>
      <c r="P225" s="1" t="str">
        <f>MID(aoc_03_input[[#This Row],[Forest]],MOD(aoc_03_input[[#This Row],[Pos2_5]]-1,LEN(aoc_03_input[[#This Row],[Forest]]))+1,1)</f>
        <v>.</v>
      </c>
      <c r="Q225" s="1">
        <f>IF(AND(aoc_03_input[[#This Row],[CountRow2_5]]=1,aoc_03_input[[#This Row],[CharAtPos2_5]]="#"),1,0)</f>
        <v>0</v>
      </c>
    </row>
    <row r="226" spans="1:17" x14ac:dyDescent="0.45">
      <c r="A226" s="1" t="s">
        <v>1610</v>
      </c>
      <c r="B226" s="1">
        <f t="shared" si="15"/>
        <v>673</v>
      </c>
      <c r="C226" s="1" t="str">
        <f>MID(aoc_03_input[[#This Row],[Forest]],MOD(aoc_03_input[[#This Row],[Pos1]]-1,LEN(aoc_03_input[[#This Row],[Forest]]))+1,1)</f>
        <v>.</v>
      </c>
      <c r="D226" s="1">
        <f>IF(aoc_03_input[[#This Row],[CharAtPos1]]="#",1,0)</f>
        <v>0</v>
      </c>
      <c r="E226" s="1">
        <f t="shared" si="16"/>
        <v>225</v>
      </c>
      <c r="F226" s="1" t="str">
        <f>MID(aoc_03_input[[#This Row],[Forest]],MOD(aoc_03_input[[#This Row],[Pos2_1]]-1,LEN(aoc_03_input[[#This Row],[Forest]]))+1,1)</f>
        <v>.</v>
      </c>
      <c r="G226" s="1">
        <f>IF(aoc_03_input[[#This Row],[CharAtPos2_1]]="#",1,0)</f>
        <v>0</v>
      </c>
      <c r="H226" s="1">
        <f t="shared" si="17"/>
        <v>1121</v>
      </c>
      <c r="I226" s="1" t="str">
        <f>MID(aoc_03_input[[#This Row],[Forest]],MOD(aoc_03_input[[#This Row],[Pos2_3]]-1,LEN(aoc_03_input[[#This Row],[Forest]]))+1,1)</f>
        <v>.</v>
      </c>
      <c r="J226" s="1">
        <f>IF(aoc_03_input[[#This Row],[CharAtPos2_3]]="#",1,0)</f>
        <v>0</v>
      </c>
      <c r="K226" s="1">
        <f t="shared" si="18"/>
        <v>1569</v>
      </c>
      <c r="L226" s="1" t="str">
        <f>MID(aoc_03_input[[#This Row],[Forest]],MOD(aoc_03_input[[#This Row],[Pos2_4]]-1,LEN(aoc_03_input[[#This Row],[Forest]]))+1,1)</f>
        <v>.</v>
      </c>
      <c r="M226" s="1">
        <f>IF(aoc_03_input[[#This Row],[CharAtPos2_4]]="#",1,0)</f>
        <v>0</v>
      </c>
      <c r="N226" s="1">
        <f>MOD(ROW(aoc_03_input[[#This Row],[CountRow2_5]])+1,2)</f>
        <v>1</v>
      </c>
      <c r="O226" s="1">
        <f t="shared" si="19"/>
        <v>113</v>
      </c>
      <c r="P226" s="1" t="str">
        <f>MID(aoc_03_input[[#This Row],[Forest]],MOD(aoc_03_input[[#This Row],[Pos2_5]]-1,LEN(aoc_03_input[[#This Row],[Forest]]))+1,1)</f>
        <v>#</v>
      </c>
      <c r="Q226" s="1">
        <f>IF(AND(aoc_03_input[[#This Row],[CountRow2_5]]=1,aoc_03_input[[#This Row],[CharAtPos2_5]]="#"),1,0)</f>
        <v>1</v>
      </c>
    </row>
    <row r="227" spans="1:17" x14ac:dyDescent="0.45">
      <c r="A227" s="1" t="s">
        <v>1611</v>
      </c>
      <c r="B227" s="1">
        <f t="shared" si="15"/>
        <v>676</v>
      </c>
      <c r="C227" s="1" t="str">
        <f>MID(aoc_03_input[[#This Row],[Forest]],MOD(aoc_03_input[[#This Row],[Pos1]]-1,LEN(aoc_03_input[[#This Row],[Forest]]))+1,1)</f>
        <v>.</v>
      </c>
      <c r="D227" s="1">
        <f>IF(aoc_03_input[[#This Row],[CharAtPos1]]="#",1,0)</f>
        <v>0</v>
      </c>
      <c r="E227" s="1">
        <f t="shared" si="16"/>
        <v>226</v>
      </c>
      <c r="F227" s="1" t="str">
        <f>MID(aoc_03_input[[#This Row],[Forest]],MOD(aoc_03_input[[#This Row],[Pos2_1]]-1,LEN(aoc_03_input[[#This Row],[Forest]]))+1,1)</f>
        <v>.</v>
      </c>
      <c r="G227" s="1">
        <f>IF(aoc_03_input[[#This Row],[CharAtPos2_1]]="#",1,0)</f>
        <v>0</v>
      </c>
      <c r="H227" s="1">
        <f t="shared" si="17"/>
        <v>1126</v>
      </c>
      <c r="I227" s="1" t="str">
        <f>MID(aoc_03_input[[#This Row],[Forest]],MOD(aoc_03_input[[#This Row],[Pos2_3]]-1,LEN(aoc_03_input[[#This Row],[Forest]]))+1,1)</f>
        <v>.</v>
      </c>
      <c r="J227" s="1">
        <f>IF(aoc_03_input[[#This Row],[CharAtPos2_3]]="#",1,0)</f>
        <v>0</v>
      </c>
      <c r="K227" s="1">
        <f t="shared" si="18"/>
        <v>1576</v>
      </c>
      <c r="L227" s="1" t="str">
        <f>MID(aoc_03_input[[#This Row],[Forest]],MOD(aoc_03_input[[#This Row],[Pos2_4]]-1,LEN(aoc_03_input[[#This Row],[Forest]]))+1,1)</f>
        <v>#</v>
      </c>
      <c r="M227" s="1">
        <f>IF(aoc_03_input[[#This Row],[CharAtPos2_4]]="#",1,0)</f>
        <v>1</v>
      </c>
      <c r="N227" s="1">
        <f>MOD(ROW(aoc_03_input[[#This Row],[CountRow2_5]])+1,2)</f>
        <v>0</v>
      </c>
      <c r="O227" s="1">
        <f t="shared" si="19"/>
        <v>113</v>
      </c>
      <c r="P227" s="1" t="str">
        <f>MID(aoc_03_input[[#This Row],[Forest]],MOD(aoc_03_input[[#This Row],[Pos2_5]]-1,LEN(aoc_03_input[[#This Row],[Forest]]))+1,1)</f>
        <v>.</v>
      </c>
      <c r="Q227" s="1">
        <f>IF(AND(aoc_03_input[[#This Row],[CountRow2_5]]=1,aoc_03_input[[#This Row],[CharAtPos2_5]]="#"),1,0)</f>
        <v>0</v>
      </c>
    </row>
    <row r="228" spans="1:17" x14ac:dyDescent="0.45">
      <c r="A228" s="1" t="s">
        <v>1612</v>
      </c>
      <c r="B228" s="1">
        <f t="shared" si="15"/>
        <v>679</v>
      </c>
      <c r="C228" s="1" t="str">
        <f>MID(aoc_03_input[[#This Row],[Forest]],MOD(aoc_03_input[[#This Row],[Pos1]]-1,LEN(aoc_03_input[[#This Row],[Forest]]))+1,1)</f>
        <v>.</v>
      </c>
      <c r="D228" s="1">
        <f>IF(aoc_03_input[[#This Row],[CharAtPos1]]="#",1,0)</f>
        <v>0</v>
      </c>
      <c r="E228" s="1">
        <f t="shared" si="16"/>
        <v>227</v>
      </c>
      <c r="F228" s="1" t="str">
        <f>MID(aoc_03_input[[#This Row],[Forest]],MOD(aoc_03_input[[#This Row],[Pos2_1]]-1,LEN(aoc_03_input[[#This Row],[Forest]]))+1,1)</f>
        <v>.</v>
      </c>
      <c r="G228" s="1">
        <f>IF(aoc_03_input[[#This Row],[CharAtPos2_1]]="#",1,0)</f>
        <v>0</v>
      </c>
      <c r="H228" s="1">
        <f t="shared" si="17"/>
        <v>1131</v>
      </c>
      <c r="I228" s="1" t="str">
        <f>MID(aoc_03_input[[#This Row],[Forest]],MOD(aoc_03_input[[#This Row],[Pos2_3]]-1,LEN(aoc_03_input[[#This Row],[Forest]]))+1,1)</f>
        <v>#</v>
      </c>
      <c r="J228" s="1">
        <f>IF(aoc_03_input[[#This Row],[CharAtPos2_3]]="#",1,0)</f>
        <v>1</v>
      </c>
      <c r="K228" s="1">
        <f t="shared" si="18"/>
        <v>1583</v>
      </c>
      <c r="L228" s="1" t="str">
        <f>MID(aoc_03_input[[#This Row],[Forest]],MOD(aoc_03_input[[#This Row],[Pos2_4]]-1,LEN(aoc_03_input[[#This Row],[Forest]]))+1,1)</f>
        <v>.</v>
      </c>
      <c r="M228" s="1">
        <f>IF(aoc_03_input[[#This Row],[CharAtPos2_4]]="#",1,0)</f>
        <v>0</v>
      </c>
      <c r="N228" s="1">
        <f>MOD(ROW(aoc_03_input[[#This Row],[CountRow2_5]])+1,2)</f>
        <v>1</v>
      </c>
      <c r="O228" s="1">
        <f t="shared" si="19"/>
        <v>114</v>
      </c>
      <c r="P228" s="1" t="str">
        <f>MID(aoc_03_input[[#This Row],[Forest]],MOD(aoc_03_input[[#This Row],[Pos2_5]]-1,LEN(aoc_03_input[[#This Row],[Forest]]))+1,1)</f>
        <v>.</v>
      </c>
      <c r="Q228" s="1">
        <f>IF(AND(aoc_03_input[[#This Row],[CountRow2_5]]=1,aoc_03_input[[#This Row],[CharAtPos2_5]]="#"),1,0)</f>
        <v>0</v>
      </c>
    </row>
    <row r="229" spans="1:17" x14ac:dyDescent="0.45">
      <c r="A229" s="1" t="s">
        <v>1613</v>
      </c>
      <c r="B229" s="1">
        <f t="shared" si="15"/>
        <v>682</v>
      </c>
      <c r="C229" s="1" t="str">
        <f>MID(aoc_03_input[[#This Row],[Forest]],MOD(aoc_03_input[[#This Row],[Pos1]]-1,LEN(aoc_03_input[[#This Row],[Forest]]))+1,1)</f>
        <v>.</v>
      </c>
      <c r="D229" s="1">
        <f>IF(aoc_03_input[[#This Row],[CharAtPos1]]="#",1,0)</f>
        <v>0</v>
      </c>
      <c r="E229" s="1">
        <f t="shared" si="16"/>
        <v>228</v>
      </c>
      <c r="F229" s="1" t="str">
        <f>MID(aoc_03_input[[#This Row],[Forest]],MOD(aoc_03_input[[#This Row],[Pos2_1]]-1,LEN(aoc_03_input[[#This Row],[Forest]]))+1,1)</f>
        <v>.</v>
      </c>
      <c r="G229" s="1">
        <f>IF(aoc_03_input[[#This Row],[CharAtPos2_1]]="#",1,0)</f>
        <v>0</v>
      </c>
      <c r="H229" s="1">
        <f t="shared" si="17"/>
        <v>1136</v>
      </c>
      <c r="I229" s="1" t="str">
        <f>MID(aoc_03_input[[#This Row],[Forest]],MOD(aoc_03_input[[#This Row],[Pos2_3]]-1,LEN(aoc_03_input[[#This Row],[Forest]]))+1,1)</f>
        <v>.</v>
      </c>
      <c r="J229" s="1">
        <f>IF(aoc_03_input[[#This Row],[CharAtPos2_3]]="#",1,0)</f>
        <v>0</v>
      </c>
      <c r="K229" s="1">
        <f t="shared" si="18"/>
        <v>1590</v>
      </c>
      <c r="L229" s="1" t="str">
        <f>MID(aoc_03_input[[#This Row],[Forest]],MOD(aoc_03_input[[#This Row],[Pos2_4]]-1,LEN(aoc_03_input[[#This Row],[Forest]]))+1,1)</f>
        <v>.</v>
      </c>
      <c r="M229" s="1">
        <f>IF(aoc_03_input[[#This Row],[CharAtPos2_4]]="#",1,0)</f>
        <v>0</v>
      </c>
      <c r="N229" s="1">
        <f>MOD(ROW(aoc_03_input[[#This Row],[CountRow2_5]])+1,2)</f>
        <v>0</v>
      </c>
      <c r="O229" s="1">
        <f t="shared" si="19"/>
        <v>114</v>
      </c>
      <c r="P229" s="1" t="str">
        <f>MID(aoc_03_input[[#This Row],[Forest]],MOD(aoc_03_input[[#This Row],[Pos2_5]]-1,LEN(aoc_03_input[[#This Row],[Forest]]))+1,1)</f>
        <v>.</v>
      </c>
      <c r="Q229" s="1">
        <f>IF(AND(aoc_03_input[[#This Row],[CountRow2_5]]=1,aoc_03_input[[#This Row],[CharAtPos2_5]]="#"),1,0)</f>
        <v>0</v>
      </c>
    </row>
    <row r="230" spans="1:17" x14ac:dyDescent="0.45">
      <c r="A230" s="1" t="s">
        <v>1614</v>
      </c>
      <c r="B230" s="1">
        <f t="shared" si="15"/>
        <v>685</v>
      </c>
      <c r="C230" s="1" t="str">
        <f>MID(aoc_03_input[[#This Row],[Forest]],MOD(aoc_03_input[[#This Row],[Pos1]]-1,LEN(aoc_03_input[[#This Row],[Forest]]))+1,1)</f>
        <v>#</v>
      </c>
      <c r="D230" s="1">
        <f>IF(aoc_03_input[[#This Row],[CharAtPos1]]="#",1,0)</f>
        <v>1</v>
      </c>
      <c r="E230" s="1">
        <f t="shared" si="16"/>
        <v>229</v>
      </c>
      <c r="F230" s="1" t="str">
        <f>MID(aoc_03_input[[#This Row],[Forest]],MOD(aoc_03_input[[#This Row],[Pos2_1]]-1,LEN(aoc_03_input[[#This Row],[Forest]]))+1,1)</f>
        <v>.</v>
      </c>
      <c r="G230" s="1">
        <f>IF(aoc_03_input[[#This Row],[CharAtPos2_1]]="#",1,0)</f>
        <v>0</v>
      </c>
      <c r="H230" s="1">
        <f t="shared" si="17"/>
        <v>1141</v>
      </c>
      <c r="I230" s="1" t="str">
        <f>MID(aoc_03_input[[#This Row],[Forest]],MOD(aoc_03_input[[#This Row],[Pos2_3]]-1,LEN(aoc_03_input[[#This Row],[Forest]]))+1,1)</f>
        <v>.</v>
      </c>
      <c r="J230" s="1">
        <f>IF(aoc_03_input[[#This Row],[CharAtPos2_3]]="#",1,0)</f>
        <v>0</v>
      </c>
      <c r="K230" s="1">
        <f t="shared" si="18"/>
        <v>1597</v>
      </c>
      <c r="L230" s="1" t="str">
        <f>MID(aoc_03_input[[#This Row],[Forest]],MOD(aoc_03_input[[#This Row],[Pos2_4]]-1,LEN(aoc_03_input[[#This Row],[Forest]]))+1,1)</f>
        <v>.</v>
      </c>
      <c r="M230" s="1">
        <f>IF(aoc_03_input[[#This Row],[CharAtPos2_4]]="#",1,0)</f>
        <v>0</v>
      </c>
      <c r="N230" s="1">
        <f>MOD(ROW(aoc_03_input[[#This Row],[CountRow2_5]])+1,2)</f>
        <v>1</v>
      </c>
      <c r="O230" s="1">
        <f t="shared" si="19"/>
        <v>115</v>
      </c>
      <c r="P230" s="1" t="str">
        <f>MID(aoc_03_input[[#This Row],[Forest]],MOD(aoc_03_input[[#This Row],[Pos2_5]]-1,LEN(aoc_03_input[[#This Row],[Forest]]))+1,1)</f>
        <v>.</v>
      </c>
      <c r="Q230" s="1">
        <f>IF(AND(aoc_03_input[[#This Row],[CountRow2_5]]=1,aoc_03_input[[#This Row],[CharAtPos2_5]]="#"),1,0)</f>
        <v>0</v>
      </c>
    </row>
    <row r="231" spans="1:17" x14ac:dyDescent="0.45">
      <c r="A231" s="1" t="s">
        <v>1615</v>
      </c>
      <c r="B231" s="1">
        <f t="shared" si="15"/>
        <v>688</v>
      </c>
      <c r="C231" s="1" t="str">
        <f>MID(aoc_03_input[[#This Row],[Forest]],MOD(aoc_03_input[[#This Row],[Pos1]]-1,LEN(aoc_03_input[[#This Row],[Forest]]))+1,1)</f>
        <v>#</v>
      </c>
      <c r="D231" s="1">
        <f>IF(aoc_03_input[[#This Row],[CharAtPos1]]="#",1,0)</f>
        <v>1</v>
      </c>
      <c r="E231" s="1">
        <f t="shared" si="16"/>
        <v>230</v>
      </c>
      <c r="F231" s="1" t="str">
        <f>MID(aoc_03_input[[#This Row],[Forest]],MOD(aoc_03_input[[#This Row],[Pos2_1]]-1,LEN(aoc_03_input[[#This Row],[Forest]]))+1,1)</f>
        <v>#</v>
      </c>
      <c r="G231" s="1">
        <f>IF(aoc_03_input[[#This Row],[CharAtPos2_1]]="#",1,0)</f>
        <v>1</v>
      </c>
      <c r="H231" s="1">
        <f t="shared" si="17"/>
        <v>1146</v>
      </c>
      <c r="I231" s="1" t="str">
        <f>MID(aoc_03_input[[#This Row],[Forest]],MOD(aoc_03_input[[#This Row],[Pos2_3]]-1,LEN(aoc_03_input[[#This Row],[Forest]]))+1,1)</f>
        <v>.</v>
      </c>
      <c r="J231" s="1">
        <f>IF(aoc_03_input[[#This Row],[CharAtPos2_3]]="#",1,0)</f>
        <v>0</v>
      </c>
      <c r="K231" s="1">
        <f t="shared" si="18"/>
        <v>1604</v>
      </c>
      <c r="L231" s="1" t="str">
        <f>MID(aoc_03_input[[#This Row],[Forest]],MOD(aoc_03_input[[#This Row],[Pos2_4]]-1,LEN(aoc_03_input[[#This Row],[Forest]]))+1,1)</f>
        <v>.</v>
      </c>
      <c r="M231" s="1">
        <f>IF(aoc_03_input[[#This Row],[CharAtPos2_4]]="#",1,0)</f>
        <v>0</v>
      </c>
      <c r="N231" s="1">
        <f>MOD(ROW(aoc_03_input[[#This Row],[CountRow2_5]])+1,2)</f>
        <v>0</v>
      </c>
      <c r="O231" s="1">
        <f t="shared" si="19"/>
        <v>115</v>
      </c>
      <c r="P231" s="1" t="str">
        <f>MID(aoc_03_input[[#This Row],[Forest]],MOD(aoc_03_input[[#This Row],[Pos2_5]]-1,LEN(aoc_03_input[[#This Row],[Forest]]))+1,1)</f>
        <v>#</v>
      </c>
      <c r="Q231" s="1">
        <f>IF(AND(aoc_03_input[[#This Row],[CountRow2_5]]=1,aoc_03_input[[#This Row],[CharAtPos2_5]]="#"),1,0)</f>
        <v>0</v>
      </c>
    </row>
    <row r="232" spans="1:17" x14ac:dyDescent="0.45">
      <c r="A232" s="1" t="s">
        <v>1616</v>
      </c>
      <c r="B232" s="1">
        <f t="shared" si="15"/>
        <v>691</v>
      </c>
      <c r="C232" s="1" t="str">
        <f>MID(aoc_03_input[[#This Row],[Forest]],MOD(aoc_03_input[[#This Row],[Pos1]]-1,LEN(aoc_03_input[[#This Row],[Forest]]))+1,1)</f>
        <v>.</v>
      </c>
      <c r="D232" s="1">
        <f>IF(aoc_03_input[[#This Row],[CharAtPos1]]="#",1,0)</f>
        <v>0</v>
      </c>
      <c r="E232" s="1">
        <f t="shared" si="16"/>
        <v>231</v>
      </c>
      <c r="F232" s="1" t="str">
        <f>MID(aoc_03_input[[#This Row],[Forest]],MOD(aoc_03_input[[#This Row],[Pos2_1]]-1,LEN(aoc_03_input[[#This Row],[Forest]]))+1,1)</f>
        <v>.</v>
      </c>
      <c r="G232" s="1">
        <f>IF(aoc_03_input[[#This Row],[CharAtPos2_1]]="#",1,0)</f>
        <v>0</v>
      </c>
      <c r="H232" s="1">
        <f t="shared" si="17"/>
        <v>1151</v>
      </c>
      <c r="I232" s="1" t="str">
        <f>MID(aoc_03_input[[#This Row],[Forest]],MOD(aoc_03_input[[#This Row],[Pos2_3]]-1,LEN(aoc_03_input[[#This Row],[Forest]]))+1,1)</f>
        <v>.</v>
      </c>
      <c r="J232" s="1">
        <f>IF(aoc_03_input[[#This Row],[CharAtPos2_3]]="#",1,0)</f>
        <v>0</v>
      </c>
      <c r="K232" s="1">
        <f t="shared" si="18"/>
        <v>1611</v>
      </c>
      <c r="L232" s="1" t="str">
        <f>MID(aoc_03_input[[#This Row],[Forest]],MOD(aoc_03_input[[#This Row],[Pos2_4]]-1,LEN(aoc_03_input[[#This Row],[Forest]]))+1,1)</f>
        <v>#</v>
      </c>
      <c r="M232" s="1">
        <f>IF(aoc_03_input[[#This Row],[CharAtPos2_4]]="#",1,0)</f>
        <v>1</v>
      </c>
      <c r="N232" s="1">
        <f>MOD(ROW(aoc_03_input[[#This Row],[CountRow2_5]])+1,2)</f>
        <v>1</v>
      </c>
      <c r="O232" s="1">
        <f t="shared" si="19"/>
        <v>116</v>
      </c>
      <c r="P232" s="1" t="str">
        <f>MID(aoc_03_input[[#This Row],[Forest]],MOD(aoc_03_input[[#This Row],[Pos2_5]]-1,LEN(aoc_03_input[[#This Row],[Forest]]))+1,1)</f>
        <v>.</v>
      </c>
      <c r="Q232" s="1">
        <f>IF(AND(aoc_03_input[[#This Row],[CountRow2_5]]=1,aoc_03_input[[#This Row],[CharAtPos2_5]]="#"),1,0)</f>
        <v>0</v>
      </c>
    </row>
    <row r="233" spans="1:17" x14ac:dyDescent="0.45">
      <c r="A233" s="1" t="s">
        <v>1617</v>
      </c>
      <c r="B233" s="1">
        <f t="shared" si="15"/>
        <v>694</v>
      </c>
      <c r="C233" s="1" t="str">
        <f>MID(aoc_03_input[[#This Row],[Forest]],MOD(aoc_03_input[[#This Row],[Pos1]]-1,LEN(aoc_03_input[[#This Row],[Forest]]))+1,1)</f>
        <v>.</v>
      </c>
      <c r="D233" s="1">
        <f>IF(aoc_03_input[[#This Row],[CharAtPos1]]="#",1,0)</f>
        <v>0</v>
      </c>
      <c r="E233" s="1">
        <f t="shared" si="16"/>
        <v>232</v>
      </c>
      <c r="F233" s="1" t="str">
        <f>MID(aoc_03_input[[#This Row],[Forest]],MOD(aoc_03_input[[#This Row],[Pos2_1]]-1,LEN(aoc_03_input[[#This Row],[Forest]]))+1,1)</f>
        <v>#</v>
      </c>
      <c r="G233" s="1">
        <f>IF(aoc_03_input[[#This Row],[CharAtPos2_1]]="#",1,0)</f>
        <v>1</v>
      </c>
      <c r="H233" s="1">
        <f t="shared" si="17"/>
        <v>1156</v>
      </c>
      <c r="I233" s="1" t="str">
        <f>MID(aoc_03_input[[#This Row],[Forest]],MOD(aoc_03_input[[#This Row],[Pos2_3]]-1,LEN(aoc_03_input[[#This Row],[Forest]]))+1,1)</f>
        <v>.</v>
      </c>
      <c r="J233" s="1">
        <f>IF(aoc_03_input[[#This Row],[CharAtPos2_3]]="#",1,0)</f>
        <v>0</v>
      </c>
      <c r="K233" s="1">
        <f t="shared" si="18"/>
        <v>1618</v>
      </c>
      <c r="L233" s="1" t="str">
        <f>MID(aoc_03_input[[#This Row],[Forest]],MOD(aoc_03_input[[#This Row],[Pos2_4]]-1,LEN(aoc_03_input[[#This Row],[Forest]]))+1,1)</f>
        <v>.</v>
      </c>
      <c r="M233" s="1">
        <f>IF(aoc_03_input[[#This Row],[CharAtPos2_4]]="#",1,0)</f>
        <v>0</v>
      </c>
      <c r="N233" s="1">
        <f>MOD(ROW(aoc_03_input[[#This Row],[CountRow2_5]])+1,2)</f>
        <v>0</v>
      </c>
      <c r="O233" s="1">
        <f t="shared" si="19"/>
        <v>116</v>
      </c>
      <c r="P233" s="1" t="str">
        <f>MID(aoc_03_input[[#This Row],[Forest]],MOD(aoc_03_input[[#This Row],[Pos2_5]]-1,LEN(aoc_03_input[[#This Row],[Forest]]))+1,1)</f>
        <v>.</v>
      </c>
      <c r="Q233" s="1">
        <f>IF(AND(aoc_03_input[[#This Row],[CountRow2_5]]=1,aoc_03_input[[#This Row],[CharAtPos2_5]]="#"),1,0)</f>
        <v>0</v>
      </c>
    </row>
    <row r="234" spans="1:17" x14ac:dyDescent="0.45">
      <c r="A234" s="1" t="s">
        <v>1618</v>
      </c>
      <c r="B234" s="1">
        <f t="shared" si="15"/>
        <v>697</v>
      </c>
      <c r="C234" s="1" t="str">
        <f>MID(aoc_03_input[[#This Row],[Forest]],MOD(aoc_03_input[[#This Row],[Pos1]]-1,LEN(aoc_03_input[[#This Row],[Forest]]))+1,1)</f>
        <v>.</v>
      </c>
      <c r="D234" s="1">
        <f>IF(aoc_03_input[[#This Row],[CharAtPos1]]="#",1,0)</f>
        <v>0</v>
      </c>
      <c r="E234" s="1">
        <f t="shared" si="16"/>
        <v>233</v>
      </c>
      <c r="F234" s="1" t="str">
        <f>MID(aoc_03_input[[#This Row],[Forest]],MOD(aoc_03_input[[#This Row],[Pos2_1]]-1,LEN(aoc_03_input[[#This Row],[Forest]]))+1,1)</f>
        <v>.</v>
      </c>
      <c r="G234" s="1">
        <f>IF(aoc_03_input[[#This Row],[CharAtPos2_1]]="#",1,0)</f>
        <v>0</v>
      </c>
      <c r="H234" s="1">
        <f t="shared" si="17"/>
        <v>1161</v>
      </c>
      <c r="I234" s="1" t="str">
        <f>MID(aoc_03_input[[#This Row],[Forest]],MOD(aoc_03_input[[#This Row],[Pos2_3]]-1,LEN(aoc_03_input[[#This Row],[Forest]]))+1,1)</f>
        <v>.</v>
      </c>
      <c r="J234" s="1">
        <f>IF(aoc_03_input[[#This Row],[CharAtPos2_3]]="#",1,0)</f>
        <v>0</v>
      </c>
      <c r="K234" s="1">
        <f t="shared" si="18"/>
        <v>1625</v>
      </c>
      <c r="L234" s="1" t="str">
        <f>MID(aoc_03_input[[#This Row],[Forest]],MOD(aoc_03_input[[#This Row],[Pos2_4]]-1,LEN(aoc_03_input[[#This Row],[Forest]]))+1,1)</f>
        <v>#</v>
      </c>
      <c r="M234" s="1">
        <f>IF(aoc_03_input[[#This Row],[CharAtPos2_4]]="#",1,0)</f>
        <v>1</v>
      </c>
      <c r="N234" s="1">
        <f>MOD(ROW(aoc_03_input[[#This Row],[CountRow2_5]])+1,2)</f>
        <v>1</v>
      </c>
      <c r="O234" s="1">
        <f t="shared" si="19"/>
        <v>117</v>
      </c>
      <c r="P234" s="1" t="str">
        <f>MID(aoc_03_input[[#This Row],[Forest]],MOD(aoc_03_input[[#This Row],[Pos2_5]]-1,LEN(aoc_03_input[[#This Row],[Forest]]))+1,1)</f>
        <v>.</v>
      </c>
      <c r="Q234" s="1">
        <f>IF(AND(aoc_03_input[[#This Row],[CountRow2_5]]=1,aoc_03_input[[#This Row],[CharAtPos2_5]]="#"),1,0)</f>
        <v>0</v>
      </c>
    </row>
    <row r="235" spans="1:17" x14ac:dyDescent="0.45">
      <c r="A235" s="1" t="s">
        <v>1619</v>
      </c>
      <c r="B235" s="1">
        <f t="shared" si="15"/>
        <v>700</v>
      </c>
      <c r="C235" s="1" t="str">
        <f>MID(aoc_03_input[[#This Row],[Forest]],MOD(aoc_03_input[[#This Row],[Pos1]]-1,LEN(aoc_03_input[[#This Row],[Forest]]))+1,1)</f>
        <v>.</v>
      </c>
      <c r="D235" s="1">
        <f>IF(aoc_03_input[[#This Row],[CharAtPos1]]="#",1,0)</f>
        <v>0</v>
      </c>
      <c r="E235" s="1">
        <f t="shared" si="16"/>
        <v>234</v>
      </c>
      <c r="F235" s="1" t="str">
        <f>MID(aoc_03_input[[#This Row],[Forest]],MOD(aoc_03_input[[#This Row],[Pos2_1]]-1,LEN(aoc_03_input[[#This Row],[Forest]]))+1,1)</f>
        <v>.</v>
      </c>
      <c r="G235" s="1">
        <f>IF(aoc_03_input[[#This Row],[CharAtPos2_1]]="#",1,0)</f>
        <v>0</v>
      </c>
      <c r="H235" s="1">
        <f t="shared" si="17"/>
        <v>1166</v>
      </c>
      <c r="I235" s="1" t="str">
        <f>MID(aoc_03_input[[#This Row],[Forest]],MOD(aoc_03_input[[#This Row],[Pos2_3]]-1,LEN(aoc_03_input[[#This Row],[Forest]]))+1,1)</f>
        <v>.</v>
      </c>
      <c r="J235" s="1">
        <f>IF(aoc_03_input[[#This Row],[CharAtPos2_3]]="#",1,0)</f>
        <v>0</v>
      </c>
      <c r="K235" s="1">
        <f t="shared" si="18"/>
        <v>1632</v>
      </c>
      <c r="L235" s="1" t="str">
        <f>MID(aoc_03_input[[#This Row],[Forest]],MOD(aoc_03_input[[#This Row],[Pos2_4]]-1,LEN(aoc_03_input[[#This Row],[Forest]]))+1,1)</f>
        <v>.</v>
      </c>
      <c r="M235" s="1">
        <f>IF(aoc_03_input[[#This Row],[CharAtPos2_4]]="#",1,0)</f>
        <v>0</v>
      </c>
      <c r="N235" s="1">
        <f>MOD(ROW(aoc_03_input[[#This Row],[CountRow2_5]])+1,2)</f>
        <v>0</v>
      </c>
      <c r="O235" s="1">
        <f t="shared" si="19"/>
        <v>117</v>
      </c>
      <c r="P235" s="1" t="str">
        <f>MID(aoc_03_input[[#This Row],[Forest]],MOD(aoc_03_input[[#This Row],[Pos2_5]]-1,LEN(aoc_03_input[[#This Row],[Forest]]))+1,1)</f>
        <v>.</v>
      </c>
      <c r="Q235" s="1">
        <f>IF(AND(aoc_03_input[[#This Row],[CountRow2_5]]=1,aoc_03_input[[#This Row],[CharAtPos2_5]]="#"),1,0)</f>
        <v>0</v>
      </c>
    </row>
    <row r="236" spans="1:17" x14ac:dyDescent="0.45">
      <c r="A236" s="1" t="s">
        <v>1620</v>
      </c>
      <c r="B236" s="1">
        <f t="shared" si="15"/>
        <v>703</v>
      </c>
      <c r="C236" s="1" t="str">
        <f>MID(aoc_03_input[[#This Row],[Forest]],MOD(aoc_03_input[[#This Row],[Pos1]]-1,LEN(aoc_03_input[[#This Row],[Forest]]))+1,1)</f>
        <v>.</v>
      </c>
      <c r="D236" s="1">
        <f>IF(aoc_03_input[[#This Row],[CharAtPos1]]="#",1,0)</f>
        <v>0</v>
      </c>
      <c r="E236" s="1">
        <f t="shared" si="16"/>
        <v>235</v>
      </c>
      <c r="F236" s="1" t="str">
        <f>MID(aoc_03_input[[#This Row],[Forest]],MOD(aoc_03_input[[#This Row],[Pos2_1]]-1,LEN(aoc_03_input[[#This Row],[Forest]]))+1,1)</f>
        <v>.</v>
      </c>
      <c r="G236" s="1">
        <f>IF(aoc_03_input[[#This Row],[CharAtPos2_1]]="#",1,0)</f>
        <v>0</v>
      </c>
      <c r="H236" s="1">
        <f t="shared" si="17"/>
        <v>1171</v>
      </c>
      <c r="I236" s="1" t="str">
        <f>MID(aoc_03_input[[#This Row],[Forest]],MOD(aoc_03_input[[#This Row],[Pos2_3]]-1,LEN(aoc_03_input[[#This Row],[Forest]]))+1,1)</f>
        <v>.</v>
      </c>
      <c r="J236" s="1">
        <f>IF(aoc_03_input[[#This Row],[CharAtPos2_3]]="#",1,0)</f>
        <v>0</v>
      </c>
      <c r="K236" s="1">
        <f t="shared" si="18"/>
        <v>1639</v>
      </c>
      <c r="L236" s="1" t="str">
        <f>MID(aoc_03_input[[#This Row],[Forest]],MOD(aoc_03_input[[#This Row],[Pos2_4]]-1,LEN(aoc_03_input[[#This Row],[Forest]]))+1,1)</f>
        <v>.</v>
      </c>
      <c r="M236" s="1">
        <f>IF(aoc_03_input[[#This Row],[CharAtPos2_4]]="#",1,0)</f>
        <v>0</v>
      </c>
      <c r="N236" s="1">
        <f>MOD(ROW(aoc_03_input[[#This Row],[CountRow2_5]])+1,2)</f>
        <v>1</v>
      </c>
      <c r="O236" s="1">
        <f t="shared" si="19"/>
        <v>118</v>
      </c>
      <c r="P236" s="1" t="str">
        <f>MID(aoc_03_input[[#This Row],[Forest]],MOD(aoc_03_input[[#This Row],[Pos2_5]]-1,LEN(aoc_03_input[[#This Row],[Forest]]))+1,1)</f>
        <v>.</v>
      </c>
      <c r="Q236" s="1">
        <f>IF(AND(aoc_03_input[[#This Row],[CountRow2_5]]=1,aoc_03_input[[#This Row],[CharAtPos2_5]]="#"),1,0)</f>
        <v>0</v>
      </c>
    </row>
    <row r="237" spans="1:17" x14ac:dyDescent="0.45">
      <c r="A237" s="1" t="s">
        <v>1621</v>
      </c>
      <c r="B237" s="1">
        <f t="shared" si="15"/>
        <v>706</v>
      </c>
      <c r="C237" s="1" t="str">
        <f>MID(aoc_03_input[[#This Row],[Forest]],MOD(aoc_03_input[[#This Row],[Pos1]]-1,LEN(aoc_03_input[[#This Row],[Forest]]))+1,1)</f>
        <v>#</v>
      </c>
      <c r="D237" s="1">
        <f>IF(aoc_03_input[[#This Row],[CharAtPos1]]="#",1,0)</f>
        <v>1</v>
      </c>
      <c r="E237" s="1">
        <f t="shared" si="16"/>
        <v>236</v>
      </c>
      <c r="F237" s="1" t="str">
        <f>MID(aoc_03_input[[#This Row],[Forest]],MOD(aoc_03_input[[#This Row],[Pos2_1]]-1,LEN(aoc_03_input[[#This Row],[Forest]]))+1,1)</f>
        <v>.</v>
      </c>
      <c r="G237" s="1">
        <f>IF(aoc_03_input[[#This Row],[CharAtPos2_1]]="#",1,0)</f>
        <v>0</v>
      </c>
      <c r="H237" s="1">
        <f t="shared" si="17"/>
        <v>1176</v>
      </c>
      <c r="I237" s="1" t="str">
        <f>MID(aoc_03_input[[#This Row],[Forest]],MOD(aoc_03_input[[#This Row],[Pos2_3]]-1,LEN(aoc_03_input[[#This Row],[Forest]]))+1,1)</f>
        <v>.</v>
      </c>
      <c r="J237" s="1">
        <f>IF(aoc_03_input[[#This Row],[CharAtPos2_3]]="#",1,0)</f>
        <v>0</v>
      </c>
      <c r="K237" s="1">
        <f t="shared" si="18"/>
        <v>1646</v>
      </c>
      <c r="L237" s="1" t="str">
        <f>MID(aoc_03_input[[#This Row],[Forest]],MOD(aoc_03_input[[#This Row],[Pos2_4]]-1,LEN(aoc_03_input[[#This Row],[Forest]]))+1,1)</f>
        <v>.</v>
      </c>
      <c r="M237" s="1">
        <f>IF(aoc_03_input[[#This Row],[CharAtPos2_4]]="#",1,0)</f>
        <v>0</v>
      </c>
      <c r="N237" s="1">
        <f>MOD(ROW(aoc_03_input[[#This Row],[CountRow2_5]])+1,2)</f>
        <v>0</v>
      </c>
      <c r="O237" s="1">
        <f t="shared" si="19"/>
        <v>118</v>
      </c>
      <c r="P237" s="1" t="str">
        <f>MID(aoc_03_input[[#This Row],[Forest]],MOD(aoc_03_input[[#This Row],[Pos2_5]]-1,LEN(aoc_03_input[[#This Row],[Forest]]))+1,1)</f>
        <v>.</v>
      </c>
      <c r="Q237" s="1">
        <f>IF(AND(aoc_03_input[[#This Row],[CountRow2_5]]=1,aoc_03_input[[#This Row],[CharAtPos2_5]]="#"),1,0)</f>
        <v>0</v>
      </c>
    </row>
    <row r="238" spans="1:17" x14ac:dyDescent="0.45">
      <c r="A238" s="1" t="s">
        <v>1622</v>
      </c>
      <c r="B238" s="1">
        <f t="shared" si="15"/>
        <v>709</v>
      </c>
      <c r="C238" s="1" t="str">
        <f>MID(aoc_03_input[[#This Row],[Forest]],MOD(aoc_03_input[[#This Row],[Pos1]]-1,LEN(aoc_03_input[[#This Row],[Forest]]))+1,1)</f>
        <v>.</v>
      </c>
      <c r="D238" s="1">
        <f>IF(aoc_03_input[[#This Row],[CharAtPos1]]="#",1,0)</f>
        <v>0</v>
      </c>
      <c r="E238" s="1">
        <f t="shared" si="16"/>
        <v>237</v>
      </c>
      <c r="F238" s="1" t="str">
        <f>MID(aoc_03_input[[#This Row],[Forest]],MOD(aoc_03_input[[#This Row],[Pos2_1]]-1,LEN(aoc_03_input[[#This Row],[Forest]]))+1,1)</f>
        <v>.</v>
      </c>
      <c r="G238" s="1">
        <f>IF(aoc_03_input[[#This Row],[CharAtPos2_1]]="#",1,0)</f>
        <v>0</v>
      </c>
      <c r="H238" s="1">
        <f t="shared" si="17"/>
        <v>1181</v>
      </c>
      <c r="I238" s="1" t="str">
        <f>MID(aoc_03_input[[#This Row],[Forest]],MOD(aoc_03_input[[#This Row],[Pos2_3]]-1,LEN(aoc_03_input[[#This Row],[Forest]]))+1,1)</f>
        <v>.</v>
      </c>
      <c r="J238" s="1">
        <f>IF(aoc_03_input[[#This Row],[CharAtPos2_3]]="#",1,0)</f>
        <v>0</v>
      </c>
      <c r="K238" s="1">
        <f t="shared" si="18"/>
        <v>1653</v>
      </c>
      <c r="L238" s="1" t="str">
        <f>MID(aoc_03_input[[#This Row],[Forest]],MOD(aoc_03_input[[#This Row],[Pos2_4]]-1,LEN(aoc_03_input[[#This Row],[Forest]]))+1,1)</f>
        <v>.</v>
      </c>
      <c r="M238" s="1">
        <f>IF(aoc_03_input[[#This Row],[CharAtPos2_4]]="#",1,0)</f>
        <v>0</v>
      </c>
      <c r="N238" s="1">
        <f>MOD(ROW(aoc_03_input[[#This Row],[CountRow2_5]])+1,2)</f>
        <v>1</v>
      </c>
      <c r="O238" s="1">
        <f t="shared" si="19"/>
        <v>119</v>
      </c>
      <c r="P238" s="1" t="str">
        <f>MID(aoc_03_input[[#This Row],[Forest]],MOD(aoc_03_input[[#This Row],[Pos2_5]]-1,LEN(aoc_03_input[[#This Row],[Forest]]))+1,1)</f>
        <v>.</v>
      </c>
      <c r="Q238" s="1">
        <f>IF(AND(aoc_03_input[[#This Row],[CountRow2_5]]=1,aoc_03_input[[#This Row],[CharAtPos2_5]]="#"),1,0)</f>
        <v>0</v>
      </c>
    </row>
    <row r="239" spans="1:17" x14ac:dyDescent="0.45">
      <c r="A239" s="1" t="s">
        <v>1623</v>
      </c>
      <c r="B239" s="1">
        <f t="shared" si="15"/>
        <v>712</v>
      </c>
      <c r="C239" s="1" t="str">
        <f>MID(aoc_03_input[[#This Row],[Forest]],MOD(aoc_03_input[[#This Row],[Pos1]]-1,LEN(aoc_03_input[[#This Row],[Forest]]))+1,1)</f>
        <v>#</v>
      </c>
      <c r="D239" s="1">
        <f>IF(aoc_03_input[[#This Row],[CharAtPos1]]="#",1,0)</f>
        <v>1</v>
      </c>
      <c r="E239" s="1">
        <f t="shared" si="16"/>
        <v>238</v>
      </c>
      <c r="F239" s="1" t="str">
        <f>MID(aoc_03_input[[#This Row],[Forest]],MOD(aoc_03_input[[#This Row],[Pos2_1]]-1,LEN(aoc_03_input[[#This Row],[Forest]]))+1,1)</f>
        <v>#</v>
      </c>
      <c r="G239" s="1">
        <f>IF(aoc_03_input[[#This Row],[CharAtPos2_1]]="#",1,0)</f>
        <v>1</v>
      </c>
      <c r="H239" s="1">
        <f t="shared" si="17"/>
        <v>1186</v>
      </c>
      <c r="I239" s="1" t="str">
        <f>MID(aoc_03_input[[#This Row],[Forest]],MOD(aoc_03_input[[#This Row],[Pos2_3]]-1,LEN(aoc_03_input[[#This Row],[Forest]]))+1,1)</f>
        <v>.</v>
      </c>
      <c r="J239" s="1">
        <f>IF(aoc_03_input[[#This Row],[CharAtPos2_3]]="#",1,0)</f>
        <v>0</v>
      </c>
      <c r="K239" s="1">
        <f t="shared" si="18"/>
        <v>1660</v>
      </c>
      <c r="L239" s="1" t="str">
        <f>MID(aoc_03_input[[#This Row],[Forest]],MOD(aoc_03_input[[#This Row],[Pos2_4]]-1,LEN(aoc_03_input[[#This Row],[Forest]]))+1,1)</f>
        <v>.</v>
      </c>
      <c r="M239" s="1">
        <f>IF(aoc_03_input[[#This Row],[CharAtPos2_4]]="#",1,0)</f>
        <v>0</v>
      </c>
      <c r="N239" s="1">
        <f>MOD(ROW(aoc_03_input[[#This Row],[CountRow2_5]])+1,2)</f>
        <v>0</v>
      </c>
      <c r="O239" s="1">
        <f t="shared" si="19"/>
        <v>119</v>
      </c>
      <c r="P239" s="1" t="str">
        <f>MID(aoc_03_input[[#This Row],[Forest]],MOD(aoc_03_input[[#This Row],[Pos2_5]]-1,LEN(aoc_03_input[[#This Row],[Forest]]))+1,1)</f>
        <v>.</v>
      </c>
      <c r="Q239" s="1">
        <f>IF(AND(aoc_03_input[[#This Row],[CountRow2_5]]=1,aoc_03_input[[#This Row],[CharAtPos2_5]]="#"),1,0)</f>
        <v>0</v>
      </c>
    </row>
    <row r="240" spans="1:17" x14ac:dyDescent="0.45">
      <c r="A240" s="1" t="s">
        <v>1624</v>
      </c>
      <c r="B240" s="1">
        <f t="shared" si="15"/>
        <v>715</v>
      </c>
      <c r="C240" s="1" t="str">
        <f>MID(aoc_03_input[[#This Row],[Forest]],MOD(aoc_03_input[[#This Row],[Pos1]]-1,LEN(aoc_03_input[[#This Row],[Forest]]))+1,1)</f>
        <v>#</v>
      </c>
      <c r="D240" s="1">
        <f>IF(aoc_03_input[[#This Row],[CharAtPos1]]="#",1,0)</f>
        <v>1</v>
      </c>
      <c r="E240" s="1">
        <f t="shared" si="16"/>
        <v>239</v>
      </c>
      <c r="F240" s="1" t="str">
        <f>MID(aoc_03_input[[#This Row],[Forest]],MOD(aoc_03_input[[#This Row],[Pos2_1]]-1,LEN(aoc_03_input[[#This Row],[Forest]]))+1,1)</f>
        <v>#</v>
      </c>
      <c r="G240" s="1">
        <f>IF(aoc_03_input[[#This Row],[CharAtPos2_1]]="#",1,0)</f>
        <v>1</v>
      </c>
      <c r="H240" s="1">
        <f t="shared" si="17"/>
        <v>1191</v>
      </c>
      <c r="I240" s="1" t="str">
        <f>MID(aoc_03_input[[#This Row],[Forest]],MOD(aoc_03_input[[#This Row],[Pos2_3]]-1,LEN(aoc_03_input[[#This Row],[Forest]]))+1,1)</f>
        <v>#</v>
      </c>
      <c r="J240" s="1">
        <f>IF(aoc_03_input[[#This Row],[CharAtPos2_3]]="#",1,0)</f>
        <v>1</v>
      </c>
      <c r="K240" s="1">
        <f t="shared" si="18"/>
        <v>1667</v>
      </c>
      <c r="L240" s="1" t="str">
        <f>MID(aoc_03_input[[#This Row],[Forest]],MOD(aoc_03_input[[#This Row],[Pos2_4]]-1,LEN(aoc_03_input[[#This Row],[Forest]]))+1,1)</f>
        <v>#</v>
      </c>
      <c r="M240" s="1">
        <f>IF(aoc_03_input[[#This Row],[CharAtPos2_4]]="#",1,0)</f>
        <v>1</v>
      </c>
      <c r="N240" s="1">
        <f>MOD(ROW(aoc_03_input[[#This Row],[CountRow2_5]])+1,2)</f>
        <v>1</v>
      </c>
      <c r="O240" s="1">
        <f t="shared" si="19"/>
        <v>120</v>
      </c>
      <c r="P240" s="1" t="str">
        <f>MID(aoc_03_input[[#This Row],[Forest]],MOD(aoc_03_input[[#This Row],[Pos2_5]]-1,LEN(aoc_03_input[[#This Row],[Forest]]))+1,1)</f>
        <v>#</v>
      </c>
      <c r="Q240" s="1">
        <f>IF(AND(aoc_03_input[[#This Row],[CountRow2_5]]=1,aoc_03_input[[#This Row],[CharAtPos2_5]]="#"),1,0)</f>
        <v>1</v>
      </c>
    </row>
    <row r="241" spans="1:17" x14ac:dyDescent="0.45">
      <c r="A241" s="1" t="s">
        <v>1625</v>
      </c>
      <c r="B241" s="1">
        <f t="shared" si="15"/>
        <v>718</v>
      </c>
      <c r="C241" s="1" t="str">
        <f>MID(aoc_03_input[[#This Row],[Forest]],MOD(aoc_03_input[[#This Row],[Pos1]]-1,LEN(aoc_03_input[[#This Row],[Forest]]))+1,1)</f>
        <v>.</v>
      </c>
      <c r="D241" s="1">
        <f>IF(aoc_03_input[[#This Row],[CharAtPos1]]="#",1,0)</f>
        <v>0</v>
      </c>
      <c r="E241" s="1">
        <f t="shared" si="16"/>
        <v>240</v>
      </c>
      <c r="F241" s="1" t="str">
        <f>MID(aoc_03_input[[#This Row],[Forest]],MOD(aoc_03_input[[#This Row],[Pos2_1]]-1,LEN(aoc_03_input[[#This Row],[Forest]]))+1,1)</f>
        <v>#</v>
      </c>
      <c r="G241" s="1">
        <f>IF(aoc_03_input[[#This Row],[CharAtPos2_1]]="#",1,0)</f>
        <v>1</v>
      </c>
      <c r="H241" s="1">
        <f t="shared" si="17"/>
        <v>1196</v>
      </c>
      <c r="I241" s="1" t="str">
        <f>MID(aoc_03_input[[#This Row],[Forest]],MOD(aoc_03_input[[#This Row],[Pos2_3]]-1,LEN(aoc_03_input[[#This Row],[Forest]]))+1,1)</f>
        <v>#</v>
      </c>
      <c r="J241" s="1">
        <f>IF(aoc_03_input[[#This Row],[CharAtPos2_3]]="#",1,0)</f>
        <v>1</v>
      </c>
      <c r="K241" s="1">
        <f t="shared" si="18"/>
        <v>1674</v>
      </c>
      <c r="L241" s="1" t="str">
        <f>MID(aoc_03_input[[#This Row],[Forest]],MOD(aoc_03_input[[#This Row],[Pos2_4]]-1,LEN(aoc_03_input[[#This Row],[Forest]]))+1,1)</f>
        <v>.</v>
      </c>
      <c r="M241" s="1">
        <f>IF(aoc_03_input[[#This Row],[CharAtPos2_4]]="#",1,0)</f>
        <v>0</v>
      </c>
      <c r="N241" s="1">
        <f>MOD(ROW(aoc_03_input[[#This Row],[CountRow2_5]])+1,2)</f>
        <v>0</v>
      </c>
      <c r="O241" s="1">
        <f t="shared" si="19"/>
        <v>120</v>
      </c>
      <c r="P241" s="1" t="str">
        <f>MID(aoc_03_input[[#This Row],[Forest]],MOD(aoc_03_input[[#This Row],[Pos2_5]]-1,LEN(aoc_03_input[[#This Row],[Forest]]))+1,1)</f>
        <v>.</v>
      </c>
      <c r="Q241" s="1">
        <f>IF(AND(aoc_03_input[[#This Row],[CountRow2_5]]=1,aoc_03_input[[#This Row],[CharAtPos2_5]]="#"),1,0)</f>
        <v>0</v>
      </c>
    </row>
    <row r="242" spans="1:17" x14ac:dyDescent="0.45">
      <c r="A242" s="1" t="s">
        <v>1626</v>
      </c>
      <c r="B242" s="1">
        <f t="shared" si="15"/>
        <v>721</v>
      </c>
      <c r="C242" s="1" t="str">
        <f>MID(aoc_03_input[[#This Row],[Forest]],MOD(aoc_03_input[[#This Row],[Pos1]]-1,LEN(aoc_03_input[[#This Row],[Forest]]))+1,1)</f>
        <v>.</v>
      </c>
      <c r="D242" s="1">
        <f>IF(aoc_03_input[[#This Row],[CharAtPos1]]="#",1,0)</f>
        <v>0</v>
      </c>
      <c r="E242" s="1">
        <f t="shared" si="16"/>
        <v>241</v>
      </c>
      <c r="F242" s="1" t="str">
        <f>MID(aoc_03_input[[#This Row],[Forest]],MOD(aoc_03_input[[#This Row],[Pos2_1]]-1,LEN(aoc_03_input[[#This Row],[Forest]]))+1,1)</f>
        <v>#</v>
      </c>
      <c r="G242" s="1">
        <f>IF(aoc_03_input[[#This Row],[CharAtPos2_1]]="#",1,0)</f>
        <v>1</v>
      </c>
      <c r="H242" s="1">
        <f t="shared" si="17"/>
        <v>1201</v>
      </c>
      <c r="I242" s="1" t="str">
        <f>MID(aoc_03_input[[#This Row],[Forest]],MOD(aoc_03_input[[#This Row],[Pos2_3]]-1,LEN(aoc_03_input[[#This Row],[Forest]]))+1,1)</f>
        <v>.</v>
      </c>
      <c r="J242" s="1">
        <f>IF(aoc_03_input[[#This Row],[CharAtPos2_3]]="#",1,0)</f>
        <v>0</v>
      </c>
      <c r="K242" s="1">
        <f t="shared" si="18"/>
        <v>1681</v>
      </c>
      <c r="L242" s="1" t="str">
        <f>MID(aoc_03_input[[#This Row],[Forest]],MOD(aoc_03_input[[#This Row],[Pos2_4]]-1,LEN(aoc_03_input[[#This Row],[Forest]]))+1,1)</f>
        <v>.</v>
      </c>
      <c r="M242" s="1">
        <f>IF(aoc_03_input[[#This Row],[CharAtPos2_4]]="#",1,0)</f>
        <v>0</v>
      </c>
      <c r="N242" s="1">
        <f>MOD(ROW(aoc_03_input[[#This Row],[CountRow2_5]])+1,2)</f>
        <v>1</v>
      </c>
      <c r="O242" s="1">
        <f t="shared" si="19"/>
        <v>121</v>
      </c>
      <c r="P242" s="1" t="str">
        <f>MID(aoc_03_input[[#This Row],[Forest]],MOD(aoc_03_input[[#This Row],[Pos2_5]]-1,LEN(aoc_03_input[[#This Row],[Forest]]))+1,1)</f>
        <v>.</v>
      </c>
      <c r="Q242" s="1">
        <f>IF(AND(aoc_03_input[[#This Row],[CountRow2_5]]=1,aoc_03_input[[#This Row],[CharAtPos2_5]]="#"),1,0)</f>
        <v>0</v>
      </c>
    </row>
    <row r="243" spans="1:17" x14ac:dyDescent="0.45">
      <c r="A243" s="1" t="s">
        <v>1627</v>
      </c>
      <c r="B243" s="1">
        <f t="shared" si="15"/>
        <v>724</v>
      </c>
      <c r="C243" s="1" t="str">
        <f>MID(aoc_03_input[[#This Row],[Forest]],MOD(aoc_03_input[[#This Row],[Pos1]]-1,LEN(aoc_03_input[[#This Row],[Forest]]))+1,1)</f>
        <v>#</v>
      </c>
      <c r="D243" s="1">
        <f>IF(aoc_03_input[[#This Row],[CharAtPos1]]="#",1,0)</f>
        <v>1</v>
      </c>
      <c r="E243" s="1">
        <f t="shared" si="16"/>
        <v>242</v>
      </c>
      <c r="F243" s="1" t="str">
        <f>MID(aoc_03_input[[#This Row],[Forest]],MOD(aoc_03_input[[#This Row],[Pos2_1]]-1,LEN(aoc_03_input[[#This Row],[Forest]]))+1,1)</f>
        <v>.</v>
      </c>
      <c r="G243" s="1">
        <f>IF(aoc_03_input[[#This Row],[CharAtPos2_1]]="#",1,0)</f>
        <v>0</v>
      </c>
      <c r="H243" s="1">
        <f t="shared" si="17"/>
        <v>1206</v>
      </c>
      <c r="I243" s="1" t="str">
        <f>MID(aoc_03_input[[#This Row],[Forest]],MOD(aoc_03_input[[#This Row],[Pos2_3]]-1,LEN(aoc_03_input[[#This Row],[Forest]]))+1,1)</f>
        <v>.</v>
      </c>
      <c r="J243" s="1">
        <f>IF(aoc_03_input[[#This Row],[CharAtPos2_3]]="#",1,0)</f>
        <v>0</v>
      </c>
      <c r="K243" s="1">
        <f t="shared" si="18"/>
        <v>1688</v>
      </c>
      <c r="L243" s="1" t="str">
        <f>MID(aoc_03_input[[#This Row],[Forest]],MOD(aoc_03_input[[#This Row],[Pos2_4]]-1,LEN(aoc_03_input[[#This Row],[Forest]]))+1,1)</f>
        <v>.</v>
      </c>
      <c r="M243" s="1">
        <f>IF(aoc_03_input[[#This Row],[CharAtPos2_4]]="#",1,0)</f>
        <v>0</v>
      </c>
      <c r="N243" s="1">
        <f>MOD(ROW(aoc_03_input[[#This Row],[CountRow2_5]])+1,2)</f>
        <v>0</v>
      </c>
      <c r="O243" s="1">
        <f t="shared" si="19"/>
        <v>121</v>
      </c>
      <c r="P243" s="1" t="str">
        <f>MID(aoc_03_input[[#This Row],[Forest]],MOD(aoc_03_input[[#This Row],[Pos2_5]]-1,LEN(aoc_03_input[[#This Row],[Forest]]))+1,1)</f>
        <v>.</v>
      </c>
      <c r="Q243" s="1">
        <f>IF(AND(aoc_03_input[[#This Row],[CountRow2_5]]=1,aoc_03_input[[#This Row],[CharAtPos2_5]]="#"),1,0)</f>
        <v>0</v>
      </c>
    </row>
    <row r="244" spans="1:17" x14ac:dyDescent="0.45">
      <c r="A244" s="1" t="s">
        <v>1628</v>
      </c>
      <c r="B244" s="1">
        <f t="shared" si="15"/>
        <v>727</v>
      </c>
      <c r="C244" s="1" t="str">
        <f>MID(aoc_03_input[[#This Row],[Forest]],MOD(aoc_03_input[[#This Row],[Pos1]]-1,LEN(aoc_03_input[[#This Row],[Forest]]))+1,1)</f>
        <v>#</v>
      </c>
      <c r="D244" s="1">
        <f>IF(aoc_03_input[[#This Row],[CharAtPos1]]="#",1,0)</f>
        <v>1</v>
      </c>
      <c r="E244" s="1">
        <f t="shared" si="16"/>
        <v>243</v>
      </c>
      <c r="F244" s="1" t="str">
        <f>MID(aoc_03_input[[#This Row],[Forest]],MOD(aoc_03_input[[#This Row],[Pos2_1]]-1,LEN(aoc_03_input[[#This Row],[Forest]]))+1,1)</f>
        <v>.</v>
      </c>
      <c r="G244" s="1">
        <f>IF(aoc_03_input[[#This Row],[CharAtPos2_1]]="#",1,0)</f>
        <v>0</v>
      </c>
      <c r="H244" s="1">
        <f t="shared" si="17"/>
        <v>1211</v>
      </c>
      <c r="I244" s="1" t="str">
        <f>MID(aoc_03_input[[#This Row],[Forest]],MOD(aoc_03_input[[#This Row],[Pos2_3]]-1,LEN(aoc_03_input[[#This Row],[Forest]]))+1,1)</f>
        <v>#</v>
      </c>
      <c r="J244" s="1">
        <f>IF(aoc_03_input[[#This Row],[CharAtPos2_3]]="#",1,0)</f>
        <v>1</v>
      </c>
      <c r="K244" s="1">
        <f t="shared" si="18"/>
        <v>1695</v>
      </c>
      <c r="L244" s="1" t="str">
        <f>MID(aoc_03_input[[#This Row],[Forest]],MOD(aoc_03_input[[#This Row],[Pos2_4]]-1,LEN(aoc_03_input[[#This Row],[Forest]]))+1,1)</f>
        <v>.</v>
      </c>
      <c r="M244" s="1">
        <f>IF(aoc_03_input[[#This Row],[CharAtPos2_4]]="#",1,0)</f>
        <v>0</v>
      </c>
      <c r="N244" s="1">
        <f>MOD(ROW(aoc_03_input[[#This Row],[CountRow2_5]])+1,2)</f>
        <v>1</v>
      </c>
      <c r="O244" s="1">
        <f t="shared" si="19"/>
        <v>122</v>
      </c>
      <c r="P244" s="1" t="str">
        <f>MID(aoc_03_input[[#This Row],[Forest]],MOD(aoc_03_input[[#This Row],[Pos2_5]]-1,LEN(aoc_03_input[[#This Row],[Forest]]))+1,1)</f>
        <v>.</v>
      </c>
      <c r="Q244" s="1">
        <f>IF(AND(aoc_03_input[[#This Row],[CountRow2_5]]=1,aoc_03_input[[#This Row],[CharAtPos2_5]]="#"),1,0)</f>
        <v>0</v>
      </c>
    </row>
    <row r="245" spans="1:17" x14ac:dyDescent="0.45">
      <c r="A245" s="1" t="s">
        <v>1629</v>
      </c>
      <c r="B245" s="1">
        <f t="shared" si="15"/>
        <v>730</v>
      </c>
      <c r="C245" s="1" t="str">
        <f>MID(aoc_03_input[[#This Row],[Forest]],MOD(aoc_03_input[[#This Row],[Pos1]]-1,LEN(aoc_03_input[[#This Row],[Forest]]))+1,1)</f>
        <v>#</v>
      </c>
      <c r="D245" s="1">
        <f>IF(aoc_03_input[[#This Row],[CharAtPos1]]="#",1,0)</f>
        <v>1</v>
      </c>
      <c r="E245" s="1">
        <f t="shared" si="16"/>
        <v>244</v>
      </c>
      <c r="F245" s="1" t="str">
        <f>MID(aoc_03_input[[#This Row],[Forest]],MOD(aoc_03_input[[#This Row],[Pos2_1]]-1,LEN(aoc_03_input[[#This Row],[Forest]]))+1,1)</f>
        <v>.</v>
      </c>
      <c r="G245" s="1">
        <f>IF(aoc_03_input[[#This Row],[CharAtPos2_1]]="#",1,0)</f>
        <v>0</v>
      </c>
      <c r="H245" s="1">
        <f t="shared" si="17"/>
        <v>1216</v>
      </c>
      <c r="I245" s="1" t="str">
        <f>MID(aoc_03_input[[#This Row],[Forest]],MOD(aoc_03_input[[#This Row],[Pos2_3]]-1,LEN(aoc_03_input[[#This Row],[Forest]]))+1,1)</f>
        <v>.</v>
      </c>
      <c r="J245" s="1">
        <f>IF(aoc_03_input[[#This Row],[CharAtPos2_3]]="#",1,0)</f>
        <v>0</v>
      </c>
      <c r="K245" s="1">
        <f t="shared" si="18"/>
        <v>1702</v>
      </c>
      <c r="L245" s="1" t="str">
        <f>MID(aoc_03_input[[#This Row],[Forest]],MOD(aoc_03_input[[#This Row],[Pos2_4]]-1,LEN(aoc_03_input[[#This Row],[Forest]]))+1,1)</f>
        <v>.</v>
      </c>
      <c r="M245" s="1">
        <f>IF(aoc_03_input[[#This Row],[CharAtPos2_4]]="#",1,0)</f>
        <v>0</v>
      </c>
      <c r="N245" s="1">
        <f>MOD(ROW(aoc_03_input[[#This Row],[CountRow2_5]])+1,2)</f>
        <v>0</v>
      </c>
      <c r="O245" s="1">
        <f t="shared" si="19"/>
        <v>122</v>
      </c>
      <c r="P245" s="1" t="str">
        <f>MID(aoc_03_input[[#This Row],[Forest]],MOD(aoc_03_input[[#This Row],[Pos2_5]]-1,LEN(aoc_03_input[[#This Row],[Forest]]))+1,1)</f>
        <v>#</v>
      </c>
      <c r="Q245" s="1">
        <f>IF(AND(aoc_03_input[[#This Row],[CountRow2_5]]=1,aoc_03_input[[#This Row],[CharAtPos2_5]]="#"),1,0)</f>
        <v>0</v>
      </c>
    </row>
    <row r="246" spans="1:17" x14ac:dyDescent="0.45">
      <c r="A246" s="1" t="s">
        <v>1630</v>
      </c>
      <c r="B246" s="1">
        <f t="shared" si="15"/>
        <v>733</v>
      </c>
      <c r="C246" s="1" t="str">
        <f>MID(aoc_03_input[[#This Row],[Forest]],MOD(aoc_03_input[[#This Row],[Pos1]]-1,LEN(aoc_03_input[[#This Row],[Forest]]))+1,1)</f>
        <v>.</v>
      </c>
      <c r="D246" s="1">
        <f>IF(aoc_03_input[[#This Row],[CharAtPos1]]="#",1,0)</f>
        <v>0</v>
      </c>
      <c r="E246" s="1">
        <f t="shared" si="16"/>
        <v>245</v>
      </c>
      <c r="F246" s="1" t="str">
        <f>MID(aoc_03_input[[#This Row],[Forest]],MOD(aoc_03_input[[#This Row],[Pos2_1]]-1,LEN(aoc_03_input[[#This Row],[Forest]]))+1,1)</f>
        <v>#</v>
      </c>
      <c r="G246" s="1">
        <f>IF(aoc_03_input[[#This Row],[CharAtPos2_1]]="#",1,0)</f>
        <v>1</v>
      </c>
      <c r="H246" s="1">
        <f t="shared" si="17"/>
        <v>1221</v>
      </c>
      <c r="I246" s="1" t="str">
        <f>MID(aoc_03_input[[#This Row],[Forest]],MOD(aoc_03_input[[#This Row],[Pos2_3]]-1,LEN(aoc_03_input[[#This Row],[Forest]]))+1,1)</f>
        <v>.</v>
      </c>
      <c r="J246" s="1">
        <f>IF(aoc_03_input[[#This Row],[CharAtPos2_3]]="#",1,0)</f>
        <v>0</v>
      </c>
      <c r="K246" s="1">
        <f t="shared" si="18"/>
        <v>1709</v>
      </c>
      <c r="L246" s="1" t="str">
        <f>MID(aoc_03_input[[#This Row],[Forest]],MOD(aoc_03_input[[#This Row],[Pos2_4]]-1,LEN(aoc_03_input[[#This Row],[Forest]]))+1,1)</f>
        <v>#</v>
      </c>
      <c r="M246" s="1">
        <f>IF(aoc_03_input[[#This Row],[CharAtPos2_4]]="#",1,0)</f>
        <v>1</v>
      </c>
      <c r="N246" s="1">
        <f>MOD(ROW(aoc_03_input[[#This Row],[CountRow2_5]])+1,2)</f>
        <v>1</v>
      </c>
      <c r="O246" s="1">
        <f t="shared" si="19"/>
        <v>123</v>
      </c>
      <c r="P246" s="1" t="str">
        <f>MID(aoc_03_input[[#This Row],[Forest]],MOD(aoc_03_input[[#This Row],[Pos2_5]]-1,LEN(aoc_03_input[[#This Row],[Forest]]))+1,1)</f>
        <v>.</v>
      </c>
      <c r="Q246" s="1">
        <f>IF(AND(aoc_03_input[[#This Row],[CountRow2_5]]=1,aoc_03_input[[#This Row],[CharAtPos2_5]]="#"),1,0)</f>
        <v>0</v>
      </c>
    </row>
    <row r="247" spans="1:17" x14ac:dyDescent="0.45">
      <c r="A247" s="1" t="s">
        <v>1631</v>
      </c>
      <c r="B247" s="1">
        <f t="shared" si="15"/>
        <v>736</v>
      </c>
      <c r="C247" s="1" t="str">
        <f>MID(aoc_03_input[[#This Row],[Forest]],MOD(aoc_03_input[[#This Row],[Pos1]]-1,LEN(aoc_03_input[[#This Row],[Forest]]))+1,1)</f>
        <v>.</v>
      </c>
      <c r="D247" s="1">
        <f>IF(aoc_03_input[[#This Row],[CharAtPos1]]="#",1,0)</f>
        <v>0</v>
      </c>
      <c r="E247" s="1">
        <f t="shared" si="16"/>
        <v>246</v>
      </c>
      <c r="F247" s="1" t="str">
        <f>MID(aoc_03_input[[#This Row],[Forest]],MOD(aoc_03_input[[#This Row],[Pos2_1]]-1,LEN(aoc_03_input[[#This Row],[Forest]]))+1,1)</f>
        <v>.</v>
      </c>
      <c r="G247" s="1">
        <f>IF(aoc_03_input[[#This Row],[CharAtPos2_1]]="#",1,0)</f>
        <v>0</v>
      </c>
      <c r="H247" s="1">
        <f t="shared" si="17"/>
        <v>1226</v>
      </c>
      <c r="I247" s="1" t="str">
        <f>MID(aoc_03_input[[#This Row],[Forest]],MOD(aoc_03_input[[#This Row],[Pos2_3]]-1,LEN(aoc_03_input[[#This Row],[Forest]]))+1,1)</f>
        <v>.</v>
      </c>
      <c r="J247" s="1">
        <f>IF(aoc_03_input[[#This Row],[CharAtPos2_3]]="#",1,0)</f>
        <v>0</v>
      </c>
      <c r="K247" s="1">
        <f t="shared" si="18"/>
        <v>1716</v>
      </c>
      <c r="L247" s="1" t="str">
        <f>MID(aoc_03_input[[#This Row],[Forest]],MOD(aoc_03_input[[#This Row],[Pos2_4]]-1,LEN(aoc_03_input[[#This Row],[Forest]]))+1,1)</f>
        <v>.</v>
      </c>
      <c r="M247" s="1">
        <f>IF(aoc_03_input[[#This Row],[CharAtPos2_4]]="#",1,0)</f>
        <v>0</v>
      </c>
      <c r="N247" s="1">
        <f>MOD(ROW(aoc_03_input[[#This Row],[CountRow2_5]])+1,2)</f>
        <v>0</v>
      </c>
      <c r="O247" s="1">
        <f t="shared" si="19"/>
        <v>123</v>
      </c>
      <c r="P247" s="1" t="str">
        <f>MID(aoc_03_input[[#This Row],[Forest]],MOD(aoc_03_input[[#This Row],[Pos2_5]]-1,LEN(aoc_03_input[[#This Row],[Forest]]))+1,1)</f>
        <v>.</v>
      </c>
      <c r="Q247" s="1">
        <f>IF(AND(aoc_03_input[[#This Row],[CountRow2_5]]=1,aoc_03_input[[#This Row],[CharAtPos2_5]]="#"),1,0)</f>
        <v>0</v>
      </c>
    </row>
    <row r="248" spans="1:17" x14ac:dyDescent="0.45">
      <c r="A248" s="1" t="s">
        <v>1632</v>
      </c>
      <c r="B248" s="1">
        <f t="shared" si="15"/>
        <v>739</v>
      </c>
      <c r="C248" s="1" t="str">
        <f>MID(aoc_03_input[[#This Row],[Forest]],MOD(aoc_03_input[[#This Row],[Pos1]]-1,LEN(aoc_03_input[[#This Row],[Forest]]))+1,1)</f>
        <v>#</v>
      </c>
      <c r="D248" s="1">
        <f>IF(aoc_03_input[[#This Row],[CharAtPos1]]="#",1,0)</f>
        <v>1</v>
      </c>
      <c r="E248" s="1">
        <f t="shared" si="16"/>
        <v>247</v>
      </c>
      <c r="F248" s="1" t="str">
        <f>MID(aoc_03_input[[#This Row],[Forest]],MOD(aoc_03_input[[#This Row],[Pos2_1]]-1,LEN(aoc_03_input[[#This Row],[Forest]]))+1,1)</f>
        <v>.</v>
      </c>
      <c r="G248" s="1">
        <f>IF(aoc_03_input[[#This Row],[CharAtPos2_1]]="#",1,0)</f>
        <v>0</v>
      </c>
      <c r="H248" s="1">
        <f t="shared" si="17"/>
        <v>1231</v>
      </c>
      <c r="I248" s="1" t="str">
        <f>MID(aoc_03_input[[#This Row],[Forest]],MOD(aoc_03_input[[#This Row],[Pos2_3]]-1,LEN(aoc_03_input[[#This Row],[Forest]]))+1,1)</f>
        <v>.</v>
      </c>
      <c r="J248" s="1">
        <f>IF(aoc_03_input[[#This Row],[CharAtPos2_3]]="#",1,0)</f>
        <v>0</v>
      </c>
      <c r="K248" s="1">
        <f t="shared" si="18"/>
        <v>1723</v>
      </c>
      <c r="L248" s="1" t="str">
        <f>MID(aoc_03_input[[#This Row],[Forest]],MOD(aoc_03_input[[#This Row],[Pos2_4]]-1,LEN(aoc_03_input[[#This Row],[Forest]]))+1,1)</f>
        <v>.</v>
      </c>
      <c r="M248" s="1">
        <f>IF(aoc_03_input[[#This Row],[CharAtPos2_4]]="#",1,0)</f>
        <v>0</v>
      </c>
      <c r="N248" s="1">
        <f>MOD(ROW(aoc_03_input[[#This Row],[CountRow2_5]])+1,2)</f>
        <v>1</v>
      </c>
      <c r="O248" s="1">
        <f t="shared" si="19"/>
        <v>124</v>
      </c>
      <c r="P248" s="1" t="str">
        <f>MID(aoc_03_input[[#This Row],[Forest]],MOD(aoc_03_input[[#This Row],[Pos2_5]]-1,LEN(aoc_03_input[[#This Row],[Forest]]))+1,1)</f>
        <v>.</v>
      </c>
      <c r="Q248" s="1">
        <f>IF(AND(aoc_03_input[[#This Row],[CountRow2_5]]=1,aoc_03_input[[#This Row],[CharAtPos2_5]]="#"),1,0)</f>
        <v>0</v>
      </c>
    </row>
    <row r="249" spans="1:17" x14ac:dyDescent="0.45">
      <c r="A249" s="1" t="s">
        <v>1633</v>
      </c>
      <c r="B249" s="1">
        <f t="shared" si="15"/>
        <v>742</v>
      </c>
      <c r="C249" s="1" t="str">
        <f>MID(aoc_03_input[[#This Row],[Forest]],MOD(aoc_03_input[[#This Row],[Pos1]]-1,LEN(aoc_03_input[[#This Row],[Forest]]))+1,1)</f>
        <v>#</v>
      </c>
      <c r="D249" s="1">
        <f>IF(aoc_03_input[[#This Row],[CharAtPos1]]="#",1,0)</f>
        <v>1</v>
      </c>
      <c r="E249" s="1">
        <f t="shared" si="16"/>
        <v>248</v>
      </c>
      <c r="F249" s="1" t="str">
        <f>MID(aoc_03_input[[#This Row],[Forest]],MOD(aoc_03_input[[#This Row],[Pos2_1]]-1,LEN(aoc_03_input[[#This Row],[Forest]]))+1,1)</f>
        <v>.</v>
      </c>
      <c r="G249" s="1">
        <f>IF(aoc_03_input[[#This Row],[CharAtPos2_1]]="#",1,0)</f>
        <v>0</v>
      </c>
      <c r="H249" s="1">
        <f t="shared" si="17"/>
        <v>1236</v>
      </c>
      <c r="I249" s="1" t="str">
        <f>MID(aoc_03_input[[#This Row],[Forest]],MOD(aoc_03_input[[#This Row],[Pos2_3]]-1,LEN(aoc_03_input[[#This Row],[Forest]]))+1,1)</f>
        <v>.</v>
      </c>
      <c r="J249" s="1">
        <f>IF(aoc_03_input[[#This Row],[CharAtPos2_3]]="#",1,0)</f>
        <v>0</v>
      </c>
      <c r="K249" s="1">
        <f t="shared" si="18"/>
        <v>1730</v>
      </c>
      <c r="L249" s="1" t="str">
        <f>MID(aoc_03_input[[#This Row],[Forest]],MOD(aoc_03_input[[#This Row],[Pos2_4]]-1,LEN(aoc_03_input[[#This Row],[Forest]]))+1,1)</f>
        <v>.</v>
      </c>
      <c r="M249" s="1">
        <f>IF(aoc_03_input[[#This Row],[CharAtPos2_4]]="#",1,0)</f>
        <v>0</v>
      </c>
      <c r="N249" s="1">
        <f>MOD(ROW(aoc_03_input[[#This Row],[CountRow2_5]])+1,2)</f>
        <v>0</v>
      </c>
      <c r="O249" s="1">
        <f t="shared" si="19"/>
        <v>124</v>
      </c>
      <c r="P249" s="1" t="str">
        <f>MID(aoc_03_input[[#This Row],[Forest]],MOD(aoc_03_input[[#This Row],[Pos2_5]]-1,LEN(aoc_03_input[[#This Row],[Forest]]))+1,1)</f>
        <v>.</v>
      </c>
      <c r="Q249" s="1">
        <f>IF(AND(aoc_03_input[[#This Row],[CountRow2_5]]=1,aoc_03_input[[#This Row],[CharAtPos2_5]]="#"),1,0)</f>
        <v>0</v>
      </c>
    </row>
    <row r="250" spans="1:17" x14ac:dyDescent="0.45">
      <c r="A250" s="1" t="s">
        <v>1634</v>
      </c>
      <c r="B250" s="1">
        <f t="shared" si="15"/>
        <v>745</v>
      </c>
      <c r="C250" s="1" t="str">
        <f>MID(aoc_03_input[[#This Row],[Forest]],MOD(aoc_03_input[[#This Row],[Pos1]]-1,LEN(aoc_03_input[[#This Row],[Forest]]))+1,1)</f>
        <v>#</v>
      </c>
      <c r="D250" s="1">
        <f>IF(aoc_03_input[[#This Row],[CharAtPos1]]="#",1,0)</f>
        <v>1</v>
      </c>
      <c r="E250" s="1">
        <f t="shared" si="16"/>
        <v>249</v>
      </c>
      <c r="F250" s="1" t="str">
        <f>MID(aoc_03_input[[#This Row],[Forest]],MOD(aoc_03_input[[#This Row],[Pos2_1]]-1,LEN(aoc_03_input[[#This Row],[Forest]]))+1,1)</f>
        <v>#</v>
      </c>
      <c r="G250" s="1">
        <f>IF(aoc_03_input[[#This Row],[CharAtPos2_1]]="#",1,0)</f>
        <v>1</v>
      </c>
      <c r="H250" s="1">
        <f t="shared" si="17"/>
        <v>1241</v>
      </c>
      <c r="I250" s="1" t="str">
        <f>MID(aoc_03_input[[#This Row],[Forest]],MOD(aoc_03_input[[#This Row],[Pos2_3]]-1,LEN(aoc_03_input[[#This Row],[Forest]]))+1,1)</f>
        <v>#</v>
      </c>
      <c r="J250" s="1">
        <f>IF(aoc_03_input[[#This Row],[CharAtPos2_3]]="#",1,0)</f>
        <v>1</v>
      </c>
      <c r="K250" s="1">
        <f t="shared" si="18"/>
        <v>1737</v>
      </c>
      <c r="L250" s="1" t="str">
        <f>MID(aoc_03_input[[#This Row],[Forest]],MOD(aoc_03_input[[#This Row],[Pos2_4]]-1,LEN(aoc_03_input[[#This Row],[Forest]]))+1,1)</f>
        <v>#</v>
      </c>
      <c r="M250" s="1">
        <f>IF(aoc_03_input[[#This Row],[CharAtPos2_4]]="#",1,0)</f>
        <v>1</v>
      </c>
      <c r="N250" s="1">
        <f>MOD(ROW(aoc_03_input[[#This Row],[CountRow2_5]])+1,2)</f>
        <v>1</v>
      </c>
      <c r="O250" s="1">
        <f t="shared" si="19"/>
        <v>125</v>
      </c>
      <c r="P250" s="1" t="str">
        <f>MID(aoc_03_input[[#This Row],[Forest]],MOD(aoc_03_input[[#This Row],[Pos2_5]]-1,LEN(aoc_03_input[[#This Row],[Forest]]))+1,1)</f>
        <v>#</v>
      </c>
      <c r="Q250" s="1">
        <f>IF(AND(aoc_03_input[[#This Row],[CountRow2_5]]=1,aoc_03_input[[#This Row],[CharAtPos2_5]]="#"),1,0)</f>
        <v>1</v>
      </c>
    </row>
    <row r="251" spans="1:17" x14ac:dyDescent="0.45">
      <c r="A251" s="1" t="s">
        <v>1635</v>
      </c>
      <c r="B251" s="1">
        <f t="shared" si="15"/>
        <v>748</v>
      </c>
      <c r="C251" s="1" t="str">
        <f>MID(aoc_03_input[[#This Row],[Forest]],MOD(aoc_03_input[[#This Row],[Pos1]]-1,LEN(aoc_03_input[[#This Row],[Forest]]))+1,1)</f>
        <v>#</v>
      </c>
      <c r="D251" s="1">
        <f>IF(aoc_03_input[[#This Row],[CharAtPos1]]="#",1,0)</f>
        <v>1</v>
      </c>
      <c r="E251" s="1">
        <f t="shared" si="16"/>
        <v>250</v>
      </c>
      <c r="F251" s="1" t="str">
        <f>MID(aoc_03_input[[#This Row],[Forest]],MOD(aoc_03_input[[#This Row],[Pos2_1]]-1,LEN(aoc_03_input[[#This Row],[Forest]]))+1,1)</f>
        <v>.</v>
      </c>
      <c r="G251" s="1">
        <f>IF(aoc_03_input[[#This Row],[CharAtPos2_1]]="#",1,0)</f>
        <v>0</v>
      </c>
      <c r="H251" s="1">
        <f t="shared" si="17"/>
        <v>1246</v>
      </c>
      <c r="I251" s="1" t="str">
        <f>MID(aoc_03_input[[#This Row],[Forest]],MOD(aoc_03_input[[#This Row],[Pos2_3]]-1,LEN(aoc_03_input[[#This Row],[Forest]]))+1,1)</f>
        <v>#</v>
      </c>
      <c r="J251" s="1">
        <f>IF(aoc_03_input[[#This Row],[CharAtPos2_3]]="#",1,0)</f>
        <v>1</v>
      </c>
      <c r="K251" s="1">
        <f t="shared" si="18"/>
        <v>1744</v>
      </c>
      <c r="L251" s="1" t="str">
        <f>MID(aoc_03_input[[#This Row],[Forest]],MOD(aoc_03_input[[#This Row],[Pos2_4]]-1,LEN(aoc_03_input[[#This Row],[Forest]]))+1,1)</f>
        <v>.</v>
      </c>
      <c r="M251" s="1">
        <f>IF(aoc_03_input[[#This Row],[CharAtPos2_4]]="#",1,0)</f>
        <v>0</v>
      </c>
      <c r="N251" s="1">
        <f>MOD(ROW(aoc_03_input[[#This Row],[CountRow2_5]])+1,2)</f>
        <v>0</v>
      </c>
      <c r="O251" s="1">
        <f t="shared" si="19"/>
        <v>125</v>
      </c>
      <c r="P251" s="1" t="str">
        <f>MID(aoc_03_input[[#This Row],[Forest]],MOD(aoc_03_input[[#This Row],[Pos2_5]]-1,LEN(aoc_03_input[[#This Row],[Forest]]))+1,1)</f>
        <v>.</v>
      </c>
      <c r="Q251" s="1">
        <f>IF(AND(aoc_03_input[[#This Row],[CountRow2_5]]=1,aoc_03_input[[#This Row],[CharAtPos2_5]]="#"),1,0)</f>
        <v>0</v>
      </c>
    </row>
    <row r="252" spans="1:17" x14ac:dyDescent="0.45">
      <c r="A252" s="1" t="s">
        <v>1636</v>
      </c>
      <c r="B252" s="1">
        <f t="shared" si="15"/>
        <v>751</v>
      </c>
      <c r="C252" s="1" t="str">
        <f>MID(aoc_03_input[[#This Row],[Forest]],MOD(aoc_03_input[[#This Row],[Pos1]]-1,LEN(aoc_03_input[[#This Row],[Forest]]))+1,1)</f>
        <v>.</v>
      </c>
      <c r="D252" s="1">
        <f>IF(aoc_03_input[[#This Row],[CharAtPos1]]="#",1,0)</f>
        <v>0</v>
      </c>
      <c r="E252" s="1">
        <f t="shared" si="16"/>
        <v>251</v>
      </c>
      <c r="F252" s="1" t="str">
        <f>MID(aoc_03_input[[#This Row],[Forest]],MOD(aoc_03_input[[#This Row],[Pos2_1]]-1,LEN(aoc_03_input[[#This Row],[Forest]]))+1,1)</f>
        <v>.</v>
      </c>
      <c r="G252" s="1">
        <f>IF(aoc_03_input[[#This Row],[CharAtPos2_1]]="#",1,0)</f>
        <v>0</v>
      </c>
      <c r="H252" s="1">
        <f t="shared" si="17"/>
        <v>1251</v>
      </c>
      <c r="I252" s="1" t="str">
        <f>MID(aoc_03_input[[#This Row],[Forest]],MOD(aoc_03_input[[#This Row],[Pos2_3]]-1,LEN(aoc_03_input[[#This Row],[Forest]]))+1,1)</f>
        <v>#</v>
      </c>
      <c r="J252" s="1">
        <f>IF(aoc_03_input[[#This Row],[CharAtPos2_3]]="#",1,0)</f>
        <v>1</v>
      </c>
      <c r="K252" s="1">
        <f t="shared" si="18"/>
        <v>1751</v>
      </c>
      <c r="L252" s="1" t="str">
        <f>MID(aoc_03_input[[#This Row],[Forest]],MOD(aoc_03_input[[#This Row],[Pos2_4]]-1,LEN(aoc_03_input[[#This Row],[Forest]]))+1,1)</f>
        <v>.</v>
      </c>
      <c r="M252" s="1">
        <f>IF(aoc_03_input[[#This Row],[CharAtPos2_4]]="#",1,0)</f>
        <v>0</v>
      </c>
      <c r="N252" s="1">
        <f>MOD(ROW(aoc_03_input[[#This Row],[CountRow2_5]])+1,2)</f>
        <v>1</v>
      </c>
      <c r="O252" s="1">
        <f t="shared" si="19"/>
        <v>126</v>
      </c>
      <c r="P252" s="1" t="str">
        <f>MID(aoc_03_input[[#This Row],[Forest]],MOD(aoc_03_input[[#This Row],[Pos2_5]]-1,LEN(aoc_03_input[[#This Row],[Forest]]))+1,1)</f>
        <v>.</v>
      </c>
      <c r="Q252" s="1">
        <f>IF(AND(aoc_03_input[[#This Row],[CountRow2_5]]=1,aoc_03_input[[#This Row],[CharAtPos2_5]]="#"),1,0)</f>
        <v>0</v>
      </c>
    </row>
    <row r="253" spans="1:17" x14ac:dyDescent="0.45">
      <c r="A253" s="1" t="s">
        <v>1637</v>
      </c>
      <c r="B253" s="1">
        <f t="shared" si="15"/>
        <v>754</v>
      </c>
      <c r="C253" s="1" t="str">
        <f>MID(aoc_03_input[[#This Row],[Forest]],MOD(aoc_03_input[[#This Row],[Pos1]]-1,LEN(aoc_03_input[[#This Row],[Forest]]))+1,1)</f>
        <v>#</v>
      </c>
      <c r="D253" s="1">
        <f>IF(aoc_03_input[[#This Row],[CharAtPos1]]="#",1,0)</f>
        <v>1</v>
      </c>
      <c r="E253" s="1">
        <f t="shared" si="16"/>
        <v>252</v>
      </c>
      <c r="F253" s="1" t="str">
        <f>MID(aoc_03_input[[#This Row],[Forest]],MOD(aoc_03_input[[#This Row],[Pos2_1]]-1,LEN(aoc_03_input[[#This Row],[Forest]]))+1,1)</f>
        <v>#</v>
      </c>
      <c r="G253" s="1">
        <f>IF(aoc_03_input[[#This Row],[CharAtPos2_1]]="#",1,0)</f>
        <v>1</v>
      </c>
      <c r="H253" s="1">
        <f t="shared" si="17"/>
        <v>1256</v>
      </c>
      <c r="I253" s="1" t="str">
        <f>MID(aoc_03_input[[#This Row],[Forest]],MOD(aoc_03_input[[#This Row],[Pos2_3]]-1,LEN(aoc_03_input[[#This Row],[Forest]]))+1,1)</f>
        <v>.</v>
      </c>
      <c r="J253" s="1">
        <f>IF(aoc_03_input[[#This Row],[CharAtPos2_3]]="#",1,0)</f>
        <v>0</v>
      </c>
      <c r="K253" s="1">
        <f t="shared" si="18"/>
        <v>1758</v>
      </c>
      <c r="L253" s="1" t="str">
        <f>MID(aoc_03_input[[#This Row],[Forest]],MOD(aoc_03_input[[#This Row],[Pos2_4]]-1,LEN(aoc_03_input[[#This Row],[Forest]]))+1,1)</f>
        <v>.</v>
      </c>
      <c r="M253" s="1">
        <f>IF(aoc_03_input[[#This Row],[CharAtPos2_4]]="#",1,0)</f>
        <v>0</v>
      </c>
      <c r="N253" s="1">
        <f>MOD(ROW(aoc_03_input[[#This Row],[CountRow2_5]])+1,2)</f>
        <v>0</v>
      </c>
      <c r="O253" s="1">
        <f t="shared" si="19"/>
        <v>126</v>
      </c>
      <c r="P253" s="1" t="str">
        <f>MID(aoc_03_input[[#This Row],[Forest]],MOD(aoc_03_input[[#This Row],[Pos2_5]]-1,LEN(aoc_03_input[[#This Row],[Forest]]))+1,1)</f>
        <v>.</v>
      </c>
      <c r="Q253" s="1">
        <f>IF(AND(aoc_03_input[[#This Row],[CountRow2_5]]=1,aoc_03_input[[#This Row],[CharAtPos2_5]]="#"),1,0)</f>
        <v>0</v>
      </c>
    </row>
    <row r="254" spans="1:17" x14ac:dyDescent="0.45">
      <c r="A254" s="1" t="s">
        <v>1638</v>
      </c>
      <c r="B254" s="1">
        <f t="shared" si="15"/>
        <v>757</v>
      </c>
      <c r="C254" s="1" t="str">
        <f>MID(aoc_03_input[[#This Row],[Forest]],MOD(aoc_03_input[[#This Row],[Pos1]]-1,LEN(aoc_03_input[[#This Row],[Forest]]))+1,1)</f>
        <v>.</v>
      </c>
      <c r="D254" s="1">
        <f>IF(aoc_03_input[[#This Row],[CharAtPos1]]="#",1,0)</f>
        <v>0</v>
      </c>
      <c r="E254" s="1">
        <f t="shared" si="16"/>
        <v>253</v>
      </c>
      <c r="F254" s="1" t="str">
        <f>MID(aoc_03_input[[#This Row],[Forest]],MOD(aoc_03_input[[#This Row],[Pos2_1]]-1,LEN(aoc_03_input[[#This Row],[Forest]]))+1,1)</f>
        <v>.</v>
      </c>
      <c r="G254" s="1">
        <f>IF(aoc_03_input[[#This Row],[CharAtPos2_1]]="#",1,0)</f>
        <v>0</v>
      </c>
      <c r="H254" s="1">
        <f t="shared" si="17"/>
        <v>1261</v>
      </c>
      <c r="I254" s="1" t="str">
        <f>MID(aoc_03_input[[#This Row],[Forest]],MOD(aoc_03_input[[#This Row],[Pos2_3]]-1,LEN(aoc_03_input[[#This Row],[Forest]]))+1,1)</f>
        <v>.</v>
      </c>
      <c r="J254" s="1">
        <f>IF(aoc_03_input[[#This Row],[CharAtPos2_3]]="#",1,0)</f>
        <v>0</v>
      </c>
      <c r="K254" s="1">
        <f t="shared" si="18"/>
        <v>1765</v>
      </c>
      <c r="L254" s="1" t="str">
        <f>MID(aoc_03_input[[#This Row],[Forest]],MOD(aoc_03_input[[#This Row],[Pos2_4]]-1,LEN(aoc_03_input[[#This Row],[Forest]]))+1,1)</f>
        <v>.</v>
      </c>
      <c r="M254" s="1">
        <f>IF(aoc_03_input[[#This Row],[CharAtPos2_4]]="#",1,0)</f>
        <v>0</v>
      </c>
      <c r="N254" s="1">
        <f>MOD(ROW(aoc_03_input[[#This Row],[CountRow2_5]])+1,2)</f>
        <v>1</v>
      </c>
      <c r="O254" s="1">
        <f t="shared" si="19"/>
        <v>127</v>
      </c>
      <c r="P254" s="1" t="str">
        <f>MID(aoc_03_input[[#This Row],[Forest]],MOD(aoc_03_input[[#This Row],[Pos2_5]]-1,LEN(aoc_03_input[[#This Row],[Forest]]))+1,1)</f>
        <v>.</v>
      </c>
      <c r="Q254" s="1">
        <f>IF(AND(aoc_03_input[[#This Row],[CountRow2_5]]=1,aoc_03_input[[#This Row],[CharAtPos2_5]]="#"),1,0)</f>
        <v>0</v>
      </c>
    </row>
    <row r="255" spans="1:17" x14ac:dyDescent="0.45">
      <c r="A255" s="1" t="s">
        <v>1639</v>
      </c>
      <c r="B255" s="1">
        <f t="shared" si="15"/>
        <v>760</v>
      </c>
      <c r="C255" s="1" t="str">
        <f>MID(aoc_03_input[[#This Row],[Forest]],MOD(aoc_03_input[[#This Row],[Pos1]]-1,LEN(aoc_03_input[[#This Row],[Forest]]))+1,1)</f>
        <v>.</v>
      </c>
      <c r="D255" s="1">
        <f>IF(aoc_03_input[[#This Row],[CharAtPos1]]="#",1,0)</f>
        <v>0</v>
      </c>
      <c r="E255" s="1">
        <f t="shared" si="16"/>
        <v>254</v>
      </c>
      <c r="F255" s="1" t="str">
        <f>MID(aoc_03_input[[#This Row],[Forest]],MOD(aoc_03_input[[#This Row],[Pos2_1]]-1,LEN(aoc_03_input[[#This Row],[Forest]]))+1,1)</f>
        <v>.</v>
      </c>
      <c r="G255" s="1">
        <f>IF(aoc_03_input[[#This Row],[CharAtPos2_1]]="#",1,0)</f>
        <v>0</v>
      </c>
      <c r="H255" s="1">
        <f t="shared" si="17"/>
        <v>1266</v>
      </c>
      <c r="I255" s="1" t="str">
        <f>MID(aoc_03_input[[#This Row],[Forest]],MOD(aoc_03_input[[#This Row],[Pos2_3]]-1,LEN(aoc_03_input[[#This Row],[Forest]]))+1,1)</f>
        <v>.</v>
      </c>
      <c r="J255" s="1">
        <f>IF(aoc_03_input[[#This Row],[CharAtPos2_3]]="#",1,0)</f>
        <v>0</v>
      </c>
      <c r="K255" s="1">
        <f t="shared" si="18"/>
        <v>1772</v>
      </c>
      <c r="L255" s="1" t="str">
        <f>MID(aoc_03_input[[#This Row],[Forest]],MOD(aoc_03_input[[#This Row],[Pos2_4]]-1,LEN(aoc_03_input[[#This Row],[Forest]]))+1,1)</f>
        <v>.</v>
      </c>
      <c r="M255" s="1">
        <f>IF(aoc_03_input[[#This Row],[CharAtPos2_4]]="#",1,0)</f>
        <v>0</v>
      </c>
      <c r="N255" s="1">
        <f>MOD(ROW(aoc_03_input[[#This Row],[CountRow2_5]])+1,2)</f>
        <v>0</v>
      </c>
      <c r="O255" s="1">
        <f t="shared" si="19"/>
        <v>127</v>
      </c>
      <c r="P255" s="1" t="str">
        <f>MID(aoc_03_input[[#This Row],[Forest]],MOD(aoc_03_input[[#This Row],[Pos2_5]]-1,LEN(aoc_03_input[[#This Row],[Forest]]))+1,1)</f>
        <v>.</v>
      </c>
      <c r="Q255" s="1">
        <f>IF(AND(aoc_03_input[[#This Row],[CountRow2_5]]=1,aoc_03_input[[#This Row],[CharAtPos2_5]]="#"),1,0)</f>
        <v>0</v>
      </c>
    </row>
    <row r="256" spans="1:17" x14ac:dyDescent="0.45">
      <c r="A256" s="1" t="s">
        <v>1640</v>
      </c>
      <c r="B256" s="1">
        <f t="shared" si="15"/>
        <v>763</v>
      </c>
      <c r="C256" s="1" t="str">
        <f>MID(aoc_03_input[[#This Row],[Forest]],MOD(aoc_03_input[[#This Row],[Pos1]]-1,LEN(aoc_03_input[[#This Row],[Forest]]))+1,1)</f>
        <v>.</v>
      </c>
      <c r="D256" s="1">
        <f>IF(aoc_03_input[[#This Row],[CharAtPos1]]="#",1,0)</f>
        <v>0</v>
      </c>
      <c r="E256" s="1">
        <f t="shared" si="16"/>
        <v>255</v>
      </c>
      <c r="F256" s="1" t="str">
        <f>MID(aoc_03_input[[#This Row],[Forest]],MOD(aoc_03_input[[#This Row],[Pos2_1]]-1,LEN(aoc_03_input[[#This Row],[Forest]]))+1,1)</f>
        <v>.</v>
      </c>
      <c r="G256" s="1">
        <f>IF(aoc_03_input[[#This Row],[CharAtPos2_1]]="#",1,0)</f>
        <v>0</v>
      </c>
      <c r="H256" s="1">
        <f t="shared" si="17"/>
        <v>1271</v>
      </c>
      <c r="I256" s="1" t="str">
        <f>MID(aoc_03_input[[#This Row],[Forest]],MOD(aoc_03_input[[#This Row],[Pos2_3]]-1,LEN(aoc_03_input[[#This Row],[Forest]]))+1,1)</f>
        <v>.</v>
      </c>
      <c r="J256" s="1">
        <f>IF(aoc_03_input[[#This Row],[CharAtPos2_3]]="#",1,0)</f>
        <v>0</v>
      </c>
      <c r="K256" s="1">
        <f t="shared" si="18"/>
        <v>1779</v>
      </c>
      <c r="L256" s="1" t="str">
        <f>MID(aoc_03_input[[#This Row],[Forest]],MOD(aoc_03_input[[#This Row],[Pos2_4]]-1,LEN(aoc_03_input[[#This Row],[Forest]]))+1,1)</f>
        <v>.</v>
      </c>
      <c r="M256" s="1">
        <f>IF(aoc_03_input[[#This Row],[CharAtPos2_4]]="#",1,0)</f>
        <v>0</v>
      </c>
      <c r="N256" s="1">
        <f>MOD(ROW(aoc_03_input[[#This Row],[CountRow2_5]])+1,2)</f>
        <v>1</v>
      </c>
      <c r="O256" s="1">
        <f t="shared" si="19"/>
        <v>128</v>
      </c>
      <c r="P256" s="1" t="str">
        <f>MID(aoc_03_input[[#This Row],[Forest]],MOD(aoc_03_input[[#This Row],[Pos2_5]]-1,LEN(aoc_03_input[[#This Row],[Forest]]))+1,1)</f>
        <v>.</v>
      </c>
      <c r="Q256" s="1">
        <f>IF(AND(aoc_03_input[[#This Row],[CountRow2_5]]=1,aoc_03_input[[#This Row],[CharAtPos2_5]]="#"),1,0)</f>
        <v>0</v>
      </c>
    </row>
    <row r="257" spans="1:17" x14ac:dyDescent="0.45">
      <c r="A257" s="1" t="s">
        <v>1641</v>
      </c>
      <c r="B257" s="1">
        <f t="shared" si="15"/>
        <v>766</v>
      </c>
      <c r="C257" s="1" t="str">
        <f>MID(aoc_03_input[[#This Row],[Forest]],MOD(aoc_03_input[[#This Row],[Pos1]]-1,LEN(aoc_03_input[[#This Row],[Forest]]))+1,1)</f>
        <v>#</v>
      </c>
      <c r="D257" s="1">
        <f>IF(aoc_03_input[[#This Row],[CharAtPos1]]="#",1,0)</f>
        <v>1</v>
      </c>
      <c r="E257" s="1">
        <f t="shared" si="16"/>
        <v>256</v>
      </c>
      <c r="F257" s="1" t="str">
        <f>MID(aoc_03_input[[#This Row],[Forest]],MOD(aoc_03_input[[#This Row],[Pos2_1]]-1,LEN(aoc_03_input[[#This Row],[Forest]]))+1,1)</f>
        <v>.</v>
      </c>
      <c r="G257" s="1">
        <f>IF(aoc_03_input[[#This Row],[CharAtPos2_1]]="#",1,0)</f>
        <v>0</v>
      </c>
      <c r="H257" s="1">
        <f t="shared" si="17"/>
        <v>1276</v>
      </c>
      <c r="I257" s="1" t="str">
        <f>MID(aoc_03_input[[#This Row],[Forest]],MOD(aoc_03_input[[#This Row],[Pos2_3]]-1,LEN(aoc_03_input[[#This Row],[Forest]]))+1,1)</f>
        <v>#</v>
      </c>
      <c r="J257" s="1">
        <f>IF(aoc_03_input[[#This Row],[CharAtPos2_3]]="#",1,0)</f>
        <v>1</v>
      </c>
      <c r="K257" s="1">
        <f t="shared" si="18"/>
        <v>1786</v>
      </c>
      <c r="L257" s="1" t="str">
        <f>MID(aoc_03_input[[#This Row],[Forest]],MOD(aoc_03_input[[#This Row],[Pos2_4]]-1,LEN(aoc_03_input[[#This Row],[Forest]]))+1,1)</f>
        <v>#</v>
      </c>
      <c r="M257" s="1">
        <f>IF(aoc_03_input[[#This Row],[CharAtPos2_4]]="#",1,0)</f>
        <v>1</v>
      </c>
      <c r="N257" s="1">
        <f>MOD(ROW(aoc_03_input[[#This Row],[CountRow2_5]])+1,2)</f>
        <v>0</v>
      </c>
      <c r="O257" s="1">
        <f t="shared" si="19"/>
        <v>128</v>
      </c>
      <c r="P257" s="1" t="str">
        <f>MID(aoc_03_input[[#This Row],[Forest]],MOD(aoc_03_input[[#This Row],[Pos2_5]]-1,LEN(aoc_03_input[[#This Row],[Forest]]))+1,1)</f>
        <v>.</v>
      </c>
      <c r="Q257" s="1">
        <f>IF(AND(aoc_03_input[[#This Row],[CountRow2_5]]=1,aoc_03_input[[#This Row],[CharAtPos2_5]]="#"),1,0)</f>
        <v>0</v>
      </c>
    </row>
    <row r="258" spans="1:17" x14ac:dyDescent="0.45">
      <c r="A258" s="1" t="s">
        <v>1642</v>
      </c>
      <c r="B258" s="1">
        <f t="shared" si="15"/>
        <v>769</v>
      </c>
      <c r="C258" s="1" t="str">
        <f>MID(aoc_03_input[[#This Row],[Forest]],MOD(aoc_03_input[[#This Row],[Pos1]]-1,LEN(aoc_03_input[[#This Row],[Forest]]))+1,1)</f>
        <v>#</v>
      </c>
      <c r="D258" s="1">
        <f>IF(aoc_03_input[[#This Row],[CharAtPos1]]="#",1,0)</f>
        <v>1</v>
      </c>
      <c r="E258" s="1">
        <f t="shared" si="16"/>
        <v>257</v>
      </c>
      <c r="F258" s="1" t="str">
        <f>MID(aoc_03_input[[#This Row],[Forest]],MOD(aoc_03_input[[#This Row],[Pos2_1]]-1,LEN(aoc_03_input[[#This Row],[Forest]]))+1,1)</f>
        <v>.</v>
      </c>
      <c r="G258" s="1">
        <f>IF(aoc_03_input[[#This Row],[CharAtPos2_1]]="#",1,0)</f>
        <v>0</v>
      </c>
      <c r="H258" s="1">
        <f t="shared" si="17"/>
        <v>1281</v>
      </c>
      <c r="I258" s="1" t="str">
        <f>MID(aoc_03_input[[#This Row],[Forest]],MOD(aoc_03_input[[#This Row],[Pos2_3]]-1,LEN(aoc_03_input[[#This Row],[Forest]]))+1,1)</f>
        <v>.</v>
      </c>
      <c r="J258" s="1">
        <f>IF(aoc_03_input[[#This Row],[CharAtPos2_3]]="#",1,0)</f>
        <v>0</v>
      </c>
      <c r="K258" s="1">
        <f t="shared" si="18"/>
        <v>1793</v>
      </c>
      <c r="L258" s="1" t="str">
        <f>MID(aoc_03_input[[#This Row],[Forest]],MOD(aoc_03_input[[#This Row],[Pos2_4]]-1,LEN(aoc_03_input[[#This Row],[Forest]]))+1,1)</f>
        <v>#</v>
      </c>
      <c r="M258" s="1">
        <f>IF(aoc_03_input[[#This Row],[CharAtPos2_4]]="#",1,0)</f>
        <v>1</v>
      </c>
      <c r="N258" s="1">
        <f>MOD(ROW(aoc_03_input[[#This Row],[CountRow2_5]])+1,2)</f>
        <v>1</v>
      </c>
      <c r="O258" s="1">
        <f t="shared" si="19"/>
        <v>129</v>
      </c>
      <c r="P258" s="1" t="str">
        <f>MID(aoc_03_input[[#This Row],[Forest]],MOD(aoc_03_input[[#This Row],[Pos2_5]]-1,LEN(aoc_03_input[[#This Row],[Forest]]))+1,1)</f>
        <v>#</v>
      </c>
      <c r="Q258" s="1">
        <f>IF(AND(aoc_03_input[[#This Row],[CountRow2_5]]=1,aoc_03_input[[#This Row],[CharAtPos2_5]]="#"),1,0)</f>
        <v>1</v>
      </c>
    </row>
    <row r="259" spans="1:17" x14ac:dyDescent="0.45">
      <c r="A259" s="1" t="s">
        <v>1643</v>
      </c>
      <c r="B259" s="1">
        <f t="shared" si="15"/>
        <v>772</v>
      </c>
      <c r="C259" s="1" t="str">
        <f>MID(aoc_03_input[[#This Row],[Forest]],MOD(aoc_03_input[[#This Row],[Pos1]]-1,LEN(aoc_03_input[[#This Row],[Forest]]))+1,1)</f>
        <v>.</v>
      </c>
      <c r="D259" s="1">
        <f>IF(aoc_03_input[[#This Row],[CharAtPos1]]="#",1,0)</f>
        <v>0</v>
      </c>
      <c r="E259" s="1">
        <f t="shared" si="16"/>
        <v>258</v>
      </c>
      <c r="F259" s="1" t="str">
        <f>MID(aoc_03_input[[#This Row],[Forest]],MOD(aoc_03_input[[#This Row],[Pos2_1]]-1,LEN(aoc_03_input[[#This Row],[Forest]]))+1,1)</f>
        <v>#</v>
      </c>
      <c r="G259" s="1">
        <f>IF(aoc_03_input[[#This Row],[CharAtPos2_1]]="#",1,0)</f>
        <v>1</v>
      </c>
      <c r="H259" s="1">
        <f t="shared" si="17"/>
        <v>1286</v>
      </c>
      <c r="I259" s="1" t="str">
        <f>MID(aoc_03_input[[#This Row],[Forest]],MOD(aoc_03_input[[#This Row],[Pos2_3]]-1,LEN(aoc_03_input[[#This Row],[Forest]]))+1,1)</f>
        <v>.</v>
      </c>
      <c r="J259" s="1">
        <f>IF(aoc_03_input[[#This Row],[CharAtPos2_3]]="#",1,0)</f>
        <v>0</v>
      </c>
      <c r="K259" s="1">
        <f t="shared" si="18"/>
        <v>1800</v>
      </c>
      <c r="L259" s="1" t="str">
        <f>MID(aoc_03_input[[#This Row],[Forest]],MOD(aoc_03_input[[#This Row],[Pos2_4]]-1,LEN(aoc_03_input[[#This Row],[Forest]]))+1,1)</f>
        <v>.</v>
      </c>
      <c r="M259" s="1">
        <f>IF(aoc_03_input[[#This Row],[CharAtPos2_4]]="#",1,0)</f>
        <v>0</v>
      </c>
      <c r="N259" s="1">
        <f>MOD(ROW(aoc_03_input[[#This Row],[CountRow2_5]])+1,2)</f>
        <v>0</v>
      </c>
      <c r="O259" s="1">
        <f t="shared" si="19"/>
        <v>129</v>
      </c>
      <c r="P259" s="1" t="str">
        <f>MID(aoc_03_input[[#This Row],[Forest]],MOD(aoc_03_input[[#This Row],[Pos2_5]]-1,LEN(aoc_03_input[[#This Row],[Forest]]))+1,1)</f>
        <v>#</v>
      </c>
      <c r="Q259" s="1">
        <f>IF(AND(aoc_03_input[[#This Row],[CountRow2_5]]=1,aoc_03_input[[#This Row],[CharAtPos2_5]]="#"),1,0)</f>
        <v>0</v>
      </c>
    </row>
    <row r="260" spans="1:17" x14ac:dyDescent="0.45">
      <c r="A260" s="1" t="s">
        <v>1644</v>
      </c>
      <c r="B260" s="1">
        <f t="shared" ref="B260:B323" si="20">B259+3</f>
        <v>775</v>
      </c>
      <c r="C260" s="1" t="str">
        <f>MID(aoc_03_input[[#This Row],[Forest]],MOD(aoc_03_input[[#This Row],[Pos1]]-1,LEN(aoc_03_input[[#This Row],[Forest]]))+1,1)</f>
        <v>.</v>
      </c>
      <c r="D260" s="1">
        <f>IF(aoc_03_input[[#This Row],[CharAtPos1]]="#",1,0)</f>
        <v>0</v>
      </c>
      <c r="E260" s="1">
        <f t="shared" ref="E260:E323" si="21">E259+1</f>
        <v>259</v>
      </c>
      <c r="F260" s="1" t="str">
        <f>MID(aoc_03_input[[#This Row],[Forest]],MOD(aoc_03_input[[#This Row],[Pos2_1]]-1,LEN(aoc_03_input[[#This Row],[Forest]]))+1,1)</f>
        <v>.</v>
      </c>
      <c r="G260" s="1">
        <f>IF(aoc_03_input[[#This Row],[CharAtPos2_1]]="#",1,0)</f>
        <v>0</v>
      </c>
      <c r="H260" s="1">
        <f t="shared" ref="H260:H323" si="22">H259+5</f>
        <v>1291</v>
      </c>
      <c r="I260" s="1" t="str">
        <f>MID(aoc_03_input[[#This Row],[Forest]],MOD(aoc_03_input[[#This Row],[Pos2_3]]-1,LEN(aoc_03_input[[#This Row],[Forest]]))+1,1)</f>
        <v>.</v>
      </c>
      <c r="J260" s="1">
        <f>IF(aoc_03_input[[#This Row],[CharAtPos2_3]]="#",1,0)</f>
        <v>0</v>
      </c>
      <c r="K260" s="1">
        <f t="shared" ref="K260:K323" si="23">K259+7</f>
        <v>1807</v>
      </c>
      <c r="L260" s="1" t="str">
        <f>MID(aoc_03_input[[#This Row],[Forest]],MOD(aoc_03_input[[#This Row],[Pos2_4]]-1,LEN(aoc_03_input[[#This Row],[Forest]]))+1,1)</f>
        <v>.</v>
      </c>
      <c r="M260" s="1">
        <f>IF(aoc_03_input[[#This Row],[CharAtPos2_4]]="#",1,0)</f>
        <v>0</v>
      </c>
      <c r="N260" s="1">
        <f>MOD(ROW(aoc_03_input[[#This Row],[CountRow2_5]])+1,2)</f>
        <v>1</v>
      </c>
      <c r="O260" s="1">
        <f t="shared" si="19"/>
        <v>130</v>
      </c>
      <c r="P260" s="1" t="str">
        <f>MID(aoc_03_input[[#This Row],[Forest]],MOD(aoc_03_input[[#This Row],[Pos2_5]]-1,LEN(aoc_03_input[[#This Row],[Forest]]))+1,1)</f>
        <v>.</v>
      </c>
      <c r="Q260" s="1">
        <f>IF(AND(aoc_03_input[[#This Row],[CountRow2_5]]=1,aoc_03_input[[#This Row],[CharAtPos2_5]]="#"),1,0)</f>
        <v>0</v>
      </c>
    </row>
    <row r="261" spans="1:17" x14ac:dyDescent="0.45">
      <c r="A261" s="1" t="s">
        <v>1645</v>
      </c>
      <c r="B261" s="1">
        <f t="shared" si="20"/>
        <v>778</v>
      </c>
      <c r="C261" s="1" t="str">
        <f>MID(aoc_03_input[[#This Row],[Forest]],MOD(aoc_03_input[[#This Row],[Pos1]]-1,LEN(aoc_03_input[[#This Row],[Forest]]))+1,1)</f>
        <v>.</v>
      </c>
      <c r="D261" s="1">
        <f>IF(aoc_03_input[[#This Row],[CharAtPos1]]="#",1,0)</f>
        <v>0</v>
      </c>
      <c r="E261" s="1">
        <f t="shared" si="21"/>
        <v>260</v>
      </c>
      <c r="F261" s="1" t="str">
        <f>MID(aoc_03_input[[#This Row],[Forest]],MOD(aoc_03_input[[#This Row],[Pos2_1]]-1,LEN(aoc_03_input[[#This Row],[Forest]]))+1,1)</f>
        <v>.</v>
      </c>
      <c r="G261" s="1">
        <f>IF(aoc_03_input[[#This Row],[CharAtPos2_1]]="#",1,0)</f>
        <v>0</v>
      </c>
      <c r="H261" s="1">
        <f t="shared" si="22"/>
        <v>1296</v>
      </c>
      <c r="I261" s="1" t="str">
        <f>MID(aoc_03_input[[#This Row],[Forest]],MOD(aoc_03_input[[#This Row],[Pos2_3]]-1,LEN(aoc_03_input[[#This Row],[Forest]]))+1,1)</f>
        <v>.</v>
      </c>
      <c r="J261" s="1">
        <f>IF(aoc_03_input[[#This Row],[CharAtPos2_3]]="#",1,0)</f>
        <v>0</v>
      </c>
      <c r="K261" s="1">
        <f t="shared" si="23"/>
        <v>1814</v>
      </c>
      <c r="L261" s="1" t="str">
        <f>MID(aoc_03_input[[#This Row],[Forest]],MOD(aoc_03_input[[#This Row],[Pos2_4]]-1,LEN(aoc_03_input[[#This Row],[Forest]]))+1,1)</f>
        <v>.</v>
      </c>
      <c r="M261" s="1">
        <f>IF(aoc_03_input[[#This Row],[CharAtPos2_4]]="#",1,0)</f>
        <v>0</v>
      </c>
      <c r="N261" s="1">
        <f>MOD(ROW(aoc_03_input[[#This Row],[CountRow2_5]])+1,2)</f>
        <v>0</v>
      </c>
      <c r="O261" s="1">
        <f t="shared" si="19"/>
        <v>130</v>
      </c>
      <c r="P261" s="1" t="str">
        <f>MID(aoc_03_input[[#This Row],[Forest]],MOD(aoc_03_input[[#This Row],[Pos2_5]]-1,LEN(aoc_03_input[[#This Row],[Forest]]))+1,1)</f>
        <v>.</v>
      </c>
      <c r="Q261" s="1">
        <f>IF(AND(aoc_03_input[[#This Row],[CountRow2_5]]=1,aoc_03_input[[#This Row],[CharAtPos2_5]]="#"),1,0)</f>
        <v>0</v>
      </c>
    </row>
    <row r="262" spans="1:17" x14ac:dyDescent="0.45">
      <c r="A262" s="1" t="s">
        <v>1646</v>
      </c>
      <c r="B262" s="1">
        <f t="shared" si="20"/>
        <v>781</v>
      </c>
      <c r="C262" s="1" t="str">
        <f>MID(aoc_03_input[[#This Row],[Forest]],MOD(aoc_03_input[[#This Row],[Pos1]]-1,LEN(aoc_03_input[[#This Row],[Forest]]))+1,1)</f>
        <v>.</v>
      </c>
      <c r="D262" s="1">
        <f>IF(aoc_03_input[[#This Row],[CharAtPos1]]="#",1,0)</f>
        <v>0</v>
      </c>
      <c r="E262" s="1">
        <f t="shared" si="21"/>
        <v>261</v>
      </c>
      <c r="F262" s="1" t="str">
        <f>MID(aoc_03_input[[#This Row],[Forest]],MOD(aoc_03_input[[#This Row],[Pos2_1]]-1,LEN(aoc_03_input[[#This Row],[Forest]]))+1,1)</f>
        <v>.</v>
      </c>
      <c r="G262" s="1">
        <f>IF(aoc_03_input[[#This Row],[CharAtPos2_1]]="#",1,0)</f>
        <v>0</v>
      </c>
      <c r="H262" s="1">
        <f t="shared" si="22"/>
        <v>1301</v>
      </c>
      <c r="I262" s="1" t="str">
        <f>MID(aoc_03_input[[#This Row],[Forest]],MOD(aoc_03_input[[#This Row],[Pos2_3]]-1,LEN(aoc_03_input[[#This Row],[Forest]]))+1,1)</f>
        <v>.</v>
      </c>
      <c r="J262" s="1">
        <f>IF(aoc_03_input[[#This Row],[CharAtPos2_3]]="#",1,0)</f>
        <v>0</v>
      </c>
      <c r="K262" s="1">
        <f t="shared" si="23"/>
        <v>1821</v>
      </c>
      <c r="L262" s="1" t="str">
        <f>MID(aoc_03_input[[#This Row],[Forest]],MOD(aoc_03_input[[#This Row],[Pos2_4]]-1,LEN(aoc_03_input[[#This Row],[Forest]]))+1,1)</f>
        <v>#</v>
      </c>
      <c r="M262" s="1">
        <f>IF(aoc_03_input[[#This Row],[CharAtPos2_4]]="#",1,0)</f>
        <v>1</v>
      </c>
      <c r="N262" s="1">
        <f>MOD(ROW(aoc_03_input[[#This Row],[CountRow2_5]])+1,2)</f>
        <v>1</v>
      </c>
      <c r="O262" s="1">
        <f t="shared" ref="O262:O324" si="24">O260+1</f>
        <v>131</v>
      </c>
      <c r="P262" s="1" t="str">
        <f>MID(aoc_03_input[[#This Row],[Forest]],MOD(aoc_03_input[[#This Row],[Pos2_5]]-1,LEN(aoc_03_input[[#This Row],[Forest]]))+1,1)</f>
        <v>.</v>
      </c>
      <c r="Q262" s="1">
        <f>IF(AND(aoc_03_input[[#This Row],[CountRow2_5]]=1,aoc_03_input[[#This Row],[CharAtPos2_5]]="#"),1,0)</f>
        <v>0</v>
      </c>
    </row>
    <row r="263" spans="1:17" x14ac:dyDescent="0.45">
      <c r="A263" s="1" t="s">
        <v>1647</v>
      </c>
      <c r="B263" s="1">
        <f t="shared" si="20"/>
        <v>784</v>
      </c>
      <c r="C263" s="1" t="str">
        <f>MID(aoc_03_input[[#This Row],[Forest]],MOD(aoc_03_input[[#This Row],[Pos1]]-1,LEN(aoc_03_input[[#This Row],[Forest]]))+1,1)</f>
        <v>#</v>
      </c>
      <c r="D263" s="1">
        <f>IF(aoc_03_input[[#This Row],[CharAtPos1]]="#",1,0)</f>
        <v>1</v>
      </c>
      <c r="E263" s="1">
        <f t="shared" si="21"/>
        <v>262</v>
      </c>
      <c r="F263" s="1" t="str">
        <f>MID(aoc_03_input[[#This Row],[Forest]],MOD(aoc_03_input[[#This Row],[Pos2_1]]-1,LEN(aoc_03_input[[#This Row],[Forest]]))+1,1)</f>
        <v>.</v>
      </c>
      <c r="G263" s="1">
        <f>IF(aoc_03_input[[#This Row],[CharAtPos2_1]]="#",1,0)</f>
        <v>0</v>
      </c>
      <c r="H263" s="1">
        <f t="shared" si="22"/>
        <v>1306</v>
      </c>
      <c r="I263" s="1" t="str">
        <f>MID(aoc_03_input[[#This Row],[Forest]],MOD(aoc_03_input[[#This Row],[Pos2_3]]-1,LEN(aoc_03_input[[#This Row],[Forest]]))+1,1)</f>
        <v>.</v>
      </c>
      <c r="J263" s="1">
        <f>IF(aoc_03_input[[#This Row],[CharAtPos2_3]]="#",1,0)</f>
        <v>0</v>
      </c>
      <c r="K263" s="1">
        <f t="shared" si="23"/>
        <v>1828</v>
      </c>
      <c r="L263" s="1" t="str">
        <f>MID(aoc_03_input[[#This Row],[Forest]],MOD(aoc_03_input[[#This Row],[Pos2_4]]-1,LEN(aoc_03_input[[#This Row],[Forest]]))+1,1)</f>
        <v>#</v>
      </c>
      <c r="M263" s="1">
        <f>IF(aoc_03_input[[#This Row],[CharAtPos2_4]]="#",1,0)</f>
        <v>1</v>
      </c>
      <c r="N263" s="1">
        <f>MOD(ROW(aoc_03_input[[#This Row],[CountRow2_5]])+1,2)</f>
        <v>0</v>
      </c>
      <c r="O263" s="1">
        <f t="shared" si="24"/>
        <v>131</v>
      </c>
      <c r="P263" s="1" t="str">
        <f>MID(aoc_03_input[[#This Row],[Forest]],MOD(aoc_03_input[[#This Row],[Pos2_5]]-1,LEN(aoc_03_input[[#This Row],[Forest]]))+1,1)</f>
        <v>.</v>
      </c>
      <c r="Q263" s="1">
        <f>IF(AND(aoc_03_input[[#This Row],[CountRow2_5]]=1,aoc_03_input[[#This Row],[CharAtPos2_5]]="#"),1,0)</f>
        <v>0</v>
      </c>
    </row>
    <row r="264" spans="1:17" x14ac:dyDescent="0.45">
      <c r="A264" s="1" t="s">
        <v>1648</v>
      </c>
      <c r="B264" s="1">
        <f t="shared" si="20"/>
        <v>787</v>
      </c>
      <c r="C264" s="1" t="str">
        <f>MID(aoc_03_input[[#This Row],[Forest]],MOD(aoc_03_input[[#This Row],[Pos1]]-1,LEN(aoc_03_input[[#This Row],[Forest]]))+1,1)</f>
        <v>.</v>
      </c>
      <c r="D264" s="1">
        <f>IF(aoc_03_input[[#This Row],[CharAtPos1]]="#",1,0)</f>
        <v>0</v>
      </c>
      <c r="E264" s="1">
        <f t="shared" si="21"/>
        <v>263</v>
      </c>
      <c r="F264" s="1" t="str">
        <f>MID(aoc_03_input[[#This Row],[Forest]],MOD(aoc_03_input[[#This Row],[Pos2_1]]-1,LEN(aoc_03_input[[#This Row],[Forest]]))+1,1)</f>
        <v>#</v>
      </c>
      <c r="G264" s="1">
        <f>IF(aoc_03_input[[#This Row],[CharAtPos2_1]]="#",1,0)</f>
        <v>1</v>
      </c>
      <c r="H264" s="1">
        <f t="shared" si="22"/>
        <v>1311</v>
      </c>
      <c r="I264" s="1" t="str">
        <f>MID(aoc_03_input[[#This Row],[Forest]],MOD(aoc_03_input[[#This Row],[Pos2_3]]-1,LEN(aoc_03_input[[#This Row],[Forest]]))+1,1)</f>
        <v>.</v>
      </c>
      <c r="J264" s="1">
        <f>IF(aoc_03_input[[#This Row],[CharAtPos2_3]]="#",1,0)</f>
        <v>0</v>
      </c>
      <c r="K264" s="1">
        <f t="shared" si="23"/>
        <v>1835</v>
      </c>
      <c r="L264" s="1" t="str">
        <f>MID(aoc_03_input[[#This Row],[Forest]],MOD(aoc_03_input[[#This Row],[Pos2_4]]-1,LEN(aoc_03_input[[#This Row],[Forest]]))+1,1)</f>
        <v>.</v>
      </c>
      <c r="M264" s="1">
        <f>IF(aoc_03_input[[#This Row],[CharAtPos2_4]]="#",1,0)</f>
        <v>0</v>
      </c>
      <c r="N264" s="1">
        <f>MOD(ROW(aoc_03_input[[#This Row],[CountRow2_5]])+1,2)</f>
        <v>1</v>
      </c>
      <c r="O264" s="1">
        <f t="shared" si="24"/>
        <v>132</v>
      </c>
      <c r="P264" s="1" t="str">
        <f>MID(aoc_03_input[[#This Row],[Forest]],MOD(aoc_03_input[[#This Row],[Pos2_5]]-1,LEN(aoc_03_input[[#This Row],[Forest]]))+1,1)</f>
        <v>.</v>
      </c>
      <c r="Q264" s="1">
        <f>IF(AND(aoc_03_input[[#This Row],[CountRow2_5]]=1,aoc_03_input[[#This Row],[CharAtPos2_5]]="#"),1,0)</f>
        <v>0</v>
      </c>
    </row>
    <row r="265" spans="1:17" x14ac:dyDescent="0.45">
      <c r="A265" s="1" t="s">
        <v>1649</v>
      </c>
      <c r="B265" s="1">
        <f t="shared" si="20"/>
        <v>790</v>
      </c>
      <c r="C265" s="1" t="str">
        <f>MID(aoc_03_input[[#This Row],[Forest]],MOD(aoc_03_input[[#This Row],[Pos1]]-1,LEN(aoc_03_input[[#This Row],[Forest]]))+1,1)</f>
        <v>#</v>
      </c>
      <c r="D265" s="1">
        <f>IF(aoc_03_input[[#This Row],[CharAtPos1]]="#",1,0)</f>
        <v>1</v>
      </c>
      <c r="E265" s="1">
        <f t="shared" si="21"/>
        <v>264</v>
      </c>
      <c r="F265" s="1" t="str">
        <f>MID(aoc_03_input[[#This Row],[Forest]],MOD(aoc_03_input[[#This Row],[Pos2_1]]-1,LEN(aoc_03_input[[#This Row],[Forest]]))+1,1)</f>
        <v>.</v>
      </c>
      <c r="G265" s="1">
        <f>IF(aoc_03_input[[#This Row],[CharAtPos2_1]]="#",1,0)</f>
        <v>0</v>
      </c>
      <c r="H265" s="1">
        <f t="shared" si="22"/>
        <v>1316</v>
      </c>
      <c r="I265" s="1" t="str">
        <f>MID(aoc_03_input[[#This Row],[Forest]],MOD(aoc_03_input[[#This Row],[Pos2_3]]-1,LEN(aoc_03_input[[#This Row],[Forest]]))+1,1)</f>
        <v>#</v>
      </c>
      <c r="J265" s="1">
        <f>IF(aoc_03_input[[#This Row],[CharAtPos2_3]]="#",1,0)</f>
        <v>1</v>
      </c>
      <c r="K265" s="1">
        <f t="shared" si="23"/>
        <v>1842</v>
      </c>
      <c r="L265" s="1" t="str">
        <f>MID(aoc_03_input[[#This Row],[Forest]],MOD(aoc_03_input[[#This Row],[Pos2_4]]-1,LEN(aoc_03_input[[#This Row],[Forest]]))+1,1)</f>
        <v>.</v>
      </c>
      <c r="M265" s="1">
        <f>IF(aoc_03_input[[#This Row],[CharAtPos2_4]]="#",1,0)</f>
        <v>0</v>
      </c>
      <c r="N265" s="1">
        <f>MOD(ROW(aoc_03_input[[#This Row],[CountRow2_5]])+1,2)</f>
        <v>0</v>
      </c>
      <c r="O265" s="1">
        <f t="shared" si="24"/>
        <v>132</v>
      </c>
      <c r="P265" s="1" t="str">
        <f>MID(aoc_03_input[[#This Row],[Forest]],MOD(aoc_03_input[[#This Row],[Pos2_5]]-1,LEN(aoc_03_input[[#This Row],[Forest]]))+1,1)</f>
        <v>.</v>
      </c>
      <c r="Q265" s="1">
        <f>IF(AND(aoc_03_input[[#This Row],[CountRow2_5]]=1,aoc_03_input[[#This Row],[CharAtPos2_5]]="#"),1,0)</f>
        <v>0</v>
      </c>
    </row>
    <row r="266" spans="1:17" x14ac:dyDescent="0.45">
      <c r="A266" s="1" t="s">
        <v>1650</v>
      </c>
      <c r="B266" s="1">
        <f t="shared" si="20"/>
        <v>793</v>
      </c>
      <c r="C266" s="1" t="str">
        <f>MID(aoc_03_input[[#This Row],[Forest]],MOD(aoc_03_input[[#This Row],[Pos1]]-1,LEN(aoc_03_input[[#This Row],[Forest]]))+1,1)</f>
        <v>.</v>
      </c>
      <c r="D266" s="1">
        <f>IF(aoc_03_input[[#This Row],[CharAtPos1]]="#",1,0)</f>
        <v>0</v>
      </c>
      <c r="E266" s="1">
        <f t="shared" si="21"/>
        <v>265</v>
      </c>
      <c r="F266" s="1" t="str">
        <f>MID(aoc_03_input[[#This Row],[Forest]],MOD(aoc_03_input[[#This Row],[Pos2_1]]-1,LEN(aoc_03_input[[#This Row],[Forest]]))+1,1)</f>
        <v>.</v>
      </c>
      <c r="G266" s="1">
        <f>IF(aoc_03_input[[#This Row],[CharAtPos2_1]]="#",1,0)</f>
        <v>0</v>
      </c>
      <c r="H266" s="1">
        <f t="shared" si="22"/>
        <v>1321</v>
      </c>
      <c r="I266" s="1" t="str">
        <f>MID(aoc_03_input[[#This Row],[Forest]],MOD(aoc_03_input[[#This Row],[Pos2_3]]-1,LEN(aoc_03_input[[#This Row],[Forest]]))+1,1)</f>
        <v>.</v>
      </c>
      <c r="J266" s="1">
        <f>IF(aoc_03_input[[#This Row],[CharAtPos2_3]]="#",1,0)</f>
        <v>0</v>
      </c>
      <c r="K266" s="1">
        <f t="shared" si="23"/>
        <v>1849</v>
      </c>
      <c r="L266" s="1" t="str">
        <f>MID(aoc_03_input[[#This Row],[Forest]],MOD(aoc_03_input[[#This Row],[Pos2_4]]-1,LEN(aoc_03_input[[#This Row],[Forest]]))+1,1)</f>
        <v>.</v>
      </c>
      <c r="M266" s="1">
        <f>IF(aoc_03_input[[#This Row],[CharAtPos2_4]]="#",1,0)</f>
        <v>0</v>
      </c>
      <c r="N266" s="1">
        <f>MOD(ROW(aoc_03_input[[#This Row],[CountRow2_5]])+1,2)</f>
        <v>1</v>
      </c>
      <c r="O266" s="1">
        <f t="shared" si="24"/>
        <v>133</v>
      </c>
      <c r="P266" s="1" t="str">
        <f>MID(aoc_03_input[[#This Row],[Forest]],MOD(aoc_03_input[[#This Row],[Pos2_5]]-1,LEN(aoc_03_input[[#This Row],[Forest]]))+1,1)</f>
        <v>.</v>
      </c>
      <c r="Q266" s="1">
        <f>IF(AND(aoc_03_input[[#This Row],[CountRow2_5]]=1,aoc_03_input[[#This Row],[CharAtPos2_5]]="#"),1,0)</f>
        <v>0</v>
      </c>
    </row>
    <row r="267" spans="1:17" x14ac:dyDescent="0.45">
      <c r="A267" s="1" t="s">
        <v>1651</v>
      </c>
      <c r="B267" s="1">
        <f t="shared" si="20"/>
        <v>796</v>
      </c>
      <c r="C267" s="1" t="str">
        <f>MID(aoc_03_input[[#This Row],[Forest]],MOD(aoc_03_input[[#This Row],[Pos1]]-1,LEN(aoc_03_input[[#This Row],[Forest]]))+1,1)</f>
        <v>#</v>
      </c>
      <c r="D267" s="1">
        <f>IF(aoc_03_input[[#This Row],[CharAtPos1]]="#",1,0)</f>
        <v>1</v>
      </c>
      <c r="E267" s="1">
        <f t="shared" si="21"/>
        <v>266</v>
      </c>
      <c r="F267" s="1" t="str">
        <f>MID(aoc_03_input[[#This Row],[Forest]],MOD(aoc_03_input[[#This Row],[Pos2_1]]-1,LEN(aoc_03_input[[#This Row],[Forest]]))+1,1)</f>
        <v>.</v>
      </c>
      <c r="G267" s="1">
        <f>IF(aoc_03_input[[#This Row],[CharAtPos2_1]]="#",1,0)</f>
        <v>0</v>
      </c>
      <c r="H267" s="1">
        <f t="shared" si="22"/>
        <v>1326</v>
      </c>
      <c r="I267" s="1" t="str">
        <f>MID(aoc_03_input[[#This Row],[Forest]],MOD(aoc_03_input[[#This Row],[Pos2_3]]-1,LEN(aoc_03_input[[#This Row],[Forest]]))+1,1)</f>
        <v>#</v>
      </c>
      <c r="J267" s="1">
        <f>IF(aoc_03_input[[#This Row],[CharAtPos2_3]]="#",1,0)</f>
        <v>1</v>
      </c>
      <c r="K267" s="1">
        <f t="shared" si="23"/>
        <v>1856</v>
      </c>
      <c r="L267" s="1" t="str">
        <f>MID(aoc_03_input[[#This Row],[Forest]],MOD(aoc_03_input[[#This Row],[Pos2_4]]-1,LEN(aoc_03_input[[#This Row],[Forest]]))+1,1)</f>
        <v>.</v>
      </c>
      <c r="M267" s="1">
        <f>IF(aoc_03_input[[#This Row],[CharAtPos2_4]]="#",1,0)</f>
        <v>0</v>
      </c>
      <c r="N267" s="1">
        <f>MOD(ROW(aoc_03_input[[#This Row],[CountRow2_5]])+1,2)</f>
        <v>0</v>
      </c>
      <c r="O267" s="1">
        <f t="shared" si="24"/>
        <v>133</v>
      </c>
      <c r="P267" s="1" t="str">
        <f>MID(aoc_03_input[[#This Row],[Forest]],MOD(aoc_03_input[[#This Row],[Pos2_5]]-1,LEN(aoc_03_input[[#This Row],[Forest]]))+1,1)</f>
        <v>#</v>
      </c>
      <c r="Q267" s="1">
        <f>IF(AND(aoc_03_input[[#This Row],[CountRow2_5]]=1,aoc_03_input[[#This Row],[CharAtPos2_5]]="#"),1,0)</f>
        <v>0</v>
      </c>
    </row>
    <row r="268" spans="1:17" x14ac:dyDescent="0.45">
      <c r="A268" s="1" t="s">
        <v>1652</v>
      </c>
      <c r="B268" s="1">
        <f t="shared" si="20"/>
        <v>799</v>
      </c>
      <c r="C268" s="1" t="str">
        <f>MID(aoc_03_input[[#This Row],[Forest]],MOD(aoc_03_input[[#This Row],[Pos1]]-1,LEN(aoc_03_input[[#This Row],[Forest]]))+1,1)</f>
        <v>.</v>
      </c>
      <c r="D268" s="1">
        <f>IF(aoc_03_input[[#This Row],[CharAtPos1]]="#",1,0)</f>
        <v>0</v>
      </c>
      <c r="E268" s="1">
        <f t="shared" si="21"/>
        <v>267</v>
      </c>
      <c r="F268" s="1" t="str">
        <f>MID(aoc_03_input[[#This Row],[Forest]],MOD(aoc_03_input[[#This Row],[Pos2_1]]-1,LEN(aoc_03_input[[#This Row],[Forest]]))+1,1)</f>
        <v>.</v>
      </c>
      <c r="G268" s="1">
        <f>IF(aoc_03_input[[#This Row],[CharAtPos2_1]]="#",1,0)</f>
        <v>0</v>
      </c>
      <c r="H268" s="1">
        <f t="shared" si="22"/>
        <v>1331</v>
      </c>
      <c r="I268" s="1" t="str">
        <f>MID(aoc_03_input[[#This Row],[Forest]],MOD(aoc_03_input[[#This Row],[Pos2_3]]-1,LEN(aoc_03_input[[#This Row],[Forest]]))+1,1)</f>
        <v>.</v>
      </c>
      <c r="J268" s="1">
        <f>IF(aoc_03_input[[#This Row],[CharAtPos2_3]]="#",1,0)</f>
        <v>0</v>
      </c>
      <c r="K268" s="1">
        <f t="shared" si="23"/>
        <v>1863</v>
      </c>
      <c r="L268" s="1" t="str">
        <f>MID(aoc_03_input[[#This Row],[Forest]],MOD(aoc_03_input[[#This Row],[Pos2_4]]-1,LEN(aoc_03_input[[#This Row],[Forest]]))+1,1)</f>
        <v>.</v>
      </c>
      <c r="M268" s="1">
        <f>IF(aoc_03_input[[#This Row],[CharAtPos2_4]]="#",1,0)</f>
        <v>0</v>
      </c>
      <c r="N268" s="1">
        <f>MOD(ROW(aoc_03_input[[#This Row],[CountRow2_5]])+1,2)</f>
        <v>1</v>
      </c>
      <c r="O268" s="1">
        <f t="shared" si="24"/>
        <v>134</v>
      </c>
      <c r="P268" s="1" t="str">
        <f>MID(aoc_03_input[[#This Row],[Forest]],MOD(aoc_03_input[[#This Row],[Pos2_5]]-1,LEN(aoc_03_input[[#This Row],[Forest]]))+1,1)</f>
        <v>.</v>
      </c>
      <c r="Q268" s="1">
        <f>IF(AND(aoc_03_input[[#This Row],[CountRow2_5]]=1,aoc_03_input[[#This Row],[CharAtPos2_5]]="#"),1,0)</f>
        <v>0</v>
      </c>
    </row>
    <row r="269" spans="1:17" x14ac:dyDescent="0.45">
      <c r="A269" s="1" t="s">
        <v>1653</v>
      </c>
      <c r="B269" s="1">
        <f t="shared" si="20"/>
        <v>802</v>
      </c>
      <c r="C269" s="1" t="str">
        <f>MID(aoc_03_input[[#This Row],[Forest]],MOD(aoc_03_input[[#This Row],[Pos1]]-1,LEN(aoc_03_input[[#This Row],[Forest]]))+1,1)</f>
        <v>.</v>
      </c>
      <c r="D269" s="1">
        <f>IF(aoc_03_input[[#This Row],[CharAtPos1]]="#",1,0)</f>
        <v>0</v>
      </c>
      <c r="E269" s="1">
        <f t="shared" si="21"/>
        <v>268</v>
      </c>
      <c r="F269" s="1" t="str">
        <f>MID(aoc_03_input[[#This Row],[Forest]],MOD(aoc_03_input[[#This Row],[Pos2_1]]-1,LEN(aoc_03_input[[#This Row],[Forest]]))+1,1)</f>
        <v>.</v>
      </c>
      <c r="G269" s="1">
        <f>IF(aoc_03_input[[#This Row],[CharAtPos2_1]]="#",1,0)</f>
        <v>0</v>
      </c>
      <c r="H269" s="1">
        <f t="shared" si="22"/>
        <v>1336</v>
      </c>
      <c r="I269" s="1" t="str">
        <f>MID(aoc_03_input[[#This Row],[Forest]],MOD(aoc_03_input[[#This Row],[Pos2_3]]-1,LEN(aoc_03_input[[#This Row],[Forest]]))+1,1)</f>
        <v>#</v>
      </c>
      <c r="J269" s="1">
        <f>IF(aoc_03_input[[#This Row],[CharAtPos2_3]]="#",1,0)</f>
        <v>1</v>
      </c>
      <c r="K269" s="1">
        <f t="shared" si="23"/>
        <v>1870</v>
      </c>
      <c r="L269" s="1" t="str">
        <f>MID(aoc_03_input[[#This Row],[Forest]],MOD(aoc_03_input[[#This Row],[Pos2_4]]-1,LEN(aoc_03_input[[#This Row],[Forest]]))+1,1)</f>
        <v>.</v>
      </c>
      <c r="M269" s="1">
        <f>IF(aoc_03_input[[#This Row],[CharAtPos2_4]]="#",1,0)</f>
        <v>0</v>
      </c>
      <c r="N269" s="1">
        <f>MOD(ROW(aoc_03_input[[#This Row],[CountRow2_5]])+1,2)</f>
        <v>0</v>
      </c>
      <c r="O269" s="1">
        <f t="shared" si="24"/>
        <v>134</v>
      </c>
      <c r="P269" s="1" t="str">
        <f>MID(aoc_03_input[[#This Row],[Forest]],MOD(aoc_03_input[[#This Row],[Pos2_5]]-1,LEN(aoc_03_input[[#This Row],[Forest]]))+1,1)</f>
        <v>.</v>
      </c>
      <c r="Q269" s="1">
        <f>IF(AND(aoc_03_input[[#This Row],[CountRow2_5]]=1,aoc_03_input[[#This Row],[CharAtPos2_5]]="#"),1,0)</f>
        <v>0</v>
      </c>
    </row>
    <row r="270" spans="1:17" x14ac:dyDescent="0.45">
      <c r="A270" s="1" t="s">
        <v>1654</v>
      </c>
      <c r="B270" s="1">
        <f t="shared" si="20"/>
        <v>805</v>
      </c>
      <c r="C270" s="1" t="str">
        <f>MID(aoc_03_input[[#This Row],[Forest]],MOD(aoc_03_input[[#This Row],[Pos1]]-1,LEN(aoc_03_input[[#This Row],[Forest]]))+1,1)</f>
        <v>.</v>
      </c>
      <c r="D270" s="1">
        <f>IF(aoc_03_input[[#This Row],[CharAtPos1]]="#",1,0)</f>
        <v>0</v>
      </c>
      <c r="E270" s="1">
        <f t="shared" si="21"/>
        <v>269</v>
      </c>
      <c r="F270" s="1" t="str">
        <f>MID(aoc_03_input[[#This Row],[Forest]],MOD(aoc_03_input[[#This Row],[Pos2_1]]-1,LEN(aoc_03_input[[#This Row],[Forest]]))+1,1)</f>
        <v>.</v>
      </c>
      <c r="G270" s="1">
        <f>IF(aoc_03_input[[#This Row],[CharAtPos2_1]]="#",1,0)</f>
        <v>0</v>
      </c>
      <c r="H270" s="1">
        <f t="shared" si="22"/>
        <v>1341</v>
      </c>
      <c r="I270" s="1" t="str">
        <f>MID(aoc_03_input[[#This Row],[Forest]],MOD(aoc_03_input[[#This Row],[Pos2_3]]-1,LEN(aoc_03_input[[#This Row],[Forest]]))+1,1)</f>
        <v>.</v>
      </c>
      <c r="J270" s="1">
        <f>IF(aoc_03_input[[#This Row],[CharAtPos2_3]]="#",1,0)</f>
        <v>0</v>
      </c>
      <c r="K270" s="1">
        <f t="shared" si="23"/>
        <v>1877</v>
      </c>
      <c r="L270" s="1" t="str">
        <f>MID(aoc_03_input[[#This Row],[Forest]],MOD(aoc_03_input[[#This Row],[Pos2_4]]-1,LEN(aoc_03_input[[#This Row],[Forest]]))+1,1)</f>
        <v>.</v>
      </c>
      <c r="M270" s="1">
        <f>IF(aoc_03_input[[#This Row],[CharAtPos2_4]]="#",1,0)</f>
        <v>0</v>
      </c>
      <c r="N270" s="1">
        <f>MOD(ROW(aoc_03_input[[#This Row],[CountRow2_5]])+1,2)</f>
        <v>1</v>
      </c>
      <c r="O270" s="1">
        <f t="shared" si="24"/>
        <v>135</v>
      </c>
      <c r="P270" s="1" t="str">
        <f>MID(aoc_03_input[[#This Row],[Forest]],MOD(aoc_03_input[[#This Row],[Pos2_5]]-1,LEN(aoc_03_input[[#This Row],[Forest]]))+1,1)</f>
        <v>.</v>
      </c>
      <c r="Q270" s="1">
        <f>IF(AND(aoc_03_input[[#This Row],[CountRow2_5]]=1,aoc_03_input[[#This Row],[CharAtPos2_5]]="#"),1,0)</f>
        <v>0</v>
      </c>
    </row>
    <row r="271" spans="1:17" x14ac:dyDescent="0.45">
      <c r="A271" s="1" t="s">
        <v>1655</v>
      </c>
      <c r="B271" s="1">
        <f t="shared" si="20"/>
        <v>808</v>
      </c>
      <c r="C271" s="1" t="str">
        <f>MID(aoc_03_input[[#This Row],[Forest]],MOD(aoc_03_input[[#This Row],[Pos1]]-1,LEN(aoc_03_input[[#This Row],[Forest]]))+1,1)</f>
        <v>#</v>
      </c>
      <c r="D271" s="1">
        <f>IF(aoc_03_input[[#This Row],[CharAtPos1]]="#",1,0)</f>
        <v>1</v>
      </c>
      <c r="E271" s="1">
        <f t="shared" si="21"/>
        <v>270</v>
      </c>
      <c r="F271" s="1" t="str">
        <f>MID(aoc_03_input[[#This Row],[Forest]],MOD(aoc_03_input[[#This Row],[Pos2_1]]-1,LEN(aoc_03_input[[#This Row],[Forest]]))+1,1)</f>
        <v>.</v>
      </c>
      <c r="G271" s="1">
        <f>IF(aoc_03_input[[#This Row],[CharAtPos2_1]]="#",1,0)</f>
        <v>0</v>
      </c>
      <c r="H271" s="1">
        <f t="shared" si="22"/>
        <v>1346</v>
      </c>
      <c r="I271" s="1" t="str">
        <f>MID(aoc_03_input[[#This Row],[Forest]],MOD(aoc_03_input[[#This Row],[Pos2_3]]-1,LEN(aoc_03_input[[#This Row],[Forest]]))+1,1)</f>
        <v>#</v>
      </c>
      <c r="J271" s="1">
        <f>IF(aoc_03_input[[#This Row],[CharAtPos2_3]]="#",1,0)</f>
        <v>1</v>
      </c>
      <c r="K271" s="1">
        <f t="shared" si="23"/>
        <v>1884</v>
      </c>
      <c r="L271" s="1" t="str">
        <f>MID(aoc_03_input[[#This Row],[Forest]],MOD(aoc_03_input[[#This Row],[Pos2_4]]-1,LEN(aoc_03_input[[#This Row],[Forest]]))+1,1)</f>
        <v>.</v>
      </c>
      <c r="M271" s="1">
        <f>IF(aoc_03_input[[#This Row],[CharAtPos2_4]]="#",1,0)</f>
        <v>0</v>
      </c>
      <c r="N271" s="1">
        <f>MOD(ROW(aoc_03_input[[#This Row],[CountRow2_5]])+1,2)</f>
        <v>0</v>
      </c>
      <c r="O271" s="1">
        <f t="shared" si="24"/>
        <v>135</v>
      </c>
      <c r="P271" s="1" t="str">
        <f>MID(aoc_03_input[[#This Row],[Forest]],MOD(aoc_03_input[[#This Row],[Pos2_5]]-1,LEN(aoc_03_input[[#This Row],[Forest]]))+1,1)</f>
        <v>#</v>
      </c>
      <c r="Q271" s="1">
        <f>IF(AND(aoc_03_input[[#This Row],[CountRow2_5]]=1,aoc_03_input[[#This Row],[CharAtPos2_5]]="#"),1,0)</f>
        <v>0</v>
      </c>
    </row>
    <row r="272" spans="1:17" x14ac:dyDescent="0.45">
      <c r="A272" s="1" t="s">
        <v>1656</v>
      </c>
      <c r="B272" s="1">
        <f t="shared" si="20"/>
        <v>811</v>
      </c>
      <c r="C272" s="1" t="str">
        <f>MID(aoc_03_input[[#This Row],[Forest]],MOD(aoc_03_input[[#This Row],[Pos1]]-1,LEN(aoc_03_input[[#This Row],[Forest]]))+1,1)</f>
        <v>#</v>
      </c>
      <c r="D272" s="1">
        <f>IF(aoc_03_input[[#This Row],[CharAtPos1]]="#",1,0)</f>
        <v>1</v>
      </c>
      <c r="E272" s="1">
        <f t="shared" si="21"/>
        <v>271</v>
      </c>
      <c r="F272" s="1" t="str">
        <f>MID(aoc_03_input[[#This Row],[Forest]],MOD(aoc_03_input[[#This Row],[Pos2_1]]-1,LEN(aoc_03_input[[#This Row],[Forest]]))+1,1)</f>
        <v>.</v>
      </c>
      <c r="G272" s="1">
        <f>IF(aoc_03_input[[#This Row],[CharAtPos2_1]]="#",1,0)</f>
        <v>0</v>
      </c>
      <c r="H272" s="1">
        <f t="shared" si="22"/>
        <v>1351</v>
      </c>
      <c r="I272" s="1" t="str">
        <f>MID(aoc_03_input[[#This Row],[Forest]],MOD(aoc_03_input[[#This Row],[Pos2_3]]-1,LEN(aoc_03_input[[#This Row],[Forest]]))+1,1)</f>
        <v>.</v>
      </c>
      <c r="J272" s="1">
        <f>IF(aoc_03_input[[#This Row],[CharAtPos2_3]]="#",1,0)</f>
        <v>0</v>
      </c>
      <c r="K272" s="1">
        <f t="shared" si="23"/>
        <v>1891</v>
      </c>
      <c r="L272" s="1" t="str">
        <f>MID(aoc_03_input[[#This Row],[Forest]],MOD(aoc_03_input[[#This Row],[Pos2_4]]-1,LEN(aoc_03_input[[#This Row],[Forest]]))+1,1)</f>
        <v>.</v>
      </c>
      <c r="M272" s="1">
        <f>IF(aoc_03_input[[#This Row],[CharAtPos2_4]]="#",1,0)</f>
        <v>0</v>
      </c>
      <c r="N272" s="1">
        <f>MOD(ROW(aoc_03_input[[#This Row],[CountRow2_5]])+1,2)</f>
        <v>1</v>
      </c>
      <c r="O272" s="1">
        <f t="shared" si="24"/>
        <v>136</v>
      </c>
      <c r="P272" s="1" t="str">
        <f>MID(aoc_03_input[[#This Row],[Forest]],MOD(aoc_03_input[[#This Row],[Pos2_5]]-1,LEN(aoc_03_input[[#This Row],[Forest]]))+1,1)</f>
        <v>.</v>
      </c>
      <c r="Q272" s="1">
        <f>IF(AND(aoc_03_input[[#This Row],[CountRow2_5]]=1,aoc_03_input[[#This Row],[CharAtPos2_5]]="#"),1,0)</f>
        <v>0</v>
      </c>
    </row>
    <row r="273" spans="1:17" x14ac:dyDescent="0.45">
      <c r="A273" s="1" t="s">
        <v>1657</v>
      </c>
      <c r="B273" s="1">
        <f t="shared" si="20"/>
        <v>814</v>
      </c>
      <c r="C273" s="1" t="str">
        <f>MID(aoc_03_input[[#This Row],[Forest]],MOD(aoc_03_input[[#This Row],[Pos1]]-1,LEN(aoc_03_input[[#This Row],[Forest]]))+1,1)</f>
        <v>#</v>
      </c>
      <c r="D273" s="1">
        <f>IF(aoc_03_input[[#This Row],[CharAtPos1]]="#",1,0)</f>
        <v>1</v>
      </c>
      <c r="E273" s="1">
        <f t="shared" si="21"/>
        <v>272</v>
      </c>
      <c r="F273" s="1" t="str">
        <f>MID(aoc_03_input[[#This Row],[Forest]],MOD(aoc_03_input[[#This Row],[Pos2_1]]-1,LEN(aoc_03_input[[#This Row],[Forest]]))+1,1)</f>
        <v>.</v>
      </c>
      <c r="G273" s="1">
        <f>IF(aoc_03_input[[#This Row],[CharAtPos2_1]]="#",1,0)</f>
        <v>0</v>
      </c>
      <c r="H273" s="1">
        <f t="shared" si="22"/>
        <v>1356</v>
      </c>
      <c r="I273" s="1" t="str">
        <f>MID(aoc_03_input[[#This Row],[Forest]],MOD(aoc_03_input[[#This Row],[Pos2_3]]-1,LEN(aoc_03_input[[#This Row],[Forest]]))+1,1)</f>
        <v>.</v>
      </c>
      <c r="J273" s="1">
        <f>IF(aoc_03_input[[#This Row],[CharAtPos2_3]]="#",1,0)</f>
        <v>0</v>
      </c>
      <c r="K273" s="1">
        <f t="shared" si="23"/>
        <v>1898</v>
      </c>
      <c r="L273" s="1" t="str">
        <f>MID(aoc_03_input[[#This Row],[Forest]],MOD(aoc_03_input[[#This Row],[Pos2_4]]-1,LEN(aoc_03_input[[#This Row],[Forest]]))+1,1)</f>
        <v>#</v>
      </c>
      <c r="M273" s="1">
        <f>IF(aoc_03_input[[#This Row],[CharAtPos2_4]]="#",1,0)</f>
        <v>1</v>
      </c>
      <c r="N273" s="1">
        <f>MOD(ROW(aoc_03_input[[#This Row],[CountRow2_5]])+1,2)</f>
        <v>0</v>
      </c>
      <c r="O273" s="1">
        <f t="shared" si="24"/>
        <v>136</v>
      </c>
      <c r="P273" s="1" t="str">
        <f>MID(aoc_03_input[[#This Row],[Forest]],MOD(aoc_03_input[[#This Row],[Pos2_5]]-1,LEN(aoc_03_input[[#This Row],[Forest]]))+1,1)</f>
        <v>.</v>
      </c>
      <c r="Q273" s="1">
        <f>IF(AND(aoc_03_input[[#This Row],[CountRow2_5]]=1,aoc_03_input[[#This Row],[CharAtPos2_5]]="#"),1,0)</f>
        <v>0</v>
      </c>
    </row>
    <row r="274" spans="1:17" x14ac:dyDescent="0.45">
      <c r="A274" s="1" t="s">
        <v>1658</v>
      </c>
      <c r="B274" s="1">
        <f t="shared" si="20"/>
        <v>817</v>
      </c>
      <c r="C274" s="1" t="str">
        <f>MID(aoc_03_input[[#This Row],[Forest]],MOD(aoc_03_input[[#This Row],[Pos1]]-1,LEN(aoc_03_input[[#This Row],[Forest]]))+1,1)</f>
        <v>#</v>
      </c>
      <c r="D274" s="1">
        <f>IF(aoc_03_input[[#This Row],[CharAtPos1]]="#",1,0)</f>
        <v>1</v>
      </c>
      <c r="E274" s="1">
        <f t="shared" si="21"/>
        <v>273</v>
      </c>
      <c r="F274" s="1" t="str">
        <f>MID(aoc_03_input[[#This Row],[Forest]],MOD(aoc_03_input[[#This Row],[Pos2_1]]-1,LEN(aoc_03_input[[#This Row],[Forest]]))+1,1)</f>
        <v>.</v>
      </c>
      <c r="G274" s="1">
        <f>IF(aoc_03_input[[#This Row],[CharAtPos2_1]]="#",1,0)</f>
        <v>0</v>
      </c>
      <c r="H274" s="1">
        <f t="shared" si="22"/>
        <v>1361</v>
      </c>
      <c r="I274" s="1" t="str">
        <f>MID(aoc_03_input[[#This Row],[Forest]],MOD(aoc_03_input[[#This Row],[Pos2_3]]-1,LEN(aoc_03_input[[#This Row],[Forest]]))+1,1)</f>
        <v>#</v>
      </c>
      <c r="J274" s="1">
        <f>IF(aoc_03_input[[#This Row],[CharAtPos2_3]]="#",1,0)</f>
        <v>1</v>
      </c>
      <c r="K274" s="1">
        <f t="shared" si="23"/>
        <v>1905</v>
      </c>
      <c r="L274" s="1" t="str">
        <f>MID(aoc_03_input[[#This Row],[Forest]],MOD(aoc_03_input[[#This Row],[Pos2_4]]-1,LEN(aoc_03_input[[#This Row],[Forest]]))+1,1)</f>
        <v>#</v>
      </c>
      <c r="M274" s="1">
        <f>IF(aoc_03_input[[#This Row],[CharAtPos2_4]]="#",1,0)</f>
        <v>1</v>
      </c>
      <c r="N274" s="1">
        <f>MOD(ROW(aoc_03_input[[#This Row],[CountRow2_5]])+1,2)</f>
        <v>1</v>
      </c>
      <c r="O274" s="1">
        <f t="shared" si="24"/>
        <v>137</v>
      </c>
      <c r="P274" s="1" t="str">
        <f>MID(aoc_03_input[[#This Row],[Forest]],MOD(aoc_03_input[[#This Row],[Pos2_5]]-1,LEN(aoc_03_input[[#This Row],[Forest]]))+1,1)</f>
        <v>.</v>
      </c>
      <c r="Q274" s="1">
        <f>IF(AND(aoc_03_input[[#This Row],[CountRow2_5]]=1,aoc_03_input[[#This Row],[CharAtPos2_5]]="#"),1,0)</f>
        <v>0</v>
      </c>
    </row>
    <row r="275" spans="1:17" x14ac:dyDescent="0.45">
      <c r="A275" s="1" t="s">
        <v>1659</v>
      </c>
      <c r="B275" s="1">
        <f t="shared" si="20"/>
        <v>820</v>
      </c>
      <c r="C275" s="1" t="str">
        <f>MID(aoc_03_input[[#This Row],[Forest]],MOD(aoc_03_input[[#This Row],[Pos1]]-1,LEN(aoc_03_input[[#This Row],[Forest]]))+1,1)</f>
        <v>#</v>
      </c>
      <c r="D275" s="1">
        <f>IF(aoc_03_input[[#This Row],[CharAtPos1]]="#",1,0)</f>
        <v>1</v>
      </c>
      <c r="E275" s="1">
        <f t="shared" si="21"/>
        <v>274</v>
      </c>
      <c r="F275" s="1" t="str">
        <f>MID(aoc_03_input[[#This Row],[Forest]],MOD(aoc_03_input[[#This Row],[Pos2_1]]-1,LEN(aoc_03_input[[#This Row],[Forest]]))+1,1)</f>
        <v>.</v>
      </c>
      <c r="G275" s="1">
        <f>IF(aoc_03_input[[#This Row],[CharAtPos2_1]]="#",1,0)</f>
        <v>0</v>
      </c>
      <c r="H275" s="1">
        <f t="shared" si="22"/>
        <v>1366</v>
      </c>
      <c r="I275" s="1" t="str">
        <f>MID(aoc_03_input[[#This Row],[Forest]],MOD(aoc_03_input[[#This Row],[Pos2_3]]-1,LEN(aoc_03_input[[#This Row],[Forest]]))+1,1)</f>
        <v>.</v>
      </c>
      <c r="J275" s="1">
        <f>IF(aoc_03_input[[#This Row],[CharAtPos2_3]]="#",1,0)</f>
        <v>0</v>
      </c>
      <c r="K275" s="1">
        <f t="shared" si="23"/>
        <v>1912</v>
      </c>
      <c r="L275" s="1" t="str">
        <f>MID(aoc_03_input[[#This Row],[Forest]],MOD(aoc_03_input[[#This Row],[Pos2_4]]-1,LEN(aoc_03_input[[#This Row],[Forest]]))+1,1)</f>
        <v>.</v>
      </c>
      <c r="M275" s="1">
        <f>IF(aoc_03_input[[#This Row],[CharAtPos2_4]]="#",1,0)</f>
        <v>0</v>
      </c>
      <c r="N275" s="1">
        <f>MOD(ROW(aoc_03_input[[#This Row],[CountRow2_5]])+1,2)</f>
        <v>0</v>
      </c>
      <c r="O275" s="1">
        <f t="shared" si="24"/>
        <v>137</v>
      </c>
      <c r="P275" s="1" t="str">
        <f>MID(aoc_03_input[[#This Row],[Forest]],MOD(aoc_03_input[[#This Row],[Pos2_5]]-1,LEN(aoc_03_input[[#This Row],[Forest]]))+1,1)</f>
        <v>.</v>
      </c>
      <c r="Q275" s="1">
        <f>IF(AND(aoc_03_input[[#This Row],[CountRow2_5]]=1,aoc_03_input[[#This Row],[CharAtPos2_5]]="#"),1,0)</f>
        <v>0</v>
      </c>
    </row>
    <row r="276" spans="1:17" x14ac:dyDescent="0.45">
      <c r="A276" s="1" t="s">
        <v>1660</v>
      </c>
      <c r="B276" s="1">
        <f t="shared" si="20"/>
        <v>823</v>
      </c>
      <c r="C276" s="1" t="str">
        <f>MID(aoc_03_input[[#This Row],[Forest]],MOD(aoc_03_input[[#This Row],[Pos1]]-1,LEN(aoc_03_input[[#This Row],[Forest]]))+1,1)</f>
        <v>.</v>
      </c>
      <c r="D276" s="1">
        <f>IF(aoc_03_input[[#This Row],[CharAtPos1]]="#",1,0)</f>
        <v>0</v>
      </c>
      <c r="E276" s="1">
        <f t="shared" si="21"/>
        <v>275</v>
      </c>
      <c r="F276" s="1" t="str">
        <f>MID(aoc_03_input[[#This Row],[Forest]],MOD(aoc_03_input[[#This Row],[Pos2_1]]-1,LEN(aoc_03_input[[#This Row],[Forest]]))+1,1)</f>
        <v>.</v>
      </c>
      <c r="G276" s="1">
        <f>IF(aoc_03_input[[#This Row],[CharAtPos2_1]]="#",1,0)</f>
        <v>0</v>
      </c>
      <c r="H276" s="1">
        <f t="shared" si="22"/>
        <v>1371</v>
      </c>
      <c r="I276" s="1" t="str">
        <f>MID(aoc_03_input[[#This Row],[Forest]],MOD(aoc_03_input[[#This Row],[Pos2_3]]-1,LEN(aoc_03_input[[#This Row],[Forest]]))+1,1)</f>
        <v>.</v>
      </c>
      <c r="J276" s="1">
        <f>IF(aoc_03_input[[#This Row],[CharAtPos2_3]]="#",1,0)</f>
        <v>0</v>
      </c>
      <c r="K276" s="1">
        <f t="shared" si="23"/>
        <v>1919</v>
      </c>
      <c r="L276" s="1" t="str">
        <f>MID(aoc_03_input[[#This Row],[Forest]],MOD(aoc_03_input[[#This Row],[Pos2_4]]-1,LEN(aoc_03_input[[#This Row],[Forest]]))+1,1)</f>
        <v>.</v>
      </c>
      <c r="M276" s="1">
        <f>IF(aoc_03_input[[#This Row],[CharAtPos2_4]]="#",1,0)</f>
        <v>0</v>
      </c>
      <c r="N276" s="1">
        <f>MOD(ROW(aoc_03_input[[#This Row],[CountRow2_5]])+1,2)</f>
        <v>1</v>
      </c>
      <c r="O276" s="1">
        <f t="shared" si="24"/>
        <v>138</v>
      </c>
      <c r="P276" s="1" t="str">
        <f>MID(aoc_03_input[[#This Row],[Forest]],MOD(aoc_03_input[[#This Row],[Pos2_5]]-1,LEN(aoc_03_input[[#This Row],[Forest]]))+1,1)</f>
        <v>#</v>
      </c>
      <c r="Q276" s="1">
        <f>IF(AND(aoc_03_input[[#This Row],[CountRow2_5]]=1,aoc_03_input[[#This Row],[CharAtPos2_5]]="#"),1,0)</f>
        <v>1</v>
      </c>
    </row>
    <row r="277" spans="1:17" x14ac:dyDescent="0.45">
      <c r="A277" s="1" t="s">
        <v>1661</v>
      </c>
      <c r="B277" s="1">
        <f t="shared" si="20"/>
        <v>826</v>
      </c>
      <c r="C277" s="1" t="str">
        <f>MID(aoc_03_input[[#This Row],[Forest]],MOD(aoc_03_input[[#This Row],[Pos1]]-1,LEN(aoc_03_input[[#This Row],[Forest]]))+1,1)</f>
        <v>#</v>
      </c>
      <c r="D277" s="1">
        <f>IF(aoc_03_input[[#This Row],[CharAtPos1]]="#",1,0)</f>
        <v>1</v>
      </c>
      <c r="E277" s="1">
        <f t="shared" si="21"/>
        <v>276</v>
      </c>
      <c r="F277" s="1" t="str">
        <f>MID(aoc_03_input[[#This Row],[Forest]],MOD(aoc_03_input[[#This Row],[Pos2_1]]-1,LEN(aoc_03_input[[#This Row],[Forest]]))+1,1)</f>
        <v>#</v>
      </c>
      <c r="G277" s="1">
        <f>IF(aoc_03_input[[#This Row],[CharAtPos2_1]]="#",1,0)</f>
        <v>1</v>
      </c>
      <c r="H277" s="1">
        <f t="shared" si="22"/>
        <v>1376</v>
      </c>
      <c r="I277" s="1" t="str">
        <f>MID(aoc_03_input[[#This Row],[Forest]],MOD(aoc_03_input[[#This Row],[Pos2_3]]-1,LEN(aoc_03_input[[#This Row],[Forest]]))+1,1)</f>
        <v>#</v>
      </c>
      <c r="J277" s="1">
        <f>IF(aoc_03_input[[#This Row],[CharAtPos2_3]]="#",1,0)</f>
        <v>1</v>
      </c>
      <c r="K277" s="1">
        <f t="shared" si="23"/>
        <v>1926</v>
      </c>
      <c r="L277" s="1" t="str">
        <f>MID(aoc_03_input[[#This Row],[Forest]],MOD(aoc_03_input[[#This Row],[Pos2_4]]-1,LEN(aoc_03_input[[#This Row],[Forest]]))+1,1)</f>
        <v>#</v>
      </c>
      <c r="M277" s="1">
        <f>IF(aoc_03_input[[#This Row],[CharAtPos2_4]]="#",1,0)</f>
        <v>1</v>
      </c>
      <c r="N277" s="1">
        <f>MOD(ROW(aoc_03_input[[#This Row],[CountRow2_5]])+1,2)</f>
        <v>0</v>
      </c>
      <c r="O277" s="1">
        <f t="shared" si="24"/>
        <v>138</v>
      </c>
      <c r="P277" s="1" t="str">
        <f>MID(aoc_03_input[[#This Row],[Forest]],MOD(aoc_03_input[[#This Row],[Pos2_5]]-1,LEN(aoc_03_input[[#This Row],[Forest]]))+1,1)</f>
        <v>#</v>
      </c>
      <c r="Q277" s="1">
        <f>IF(AND(aoc_03_input[[#This Row],[CountRow2_5]]=1,aoc_03_input[[#This Row],[CharAtPos2_5]]="#"),1,0)</f>
        <v>0</v>
      </c>
    </row>
    <row r="278" spans="1:17" x14ac:dyDescent="0.45">
      <c r="A278" s="1" t="s">
        <v>1662</v>
      </c>
      <c r="B278" s="1">
        <f t="shared" si="20"/>
        <v>829</v>
      </c>
      <c r="C278" s="1" t="str">
        <f>MID(aoc_03_input[[#This Row],[Forest]],MOD(aoc_03_input[[#This Row],[Pos1]]-1,LEN(aoc_03_input[[#This Row],[Forest]]))+1,1)</f>
        <v>.</v>
      </c>
      <c r="D278" s="1">
        <f>IF(aoc_03_input[[#This Row],[CharAtPos1]]="#",1,0)</f>
        <v>0</v>
      </c>
      <c r="E278" s="1">
        <f t="shared" si="21"/>
        <v>277</v>
      </c>
      <c r="F278" s="1" t="str">
        <f>MID(aoc_03_input[[#This Row],[Forest]],MOD(aoc_03_input[[#This Row],[Pos2_1]]-1,LEN(aoc_03_input[[#This Row],[Forest]]))+1,1)</f>
        <v>#</v>
      </c>
      <c r="G278" s="1">
        <f>IF(aoc_03_input[[#This Row],[CharAtPos2_1]]="#",1,0)</f>
        <v>1</v>
      </c>
      <c r="H278" s="1">
        <f t="shared" si="22"/>
        <v>1381</v>
      </c>
      <c r="I278" s="1" t="str">
        <f>MID(aoc_03_input[[#This Row],[Forest]],MOD(aoc_03_input[[#This Row],[Pos2_3]]-1,LEN(aoc_03_input[[#This Row],[Forest]]))+1,1)</f>
        <v>.</v>
      </c>
      <c r="J278" s="1">
        <f>IF(aoc_03_input[[#This Row],[CharAtPos2_3]]="#",1,0)</f>
        <v>0</v>
      </c>
      <c r="K278" s="1">
        <f t="shared" si="23"/>
        <v>1933</v>
      </c>
      <c r="L278" s="1" t="str">
        <f>MID(aoc_03_input[[#This Row],[Forest]],MOD(aoc_03_input[[#This Row],[Pos2_4]]-1,LEN(aoc_03_input[[#This Row],[Forest]]))+1,1)</f>
        <v>.</v>
      </c>
      <c r="M278" s="1">
        <f>IF(aoc_03_input[[#This Row],[CharAtPos2_4]]="#",1,0)</f>
        <v>0</v>
      </c>
      <c r="N278" s="1">
        <f>MOD(ROW(aoc_03_input[[#This Row],[CountRow2_5]])+1,2)</f>
        <v>1</v>
      </c>
      <c r="O278" s="1">
        <f t="shared" si="24"/>
        <v>139</v>
      </c>
      <c r="P278" s="1" t="str">
        <f>MID(aoc_03_input[[#This Row],[Forest]],MOD(aoc_03_input[[#This Row],[Pos2_5]]-1,LEN(aoc_03_input[[#This Row],[Forest]]))+1,1)</f>
        <v>.</v>
      </c>
      <c r="Q278" s="1">
        <f>IF(AND(aoc_03_input[[#This Row],[CountRow2_5]]=1,aoc_03_input[[#This Row],[CharAtPos2_5]]="#"),1,0)</f>
        <v>0</v>
      </c>
    </row>
    <row r="279" spans="1:17" x14ac:dyDescent="0.45">
      <c r="A279" s="1" t="s">
        <v>1663</v>
      </c>
      <c r="B279" s="1">
        <f t="shared" si="20"/>
        <v>832</v>
      </c>
      <c r="C279" s="1" t="str">
        <f>MID(aoc_03_input[[#This Row],[Forest]],MOD(aoc_03_input[[#This Row],[Pos1]]-1,LEN(aoc_03_input[[#This Row],[Forest]]))+1,1)</f>
        <v>.</v>
      </c>
      <c r="D279" s="1">
        <f>IF(aoc_03_input[[#This Row],[CharAtPos1]]="#",1,0)</f>
        <v>0</v>
      </c>
      <c r="E279" s="1">
        <f t="shared" si="21"/>
        <v>278</v>
      </c>
      <c r="F279" s="1" t="str">
        <f>MID(aoc_03_input[[#This Row],[Forest]],MOD(aoc_03_input[[#This Row],[Pos2_1]]-1,LEN(aoc_03_input[[#This Row],[Forest]]))+1,1)</f>
        <v>.</v>
      </c>
      <c r="G279" s="1">
        <f>IF(aoc_03_input[[#This Row],[CharAtPos2_1]]="#",1,0)</f>
        <v>0</v>
      </c>
      <c r="H279" s="1">
        <f t="shared" si="22"/>
        <v>1386</v>
      </c>
      <c r="I279" s="1" t="str">
        <f>MID(aoc_03_input[[#This Row],[Forest]],MOD(aoc_03_input[[#This Row],[Pos2_3]]-1,LEN(aoc_03_input[[#This Row],[Forest]]))+1,1)</f>
        <v>.</v>
      </c>
      <c r="J279" s="1">
        <f>IF(aoc_03_input[[#This Row],[CharAtPos2_3]]="#",1,0)</f>
        <v>0</v>
      </c>
      <c r="K279" s="1">
        <f t="shared" si="23"/>
        <v>1940</v>
      </c>
      <c r="L279" s="1" t="str">
        <f>MID(aoc_03_input[[#This Row],[Forest]],MOD(aoc_03_input[[#This Row],[Pos2_4]]-1,LEN(aoc_03_input[[#This Row],[Forest]]))+1,1)</f>
        <v>.</v>
      </c>
      <c r="M279" s="1">
        <f>IF(aoc_03_input[[#This Row],[CharAtPos2_4]]="#",1,0)</f>
        <v>0</v>
      </c>
      <c r="N279" s="1">
        <f>MOD(ROW(aoc_03_input[[#This Row],[CountRow2_5]])+1,2)</f>
        <v>0</v>
      </c>
      <c r="O279" s="1">
        <f t="shared" si="24"/>
        <v>139</v>
      </c>
      <c r="P279" s="1" t="str">
        <f>MID(aoc_03_input[[#This Row],[Forest]],MOD(aoc_03_input[[#This Row],[Pos2_5]]-1,LEN(aoc_03_input[[#This Row],[Forest]]))+1,1)</f>
        <v>#</v>
      </c>
      <c r="Q279" s="1">
        <f>IF(AND(aoc_03_input[[#This Row],[CountRow2_5]]=1,aoc_03_input[[#This Row],[CharAtPos2_5]]="#"),1,0)</f>
        <v>0</v>
      </c>
    </row>
    <row r="280" spans="1:17" x14ac:dyDescent="0.45">
      <c r="A280" s="1" t="s">
        <v>1664</v>
      </c>
      <c r="B280" s="1">
        <f t="shared" si="20"/>
        <v>835</v>
      </c>
      <c r="C280" s="1" t="str">
        <f>MID(aoc_03_input[[#This Row],[Forest]],MOD(aoc_03_input[[#This Row],[Pos1]]-1,LEN(aoc_03_input[[#This Row],[Forest]]))+1,1)</f>
        <v>.</v>
      </c>
      <c r="D280" s="1">
        <f>IF(aoc_03_input[[#This Row],[CharAtPos1]]="#",1,0)</f>
        <v>0</v>
      </c>
      <c r="E280" s="1">
        <f t="shared" si="21"/>
        <v>279</v>
      </c>
      <c r="F280" s="1" t="str">
        <f>MID(aoc_03_input[[#This Row],[Forest]],MOD(aoc_03_input[[#This Row],[Pos2_1]]-1,LEN(aoc_03_input[[#This Row],[Forest]]))+1,1)</f>
        <v>.</v>
      </c>
      <c r="G280" s="1">
        <f>IF(aoc_03_input[[#This Row],[CharAtPos2_1]]="#",1,0)</f>
        <v>0</v>
      </c>
      <c r="H280" s="1">
        <f t="shared" si="22"/>
        <v>1391</v>
      </c>
      <c r="I280" s="1" t="str">
        <f>MID(aoc_03_input[[#This Row],[Forest]],MOD(aoc_03_input[[#This Row],[Pos2_3]]-1,LEN(aoc_03_input[[#This Row],[Forest]]))+1,1)</f>
        <v>#</v>
      </c>
      <c r="J280" s="1">
        <f>IF(aoc_03_input[[#This Row],[CharAtPos2_3]]="#",1,0)</f>
        <v>1</v>
      </c>
      <c r="K280" s="1">
        <f t="shared" si="23"/>
        <v>1947</v>
      </c>
      <c r="L280" s="1" t="str">
        <f>MID(aoc_03_input[[#This Row],[Forest]],MOD(aoc_03_input[[#This Row],[Pos2_4]]-1,LEN(aoc_03_input[[#This Row],[Forest]]))+1,1)</f>
        <v>.</v>
      </c>
      <c r="M280" s="1">
        <f>IF(aoc_03_input[[#This Row],[CharAtPos2_4]]="#",1,0)</f>
        <v>0</v>
      </c>
      <c r="N280" s="1">
        <f>MOD(ROW(aoc_03_input[[#This Row],[CountRow2_5]])+1,2)</f>
        <v>1</v>
      </c>
      <c r="O280" s="1">
        <f t="shared" si="24"/>
        <v>140</v>
      </c>
      <c r="P280" s="1" t="str">
        <f>MID(aoc_03_input[[#This Row],[Forest]],MOD(aoc_03_input[[#This Row],[Pos2_5]]-1,LEN(aoc_03_input[[#This Row],[Forest]]))+1,1)</f>
        <v>.</v>
      </c>
      <c r="Q280" s="1">
        <f>IF(AND(aoc_03_input[[#This Row],[CountRow2_5]]=1,aoc_03_input[[#This Row],[CharAtPos2_5]]="#"),1,0)</f>
        <v>0</v>
      </c>
    </row>
    <row r="281" spans="1:17" x14ac:dyDescent="0.45">
      <c r="A281" s="1" t="s">
        <v>1665</v>
      </c>
      <c r="B281" s="1">
        <f t="shared" si="20"/>
        <v>838</v>
      </c>
      <c r="C281" s="1" t="str">
        <f>MID(aoc_03_input[[#This Row],[Forest]],MOD(aoc_03_input[[#This Row],[Pos1]]-1,LEN(aoc_03_input[[#This Row],[Forest]]))+1,1)</f>
        <v>.</v>
      </c>
      <c r="D281" s="1">
        <f>IF(aoc_03_input[[#This Row],[CharAtPos1]]="#",1,0)</f>
        <v>0</v>
      </c>
      <c r="E281" s="1">
        <f t="shared" si="21"/>
        <v>280</v>
      </c>
      <c r="F281" s="1" t="str">
        <f>MID(aoc_03_input[[#This Row],[Forest]],MOD(aoc_03_input[[#This Row],[Pos2_1]]-1,LEN(aoc_03_input[[#This Row],[Forest]]))+1,1)</f>
        <v>.</v>
      </c>
      <c r="G281" s="1">
        <f>IF(aoc_03_input[[#This Row],[CharAtPos2_1]]="#",1,0)</f>
        <v>0</v>
      </c>
      <c r="H281" s="1">
        <f t="shared" si="22"/>
        <v>1396</v>
      </c>
      <c r="I281" s="1" t="str">
        <f>MID(aoc_03_input[[#This Row],[Forest]],MOD(aoc_03_input[[#This Row],[Pos2_3]]-1,LEN(aoc_03_input[[#This Row],[Forest]]))+1,1)</f>
        <v>.</v>
      </c>
      <c r="J281" s="1">
        <f>IF(aoc_03_input[[#This Row],[CharAtPos2_3]]="#",1,0)</f>
        <v>0</v>
      </c>
      <c r="K281" s="1">
        <f t="shared" si="23"/>
        <v>1954</v>
      </c>
      <c r="L281" s="1" t="str">
        <f>MID(aoc_03_input[[#This Row],[Forest]],MOD(aoc_03_input[[#This Row],[Pos2_4]]-1,LEN(aoc_03_input[[#This Row],[Forest]]))+1,1)</f>
        <v>.</v>
      </c>
      <c r="M281" s="1">
        <f>IF(aoc_03_input[[#This Row],[CharAtPos2_4]]="#",1,0)</f>
        <v>0</v>
      </c>
      <c r="N281" s="1">
        <f>MOD(ROW(aoc_03_input[[#This Row],[CountRow2_5]])+1,2)</f>
        <v>0</v>
      </c>
      <c r="O281" s="1">
        <f t="shared" si="24"/>
        <v>140</v>
      </c>
      <c r="P281" s="1" t="str">
        <f>MID(aoc_03_input[[#This Row],[Forest]],MOD(aoc_03_input[[#This Row],[Pos2_5]]-1,LEN(aoc_03_input[[#This Row],[Forest]]))+1,1)</f>
        <v>.</v>
      </c>
      <c r="Q281" s="1">
        <f>IF(AND(aoc_03_input[[#This Row],[CountRow2_5]]=1,aoc_03_input[[#This Row],[CharAtPos2_5]]="#"),1,0)</f>
        <v>0</v>
      </c>
    </row>
    <row r="282" spans="1:17" x14ac:dyDescent="0.45">
      <c r="A282" s="1" t="s">
        <v>1666</v>
      </c>
      <c r="B282" s="1">
        <f t="shared" si="20"/>
        <v>841</v>
      </c>
      <c r="C282" s="1" t="str">
        <f>MID(aoc_03_input[[#This Row],[Forest]],MOD(aoc_03_input[[#This Row],[Pos1]]-1,LEN(aoc_03_input[[#This Row],[Forest]]))+1,1)</f>
        <v>.</v>
      </c>
      <c r="D282" s="1">
        <f>IF(aoc_03_input[[#This Row],[CharAtPos1]]="#",1,0)</f>
        <v>0</v>
      </c>
      <c r="E282" s="1">
        <f t="shared" si="21"/>
        <v>281</v>
      </c>
      <c r="F282" s="1" t="str">
        <f>MID(aoc_03_input[[#This Row],[Forest]],MOD(aoc_03_input[[#This Row],[Pos2_1]]-1,LEN(aoc_03_input[[#This Row],[Forest]]))+1,1)</f>
        <v>#</v>
      </c>
      <c r="G282" s="1">
        <f>IF(aoc_03_input[[#This Row],[CharAtPos2_1]]="#",1,0)</f>
        <v>1</v>
      </c>
      <c r="H282" s="1">
        <f t="shared" si="22"/>
        <v>1401</v>
      </c>
      <c r="I282" s="1" t="str">
        <f>MID(aoc_03_input[[#This Row],[Forest]],MOD(aoc_03_input[[#This Row],[Pos2_3]]-1,LEN(aoc_03_input[[#This Row],[Forest]]))+1,1)</f>
        <v>.</v>
      </c>
      <c r="J282" s="1">
        <f>IF(aoc_03_input[[#This Row],[CharAtPos2_3]]="#",1,0)</f>
        <v>0</v>
      </c>
      <c r="K282" s="1">
        <f t="shared" si="23"/>
        <v>1961</v>
      </c>
      <c r="L282" s="1" t="str">
        <f>MID(aoc_03_input[[#This Row],[Forest]],MOD(aoc_03_input[[#This Row],[Pos2_4]]-1,LEN(aoc_03_input[[#This Row],[Forest]]))+1,1)</f>
        <v>.</v>
      </c>
      <c r="M282" s="1">
        <f>IF(aoc_03_input[[#This Row],[CharAtPos2_4]]="#",1,0)</f>
        <v>0</v>
      </c>
      <c r="N282" s="1">
        <f>MOD(ROW(aoc_03_input[[#This Row],[CountRow2_5]])+1,2)</f>
        <v>1</v>
      </c>
      <c r="O282" s="1">
        <f t="shared" si="24"/>
        <v>141</v>
      </c>
      <c r="P282" s="1" t="str">
        <f>MID(aoc_03_input[[#This Row],[Forest]],MOD(aoc_03_input[[#This Row],[Pos2_5]]-1,LEN(aoc_03_input[[#This Row],[Forest]]))+1,1)</f>
        <v>.</v>
      </c>
      <c r="Q282" s="1">
        <f>IF(AND(aoc_03_input[[#This Row],[CountRow2_5]]=1,aoc_03_input[[#This Row],[CharAtPos2_5]]="#"),1,0)</f>
        <v>0</v>
      </c>
    </row>
    <row r="283" spans="1:17" x14ac:dyDescent="0.45">
      <c r="A283" s="1" t="s">
        <v>1667</v>
      </c>
      <c r="B283" s="1">
        <f t="shared" si="20"/>
        <v>844</v>
      </c>
      <c r="C283" s="1" t="str">
        <f>MID(aoc_03_input[[#This Row],[Forest]],MOD(aoc_03_input[[#This Row],[Pos1]]-1,LEN(aoc_03_input[[#This Row],[Forest]]))+1,1)</f>
        <v>#</v>
      </c>
      <c r="D283" s="1">
        <f>IF(aoc_03_input[[#This Row],[CharAtPos1]]="#",1,0)</f>
        <v>1</v>
      </c>
      <c r="E283" s="1">
        <f t="shared" si="21"/>
        <v>282</v>
      </c>
      <c r="F283" s="1" t="str">
        <f>MID(aoc_03_input[[#This Row],[Forest]],MOD(aoc_03_input[[#This Row],[Pos2_1]]-1,LEN(aoc_03_input[[#This Row],[Forest]]))+1,1)</f>
        <v>#</v>
      </c>
      <c r="G283" s="1">
        <f>IF(aoc_03_input[[#This Row],[CharAtPos2_1]]="#",1,0)</f>
        <v>1</v>
      </c>
      <c r="H283" s="1">
        <f t="shared" si="22"/>
        <v>1406</v>
      </c>
      <c r="I283" s="1" t="str">
        <f>MID(aoc_03_input[[#This Row],[Forest]],MOD(aoc_03_input[[#This Row],[Pos2_3]]-1,LEN(aoc_03_input[[#This Row],[Forest]]))+1,1)</f>
        <v>.</v>
      </c>
      <c r="J283" s="1">
        <f>IF(aoc_03_input[[#This Row],[CharAtPos2_3]]="#",1,0)</f>
        <v>0</v>
      </c>
      <c r="K283" s="1">
        <f t="shared" si="23"/>
        <v>1968</v>
      </c>
      <c r="L283" s="1" t="str">
        <f>MID(aoc_03_input[[#This Row],[Forest]],MOD(aoc_03_input[[#This Row],[Pos2_4]]-1,LEN(aoc_03_input[[#This Row],[Forest]]))+1,1)</f>
        <v>.</v>
      </c>
      <c r="M283" s="1">
        <f>IF(aoc_03_input[[#This Row],[CharAtPos2_4]]="#",1,0)</f>
        <v>0</v>
      </c>
      <c r="N283" s="1">
        <f>MOD(ROW(aoc_03_input[[#This Row],[CountRow2_5]])+1,2)</f>
        <v>0</v>
      </c>
      <c r="O283" s="1">
        <f t="shared" si="24"/>
        <v>141</v>
      </c>
      <c r="P283" s="1" t="str">
        <f>MID(aoc_03_input[[#This Row],[Forest]],MOD(aoc_03_input[[#This Row],[Pos2_5]]-1,LEN(aoc_03_input[[#This Row],[Forest]]))+1,1)</f>
        <v>.</v>
      </c>
      <c r="Q283" s="1">
        <f>IF(AND(aoc_03_input[[#This Row],[CountRow2_5]]=1,aoc_03_input[[#This Row],[CharAtPos2_5]]="#"),1,0)</f>
        <v>0</v>
      </c>
    </row>
    <row r="284" spans="1:17" x14ac:dyDescent="0.45">
      <c r="A284" s="1" t="s">
        <v>1668</v>
      </c>
      <c r="B284" s="1">
        <f t="shared" si="20"/>
        <v>847</v>
      </c>
      <c r="C284" s="1" t="str">
        <f>MID(aoc_03_input[[#This Row],[Forest]],MOD(aoc_03_input[[#This Row],[Pos1]]-1,LEN(aoc_03_input[[#This Row],[Forest]]))+1,1)</f>
        <v>#</v>
      </c>
      <c r="D284" s="1">
        <f>IF(aoc_03_input[[#This Row],[CharAtPos1]]="#",1,0)</f>
        <v>1</v>
      </c>
      <c r="E284" s="1">
        <f t="shared" si="21"/>
        <v>283</v>
      </c>
      <c r="F284" s="1" t="str">
        <f>MID(aoc_03_input[[#This Row],[Forest]],MOD(aoc_03_input[[#This Row],[Pos2_1]]-1,LEN(aoc_03_input[[#This Row],[Forest]]))+1,1)</f>
        <v>.</v>
      </c>
      <c r="G284" s="1">
        <f>IF(aoc_03_input[[#This Row],[CharAtPos2_1]]="#",1,0)</f>
        <v>0</v>
      </c>
      <c r="H284" s="1">
        <f t="shared" si="22"/>
        <v>1411</v>
      </c>
      <c r="I284" s="1" t="str">
        <f>MID(aoc_03_input[[#This Row],[Forest]],MOD(aoc_03_input[[#This Row],[Pos2_3]]-1,LEN(aoc_03_input[[#This Row],[Forest]]))+1,1)</f>
        <v>.</v>
      </c>
      <c r="J284" s="1">
        <f>IF(aoc_03_input[[#This Row],[CharAtPos2_3]]="#",1,0)</f>
        <v>0</v>
      </c>
      <c r="K284" s="1">
        <f t="shared" si="23"/>
        <v>1975</v>
      </c>
      <c r="L284" s="1" t="str">
        <f>MID(aoc_03_input[[#This Row],[Forest]],MOD(aoc_03_input[[#This Row],[Pos2_4]]-1,LEN(aoc_03_input[[#This Row],[Forest]]))+1,1)</f>
        <v>.</v>
      </c>
      <c r="M284" s="1">
        <f>IF(aoc_03_input[[#This Row],[CharAtPos2_4]]="#",1,0)</f>
        <v>0</v>
      </c>
      <c r="N284" s="1">
        <f>MOD(ROW(aoc_03_input[[#This Row],[CountRow2_5]])+1,2)</f>
        <v>1</v>
      </c>
      <c r="O284" s="1">
        <f t="shared" si="24"/>
        <v>142</v>
      </c>
      <c r="P284" s="1" t="str">
        <f>MID(aoc_03_input[[#This Row],[Forest]],MOD(aoc_03_input[[#This Row],[Pos2_5]]-1,LEN(aoc_03_input[[#This Row],[Forest]]))+1,1)</f>
        <v>.</v>
      </c>
      <c r="Q284" s="1">
        <f>IF(AND(aoc_03_input[[#This Row],[CountRow2_5]]=1,aoc_03_input[[#This Row],[CharAtPos2_5]]="#"),1,0)</f>
        <v>0</v>
      </c>
    </row>
    <row r="285" spans="1:17" x14ac:dyDescent="0.45">
      <c r="A285" s="1" t="s">
        <v>1669</v>
      </c>
      <c r="B285" s="1">
        <f t="shared" si="20"/>
        <v>850</v>
      </c>
      <c r="C285" s="1" t="str">
        <f>MID(aoc_03_input[[#This Row],[Forest]],MOD(aoc_03_input[[#This Row],[Pos1]]-1,LEN(aoc_03_input[[#This Row],[Forest]]))+1,1)</f>
        <v>#</v>
      </c>
      <c r="D285" s="1">
        <f>IF(aoc_03_input[[#This Row],[CharAtPos1]]="#",1,0)</f>
        <v>1</v>
      </c>
      <c r="E285" s="1">
        <f t="shared" si="21"/>
        <v>284</v>
      </c>
      <c r="F285" s="1" t="str">
        <f>MID(aoc_03_input[[#This Row],[Forest]],MOD(aoc_03_input[[#This Row],[Pos2_1]]-1,LEN(aoc_03_input[[#This Row],[Forest]]))+1,1)</f>
        <v>.</v>
      </c>
      <c r="G285" s="1">
        <f>IF(aoc_03_input[[#This Row],[CharAtPos2_1]]="#",1,0)</f>
        <v>0</v>
      </c>
      <c r="H285" s="1">
        <f t="shared" si="22"/>
        <v>1416</v>
      </c>
      <c r="I285" s="1" t="str">
        <f>MID(aoc_03_input[[#This Row],[Forest]],MOD(aoc_03_input[[#This Row],[Pos2_3]]-1,LEN(aoc_03_input[[#This Row],[Forest]]))+1,1)</f>
        <v>.</v>
      </c>
      <c r="J285" s="1">
        <f>IF(aoc_03_input[[#This Row],[CharAtPos2_3]]="#",1,0)</f>
        <v>0</v>
      </c>
      <c r="K285" s="1">
        <f t="shared" si="23"/>
        <v>1982</v>
      </c>
      <c r="L285" s="1" t="str">
        <f>MID(aoc_03_input[[#This Row],[Forest]],MOD(aoc_03_input[[#This Row],[Pos2_4]]-1,LEN(aoc_03_input[[#This Row],[Forest]]))+1,1)</f>
        <v>.</v>
      </c>
      <c r="M285" s="1">
        <f>IF(aoc_03_input[[#This Row],[CharAtPos2_4]]="#",1,0)</f>
        <v>0</v>
      </c>
      <c r="N285" s="1">
        <f>MOD(ROW(aoc_03_input[[#This Row],[CountRow2_5]])+1,2)</f>
        <v>0</v>
      </c>
      <c r="O285" s="1">
        <f t="shared" si="24"/>
        <v>142</v>
      </c>
      <c r="P285" s="1" t="str">
        <f>MID(aoc_03_input[[#This Row],[Forest]],MOD(aoc_03_input[[#This Row],[Pos2_5]]-1,LEN(aoc_03_input[[#This Row],[Forest]]))+1,1)</f>
        <v>.</v>
      </c>
      <c r="Q285" s="1">
        <f>IF(AND(aoc_03_input[[#This Row],[CountRow2_5]]=1,aoc_03_input[[#This Row],[CharAtPos2_5]]="#"),1,0)</f>
        <v>0</v>
      </c>
    </row>
    <row r="286" spans="1:17" x14ac:dyDescent="0.45">
      <c r="A286" s="1" t="s">
        <v>1670</v>
      </c>
      <c r="B286" s="1">
        <f t="shared" si="20"/>
        <v>853</v>
      </c>
      <c r="C286" s="1" t="str">
        <f>MID(aoc_03_input[[#This Row],[Forest]],MOD(aoc_03_input[[#This Row],[Pos1]]-1,LEN(aoc_03_input[[#This Row],[Forest]]))+1,1)</f>
        <v>.</v>
      </c>
      <c r="D286" s="1">
        <f>IF(aoc_03_input[[#This Row],[CharAtPos1]]="#",1,0)</f>
        <v>0</v>
      </c>
      <c r="E286" s="1">
        <f t="shared" si="21"/>
        <v>285</v>
      </c>
      <c r="F286" s="1" t="str">
        <f>MID(aoc_03_input[[#This Row],[Forest]],MOD(aoc_03_input[[#This Row],[Pos2_1]]-1,LEN(aoc_03_input[[#This Row],[Forest]]))+1,1)</f>
        <v>.</v>
      </c>
      <c r="G286" s="1">
        <f>IF(aoc_03_input[[#This Row],[CharAtPos2_1]]="#",1,0)</f>
        <v>0</v>
      </c>
      <c r="H286" s="1">
        <f t="shared" si="22"/>
        <v>1421</v>
      </c>
      <c r="I286" s="1" t="str">
        <f>MID(aoc_03_input[[#This Row],[Forest]],MOD(aoc_03_input[[#This Row],[Pos2_3]]-1,LEN(aoc_03_input[[#This Row],[Forest]]))+1,1)</f>
        <v>#</v>
      </c>
      <c r="J286" s="1">
        <f>IF(aoc_03_input[[#This Row],[CharAtPos2_3]]="#",1,0)</f>
        <v>1</v>
      </c>
      <c r="K286" s="1">
        <f t="shared" si="23"/>
        <v>1989</v>
      </c>
      <c r="L286" s="1" t="str">
        <f>MID(aoc_03_input[[#This Row],[Forest]],MOD(aoc_03_input[[#This Row],[Pos2_4]]-1,LEN(aoc_03_input[[#This Row],[Forest]]))+1,1)</f>
        <v>.</v>
      </c>
      <c r="M286" s="1">
        <f>IF(aoc_03_input[[#This Row],[CharAtPos2_4]]="#",1,0)</f>
        <v>0</v>
      </c>
      <c r="N286" s="1">
        <f>MOD(ROW(aoc_03_input[[#This Row],[CountRow2_5]])+1,2)</f>
        <v>1</v>
      </c>
      <c r="O286" s="1">
        <f t="shared" si="24"/>
        <v>143</v>
      </c>
      <c r="P286" s="1" t="str">
        <f>MID(aoc_03_input[[#This Row],[Forest]],MOD(aoc_03_input[[#This Row],[Pos2_5]]-1,LEN(aoc_03_input[[#This Row],[Forest]]))+1,1)</f>
        <v>.</v>
      </c>
      <c r="Q286" s="1">
        <f>IF(AND(aoc_03_input[[#This Row],[CountRow2_5]]=1,aoc_03_input[[#This Row],[CharAtPos2_5]]="#"),1,0)</f>
        <v>0</v>
      </c>
    </row>
    <row r="287" spans="1:17" x14ac:dyDescent="0.45">
      <c r="A287" s="1" t="s">
        <v>1671</v>
      </c>
      <c r="B287" s="1">
        <f t="shared" si="20"/>
        <v>856</v>
      </c>
      <c r="C287" s="1" t="str">
        <f>MID(aoc_03_input[[#This Row],[Forest]],MOD(aoc_03_input[[#This Row],[Pos1]]-1,LEN(aoc_03_input[[#This Row],[Forest]]))+1,1)</f>
        <v>.</v>
      </c>
      <c r="D287" s="1">
        <f>IF(aoc_03_input[[#This Row],[CharAtPos1]]="#",1,0)</f>
        <v>0</v>
      </c>
      <c r="E287" s="1">
        <f t="shared" si="21"/>
        <v>286</v>
      </c>
      <c r="F287" s="1" t="str">
        <f>MID(aoc_03_input[[#This Row],[Forest]],MOD(aoc_03_input[[#This Row],[Pos2_1]]-1,LEN(aoc_03_input[[#This Row],[Forest]]))+1,1)</f>
        <v>.</v>
      </c>
      <c r="G287" s="1">
        <f>IF(aoc_03_input[[#This Row],[CharAtPos2_1]]="#",1,0)</f>
        <v>0</v>
      </c>
      <c r="H287" s="1">
        <f t="shared" si="22"/>
        <v>1426</v>
      </c>
      <c r="I287" s="1" t="str">
        <f>MID(aoc_03_input[[#This Row],[Forest]],MOD(aoc_03_input[[#This Row],[Pos2_3]]-1,LEN(aoc_03_input[[#This Row],[Forest]]))+1,1)</f>
        <v>#</v>
      </c>
      <c r="J287" s="1">
        <f>IF(aoc_03_input[[#This Row],[CharAtPos2_3]]="#",1,0)</f>
        <v>1</v>
      </c>
      <c r="K287" s="1">
        <f t="shared" si="23"/>
        <v>1996</v>
      </c>
      <c r="L287" s="1" t="str">
        <f>MID(aoc_03_input[[#This Row],[Forest]],MOD(aoc_03_input[[#This Row],[Pos2_4]]-1,LEN(aoc_03_input[[#This Row],[Forest]]))+1,1)</f>
        <v>#</v>
      </c>
      <c r="M287" s="1">
        <f>IF(aoc_03_input[[#This Row],[CharAtPos2_4]]="#",1,0)</f>
        <v>1</v>
      </c>
      <c r="N287" s="1">
        <f>MOD(ROW(aoc_03_input[[#This Row],[CountRow2_5]])+1,2)</f>
        <v>0</v>
      </c>
      <c r="O287" s="1">
        <f t="shared" si="24"/>
        <v>143</v>
      </c>
      <c r="P287" s="1" t="str">
        <f>MID(aoc_03_input[[#This Row],[Forest]],MOD(aoc_03_input[[#This Row],[Pos2_5]]-1,LEN(aoc_03_input[[#This Row],[Forest]]))+1,1)</f>
        <v>.</v>
      </c>
      <c r="Q287" s="1">
        <f>IF(AND(aoc_03_input[[#This Row],[CountRow2_5]]=1,aoc_03_input[[#This Row],[CharAtPos2_5]]="#"),1,0)</f>
        <v>0</v>
      </c>
    </row>
    <row r="288" spans="1:17" x14ac:dyDescent="0.45">
      <c r="A288" s="1" t="s">
        <v>1672</v>
      </c>
      <c r="B288" s="1">
        <f t="shared" si="20"/>
        <v>859</v>
      </c>
      <c r="C288" s="1" t="str">
        <f>MID(aoc_03_input[[#This Row],[Forest]],MOD(aoc_03_input[[#This Row],[Pos1]]-1,LEN(aoc_03_input[[#This Row],[Forest]]))+1,1)</f>
        <v>#</v>
      </c>
      <c r="D288" s="1">
        <f>IF(aoc_03_input[[#This Row],[CharAtPos1]]="#",1,0)</f>
        <v>1</v>
      </c>
      <c r="E288" s="1">
        <f t="shared" si="21"/>
        <v>287</v>
      </c>
      <c r="F288" s="1" t="str">
        <f>MID(aoc_03_input[[#This Row],[Forest]],MOD(aoc_03_input[[#This Row],[Pos2_1]]-1,LEN(aoc_03_input[[#This Row],[Forest]]))+1,1)</f>
        <v>.</v>
      </c>
      <c r="G288" s="1">
        <f>IF(aoc_03_input[[#This Row],[CharAtPos2_1]]="#",1,0)</f>
        <v>0</v>
      </c>
      <c r="H288" s="1">
        <f t="shared" si="22"/>
        <v>1431</v>
      </c>
      <c r="I288" s="1" t="str">
        <f>MID(aoc_03_input[[#This Row],[Forest]],MOD(aoc_03_input[[#This Row],[Pos2_3]]-1,LEN(aoc_03_input[[#This Row],[Forest]]))+1,1)</f>
        <v>.</v>
      </c>
      <c r="J288" s="1">
        <f>IF(aoc_03_input[[#This Row],[CharAtPos2_3]]="#",1,0)</f>
        <v>0</v>
      </c>
      <c r="K288" s="1">
        <f t="shared" si="23"/>
        <v>2003</v>
      </c>
      <c r="L288" s="1" t="str">
        <f>MID(aoc_03_input[[#This Row],[Forest]],MOD(aoc_03_input[[#This Row],[Pos2_4]]-1,LEN(aoc_03_input[[#This Row],[Forest]]))+1,1)</f>
        <v>.</v>
      </c>
      <c r="M288" s="1">
        <f>IF(aoc_03_input[[#This Row],[CharAtPos2_4]]="#",1,0)</f>
        <v>0</v>
      </c>
      <c r="N288" s="1">
        <f>MOD(ROW(aoc_03_input[[#This Row],[CountRow2_5]])+1,2)</f>
        <v>1</v>
      </c>
      <c r="O288" s="1">
        <f t="shared" si="24"/>
        <v>144</v>
      </c>
      <c r="P288" s="1" t="str">
        <f>MID(aoc_03_input[[#This Row],[Forest]],MOD(aoc_03_input[[#This Row],[Pos2_5]]-1,LEN(aoc_03_input[[#This Row],[Forest]]))+1,1)</f>
        <v>#</v>
      </c>
      <c r="Q288" s="1">
        <f>IF(AND(aoc_03_input[[#This Row],[CountRow2_5]]=1,aoc_03_input[[#This Row],[CharAtPos2_5]]="#"),1,0)</f>
        <v>1</v>
      </c>
    </row>
    <row r="289" spans="1:17" x14ac:dyDescent="0.45">
      <c r="A289" s="1" t="s">
        <v>1673</v>
      </c>
      <c r="B289" s="1">
        <f t="shared" si="20"/>
        <v>862</v>
      </c>
      <c r="C289" s="1" t="str">
        <f>MID(aoc_03_input[[#This Row],[Forest]],MOD(aoc_03_input[[#This Row],[Pos1]]-1,LEN(aoc_03_input[[#This Row],[Forest]]))+1,1)</f>
        <v>#</v>
      </c>
      <c r="D289" s="1">
        <f>IF(aoc_03_input[[#This Row],[CharAtPos1]]="#",1,0)</f>
        <v>1</v>
      </c>
      <c r="E289" s="1">
        <f t="shared" si="21"/>
        <v>288</v>
      </c>
      <c r="F289" s="1" t="str">
        <f>MID(aoc_03_input[[#This Row],[Forest]],MOD(aoc_03_input[[#This Row],[Pos2_1]]-1,LEN(aoc_03_input[[#This Row],[Forest]]))+1,1)</f>
        <v>.</v>
      </c>
      <c r="G289" s="1">
        <f>IF(aoc_03_input[[#This Row],[CharAtPos2_1]]="#",1,0)</f>
        <v>0</v>
      </c>
      <c r="H289" s="1">
        <f t="shared" si="22"/>
        <v>1436</v>
      </c>
      <c r="I289" s="1" t="str">
        <f>MID(aoc_03_input[[#This Row],[Forest]],MOD(aoc_03_input[[#This Row],[Pos2_3]]-1,LEN(aoc_03_input[[#This Row],[Forest]]))+1,1)</f>
        <v>.</v>
      </c>
      <c r="J289" s="1">
        <f>IF(aoc_03_input[[#This Row],[CharAtPos2_3]]="#",1,0)</f>
        <v>0</v>
      </c>
      <c r="K289" s="1">
        <f t="shared" si="23"/>
        <v>2010</v>
      </c>
      <c r="L289" s="1" t="str">
        <f>MID(aoc_03_input[[#This Row],[Forest]],MOD(aoc_03_input[[#This Row],[Pos2_4]]-1,LEN(aoc_03_input[[#This Row],[Forest]]))+1,1)</f>
        <v>#</v>
      </c>
      <c r="M289" s="1">
        <f>IF(aoc_03_input[[#This Row],[CharAtPos2_4]]="#",1,0)</f>
        <v>1</v>
      </c>
      <c r="N289" s="1">
        <f>MOD(ROW(aoc_03_input[[#This Row],[CountRow2_5]])+1,2)</f>
        <v>0</v>
      </c>
      <c r="O289" s="1">
        <f t="shared" si="24"/>
        <v>144</v>
      </c>
      <c r="P289" s="1" t="str">
        <f>MID(aoc_03_input[[#This Row],[Forest]],MOD(aoc_03_input[[#This Row],[Pos2_5]]-1,LEN(aoc_03_input[[#This Row],[Forest]]))+1,1)</f>
        <v>.</v>
      </c>
      <c r="Q289" s="1">
        <f>IF(AND(aoc_03_input[[#This Row],[CountRow2_5]]=1,aoc_03_input[[#This Row],[CharAtPos2_5]]="#"),1,0)</f>
        <v>0</v>
      </c>
    </row>
    <row r="290" spans="1:17" x14ac:dyDescent="0.45">
      <c r="A290" s="1" t="s">
        <v>1674</v>
      </c>
      <c r="B290" s="1">
        <f t="shared" si="20"/>
        <v>865</v>
      </c>
      <c r="C290" s="1" t="str">
        <f>MID(aoc_03_input[[#This Row],[Forest]],MOD(aoc_03_input[[#This Row],[Pos1]]-1,LEN(aoc_03_input[[#This Row],[Forest]]))+1,1)</f>
        <v>.</v>
      </c>
      <c r="D290" s="1">
        <f>IF(aoc_03_input[[#This Row],[CharAtPos1]]="#",1,0)</f>
        <v>0</v>
      </c>
      <c r="E290" s="1">
        <f t="shared" si="21"/>
        <v>289</v>
      </c>
      <c r="F290" s="1" t="str">
        <f>MID(aoc_03_input[[#This Row],[Forest]],MOD(aoc_03_input[[#This Row],[Pos2_1]]-1,LEN(aoc_03_input[[#This Row],[Forest]]))+1,1)</f>
        <v>.</v>
      </c>
      <c r="G290" s="1">
        <f>IF(aoc_03_input[[#This Row],[CharAtPos2_1]]="#",1,0)</f>
        <v>0</v>
      </c>
      <c r="H290" s="1">
        <f t="shared" si="22"/>
        <v>1441</v>
      </c>
      <c r="I290" s="1" t="str">
        <f>MID(aoc_03_input[[#This Row],[Forest]],MOD(aoc_03_input[[#This Row],[Pos2_3]]-1,LEN(aoc_03_input[[#This Row],[Forest]]))+1,1)</f>
        <v>.</v>
      </c>
      <c r="J290" s="1">
        <f>IF(aoc_03_input[[#This Row],[CharAtPos2_3]]="#",1,0)</f>
        <v>0</v>
      </c>
      <c r="K290" s="1">
        <f t="shared" si="23"/>
        <v>2017</v>
      </c>
      <c r="L290" s="1" t="str">
        <f>MID(aoc_03_input[[#This Row],[Forest]],MOD(aoc_03_input[[#This Row],[Pos2_4]]-1,LEN(aoc_03_input[[#This Row],[Forest]]))+1,1)</f>
        <v>#</v>
      </c>
      <c r="M290" s="1">
        <f>IF(aoc_03_input[[#This Row],[CharAtPos2_4]]="#",1,0)</f>
        <v>1</v>
      </c>
      <c r="N290" s="1">
        <f>MOD(ROW(aoc_03_input[[#This Row],[CountRow2_5]])+1,2)</f>
        <v>1</v>
      </c>
      <c r="O290" s="1">
        <f t="shared" si="24"/>
        <v>145</v>
      </c>
      <c r="P290" s="1" t="str">
        <f>MID(aoc_03_input[[#This Row],[Forest]],MOD(aoc_03_input[[#This Row],[Pos2_5]]-1,LEN(aoc_03_input[[#This Row],[Forest]]))+1,1)</f>
        <v>.</v>
      </c>
      <c r="Q290" s="1">
        <f>IF(AND(aoc_03_input[[#This Row],[CountRow2_5]]=1,aoc_03_input[[#This Row],[CharAtPos2_5]]="#"),1,0)</f>
        <v>0</v>
      </c>
    </row>
    <row r="291" spans="1:17" x14ac:dyDescent="0.45">
      <c r="A291" s="1" t="s">
        <v>1675</v>
      </c>
      <c r="B291" s="1">
        <f t="shared" si="20"/>
        <v>868</v>
      </c>
      <c r="C291" s="1" t="str">
        <f>MID(aoc_03_input[[#This Row],[Forest]],MOD(aoc_03_input[[#This Row],[Pos1]]-1,LEN(aoc_03_input[[#This Row],[Forest]]))+1,1)</f>
        <v>#</v>
      </c>
      <c r="D291" s="1">
        <f>IF(aoc_03_input[[#This Row],[CharAtPos1]]="#",1,0)</f>
        <v>1</v>
      </c>
      <c r="E291" s="1">
        <f t="shared" si="21"/>
        <v>290</v>
      </c>
      <c r="F291" s="1" t="str">
        <f>MID(aoc_03_input[[#This Row],[Forest]],MOD(aoc_03_input[[#This Row],[Pos2_1]]-1,LEN(aoc_03_input[[#This Row],[Forest]]))+1,1)</f>
        <v>.</v>
      </c>
      <c r="G291" s="1">
        <f>IF(aoc_03_input[[#This Row],[CharAtPos2_1]]="#",1,0)</f>
        <v>0</v>
      </c>
      <c r="H291" s="1">
        <f t="shared" si="22"/>
        <v>1446</v>
      </c>
      <c r="I291" s="1" t="str">
        <f>MID(aoc_03_input[[#This Row],[Forest]],MOD(aoc_03_input[[#This Row],[Pos2_3]]-1,LEN(aoc_03_input[[#This Row],[Forest]]))+1,1)</f>
        <v>#</v>
      </c>
      <c r="J291" s="1">
        <f>IF(aoc_03_input[[#This Row],[CharAtPos2_3]]="#",1,0)</f>
        <v>1</v>
      </c>
      <c r="K291" s="1">
        <f t="shared" si="23"/>
        <v>2024</v>
      </c>
      <c r="L291" s="1" t="str">
        <f>MID(aoc_03_input[[#This Row],[Forest]],MOD(aoc_03_input[[#This Row],[Pos2_4]]-1,LEN(aoc_03_input[[#This Row],[Forest]]))+1,1)</f>
        <v>.</v>
      </c>
      <c r="M291" s="1">
        <f>IF(aoc_03_input[[#This Row],[CharAtPos2_4]]="#",1,0)</f>
        <v>0</v>
      </c>
      <c r="N291" s="1">
        <f>MOD(ROW(aoc_03_input[[#This Row],[CountRow2_5]])+1,2)</f>
        <v>0</v>
      </c>
      <c r="O291" s="1">
        <f t="shared" si="24"/>
        <v>145</v>
      </c>
      <c r="P291" s="1" t="str">
        <f>MID(aoc_03_input[[#This Row],[Forest]],MOD(aoc_03_input[[#This Row],[Pos2_5]]-1,LEN(aoc_03_input[[#This Row],[Forest]]))+1,1)</f>
        <v>.</v>
      </c>
      <c r="Q291" s="1">
        <f>IF(AND(aoc_03_input[[#This Row],[CountRow2_5]]=1,aoc_03_input[[#This Row],[CharAtPos2_5]]="#"),1,0)</f>
        <v>0</v>
      </c>
    </row>
    <row r="292" spans="1:17" x14ac:dyDescent="0.45">
      <c r="A292" s="1" t="s">
        <v>1676</v>
      </c>
      <c r="B292" s="1">
        <f t="shared" si="20"/>
        <v>871</v>
      </c>
      <c r="C292" s="1" t="str">
        <f>MID(aoc_03_input[[#This Row],[Forest]],MOD(aoc_03_input[[#This Row],[Pos1]]-1,LEN(aoc_03_input[[#This Row],[Forest]]))+1,1)</f>
        <v>#</v>
      </c>
      <c r="D292" s="1">
        <f>IF(aoc_03_input[[#This Row],[CharAtPos1]]="#",1,0)</f>
        <v>1</v>
      </c>
      <c r="E292" s="1">
        <f t="shared" si="21"/>
        <v>291</v>
      </c>
      <c r="F292" s="1" t="str">
        <f>MID(aoc_03_input[[#This Row],[Forest]],MOD(aoc_03_input[[#This Row],[Pos2_1]]-1,LEN(aoc_03_input[[#This Row],[Forest]]))+1,1)</f>
        <v>#</v>
      </c>
      <c r="G292" s="1">
        <f>IF(aoc_03_input[[#This Row],[CharAtPos2_1]]="#",1,0)</f>
        <v>1</v>
      </c>
      <c r="H292" s="1">
        <f t="shared" si="22"/>
        <v>1451</v>
      </c>
      <c r="I292" s="1" t="str">
        <f>MID(aoc_03_input[[#This Row],[Forest]],MOD(aoc_03_input[[#This Row],[Pos2_3]]-1,LEN(aoc_03_input[[#This Row],[Forest]]))+1,1)</f>
        <v>.</v>
      </c>
      <c r="J292" s="1">
        <f>IF(aoc_03_input[[#This Row],[CharAtPos2_3]]="#",1,0)</f>
        <v>0</v>
      </c>
      <c r="K292" s="1">
        <f t="shared" si="23"/>
        <v>2031</v>
      </c>
      <c r="L292" s="1" t="str">
        <f>MID(aoc_03_input[[#This Row],[Forest]],MOD(aoc_03_input[[#This Row],[Pos2_4]]-1,LEN(aoc_03_input[[#This Row],[Forest]]))+1,1)</f>
        <v>.</v>
      </c>
      <c r="M292" s="1">
        <f>IF(aoc_03_input[[#This Row],[CharAtPos2_4]]="#",1,0)</f>
        <v>0</v>
      </c>
      <c r="N292" s="1">
        <f>MOD(ROW(aoc_03_input[[#This Row],[CountRow2_5]])+1,2)</f>
        <v>1</v>
      </c>
      <c r="O292" s="1">
        <f t="shared" si="24"/>
        <v>146</v>
      </c>
      <c r="P292" s="1" t="str">
        <f>MID(aoc_03_input[[#This Row],[Forest]],MOD(aoc_03_input[[#This Row],[Pos2_5]]-1,LEN(aoc_03_input[[#This Row],[Forest]]))+1,1)</f>
        <v>.</v>
      </c>
      <c r="Q292" s="1">
        <f>IF(AND(aoc_03_input[[#This Row],[CountRow2_5]]=1,aoc_03_input[[#This Row],[CharAtPos2_5]]="#"),1,0)</f>
        <v>0</v>
      </c>
    </row>
    <row r="293" spans="1:17" x14ac:dyDescent="0.45">
      <c r="A293" s="1" t="s">
        <v>1677</v>
      </c>
      <c r="B293" s="1">
        <f t="shared" si="20"/>
        <v>874</v>
      </c>
      <c r="C293" s="1" t="str">
        <f>MID(aoc_03_input[[#This Row],[Forest]],MOD(aoc_03_input[[#This Row],[Pos1]]-1,LEN(aoc_03_input[[#This Row],[Forest]]))+1,1)</f>
        <v>.</v>
      </c>
      <c r="D293" s="1">
        <f>IF(aoc_03_input[[#This Row],[CharAtPos1]]="#",1,0)</f>
        <v>0</v>
      </c>
      <c r="E293" s="1">
        <f t="shared" si="21"/>
        <v>292</v>
      </c>
      <c r="F293" s="1" t="str">
        <f>MID(aoc_03_input[[#This Row],[Forest]],MOD(aoc_03_input[[#This Row],[Pos2_1]]-1,LEN(aoc_03_input[[#This Row],[Forest]]))+1,1)</f>
        <v>#</v>
      </c>
      <c r="G293" s="1">
        <f>IF(aoc_03_input[[#This Row],[CharAtPos2_1]]="#",1,0)</f>
        <v>1</v>
      </c>
      <c r="H293" s="1">
        <f t="shared" si="22"/>
        <v>1456</v>
      </c>
      <c r="I293" s="1" t="str">
        <f>MID(aoc_03_input[[#This Row],[Forest]],MOD(aoc_03_input[[#This Row],[Pos2_3]]-1,LEN(aoc_03_input[[#This Row],[Forest]]))+1,1)</f>
        <v>.</v>
      </c>
      <c r="J293" s="1">
        <f>IF(aoc_03_input[[#This Row],[CharAtPos2_3]]="#",1,0)</f>
        <v>0</v>
      </c>
      <c r="K293" s="1">
        <f t="shared" si="23"/>
        <v>2038</v>
      </c>
      <c r="L293" s="1" t="str">
        <f>MID(aoc_03_input[[#This Row],[Forest]],MOD(aoc_03_input[[#This Row],[Pos2_4]]-1,LEN(aoc_03_input[[#This Row],[Forest]]))+1,1)</f>
        <v>.</v>
      </c>
      <c r="M293" s="1">
        <f>IF(aoc_03_input[[#This Row],[CharAtPos2_4]]="#",1,0)</f>
        <v>0</v>
      </c>
      <c r="N293" s="1">
        <f>MOD(ROW(aoc_03_input[[#This Row],[CountRow2_5]])+1,2)</f>
        <v>0</v>
      </c>
      <c r="O293" s="1">
        <f t="shared" si="24"/>
        <v>146</v>
      </c>
      <c r="P293" s="1" t="str">
        <f>MID(aoc_03_input[[#This Row],[Forest]],MOD(aoc_03_input[[#This Row],[Pos2_5]]-1,LEN(aoc_03_input[[#This Row],[Forest]]))+1,1)</f>
        <v>#</v>
      </c>
      <c r="Q293" s="1">
        <f>IF(AND(aoc_03_input[[#This Row],[CountRow2_5]]=1,aoc_03_input[[#This Row],[CharAtPos2_5]]="#"),1,0)</f>
        <v>0</v>
      </c>
    </row>
    <row r="294" spans="1:17" x14ac:dyDescent="0.45">
      <c r="A294" s="1" t="s">
        <v>1678</v>
      </c>
      <c r="B294" s="1">
        <f t="shared" si="20"/>
        <v>877</v>
      </c>
      <c r="C294" s="1" t="str">
        <f>MID(aoc_03_input[[#This Row],[Forest]],MOD(aoc_03_input[[#This Row],[Pos1]]-1,LEN(aoc_03_input[[#This Row],[Forest]]))+1,1)</f>
        <v>#</v>
      </c>
      <c r="D294" s="1">
        <f>IF(aoc_03_input[[#This Row],[CharAtPos1]]="#",1,0)</f>
        <v>1</v>
      </c>
      <c r="E294" s="1">
        <f t="shared" si="21"/>
        <v>293</v>
      </c>
      <c r="F294" s="1" t="str">
        <f>MID(aoc_03_input[[#This Row],[Forest]],MOD(aoc_03_input[[#This Row],[Pos2_1]]-1,LEN(aoc_03_input[[#This Row],[Forest]]))+1,1)</f>
        <v>.</v>
      </c>
      <c r="G294" s="1">
        <f>IF(aoc_03_input[[#This Row],[CharAtPos2_1]]="#",1,0)</f>
        <v>0</v>
      </c>
      <c r="H294" s="1">
        <f t="shared" si="22"/>
        <v>1461</v>
      </c>
      <c r="I294" s="1" t="str">
        <f>MID(aoc_03_input[[#This Row],[Forest]],MOD(aoc_03_input[[#This Row],[Pos2_3]]-1,LEN(aoc_03_input[[#This Row],[Forest]]))+1,1)</f>
        <v>.</v>
      </c>
      <c r="J294" s="1">
        <f>IF(aoc_03_input[[#This Row],[CharAtPos2_3]]="#",1,0)</f>
        <v>0</v>
      </c>
      <c r="K294" s="1">
        <f t="shared" si="23"/>
        <v>2045</v>
      </c>
      <c r="L294" s="1" t="str">
        <f>MID(aoc_03_input[[#This Row],[Forest]],MOD(aoc_03_input[[#This Row],[Pos2_4]]-1,LEN(aoc_03_input[[#This Row],[Forest]]))+1,1)</f>
        <v>.</v>
      </c>
      <c r="M294" s="1">
        <f>IF(aoc_03_input[[#This Row],[CharAtPos2_4]]="#",1,0)</f>
        <v>0</v>
      </c>
      <c r="N294" s="1">
        <f>MOD(ROW(aoc_03_input[[#This Row],[CountRow2_5]])+1,2)</f>
        <v>1</v>
      </c>
      <c r="O294" s="1">
        <f t="shared" si="24"/>
        <v>147</v>
      </c>
      <c r="P294" s="1" t="str">
        <f>MID(aoc_03_input[[#This Row],[Forest]],MOD(aoc_03_input[[#This Row],[Pos2_5]]-1,LEN(aoc_03_input[[#This Row],[Forest]]))+1,1)</f>
        <v>#</v>
      </c>
      <c r="Q294" s="1">
        <f>IF(AND(aoc_03_input[[#This Row],[CountRow2_5]]=1,aoc_03_input[[#This Row],[CharAtPos2_5]]="#"),1,0)</f>
        <v>1</v>
      </c>
    </row>
    <row r="295" spans="1:17" x14ac:dyDescent="0.45">
      <c r="A295" s="1" t="s">
        <v>1679</v>
      </c>
      <c r="B295" s="1">
        <f t="shared" si="20"/>
        <v>880</v>
      </c>
      <c r="C295" s="1" t="str">
        <f>MID(aoc_03_input[[#This Row],[Forest]],MOD(aoc_03_input[[#This Row],[Pos1]]-1,LEN(aoc_03_input[[#This Row],[Forest]]))+1,1)</f>
        <v>.</v>
      </c>
      <c r="D295" s="1">
        <f>IF(aoc_03_input[[#This Row],[CharAtPos1]]="#",1,0)</f>
        <v>0</v>
      </c>
      <c r="E295" s="1">
        <f t="shared" si="21"/>
        <v>294</v>
      </c>
      <c r="F295" s="1" t="str">
        <f>MID(aoc_03_input[[#This Row],[Forest]],MOD(aoc_03_input[[#This Row],[Pos2_1]]-1,LEN(aoc_03_input[[#This Row],[Forest]]))+1,1)</f>
        <v>.</v>
      </c>
      <c r="G295" s="1">
        <f>IF(aoc_03_input[[#This Row],[CharAtPos2_1]]="#",1,0)</f>
        <v>0</v>
      </c>
      <c r="H295" s="1">
        <f t="shared" si="22"/>
        <v>1466</v>
      </c>
      <c r="I295" s="1" t="str">
        <f>MID(aoc_03_input[[#This Row],[Forest]],MOD(aoc_03_input[[#This Row],[Pos2_3]]-1,LEN(aoc_03_input[[#This Row],[Forest]]))+1,1)</f>
        <v>.</v>
      </c>
      <c r="J295" s="1">
        <f>IF(aoc_03_input[[#This Row],[CharAtPos2_3]]="#",1,0)</f>
        <v>0</v>
      </c>
      <c r="K295" s="1">
        <f t="shared" si="23"/>
        <v>2052</v>
      </c>
      <c r="L295" s="1" t="str">
        <f>MID(aoc_03_input[[#This Row],[Forest]],MOD(aoc_03_input[[#This Row],[Pos2_4]]-1,LEN(aoc_03_input[[#This Row],[Forest]]))+1,1)</f>
        <v>.</v>
      </c>
      <c r="M295" s="1">
        <f>IF(aoc_03_input[[#This Row],[CharAtPos2_4]]="#",1,0)</f>
        <v>0</v>
      </c>
      <c r="N295" s="1">
        <f>MOD(ROW(aoc_03_input[[#This Row],[CountRow2_5]])+1,2)</f>
        <v>0</v>
      </c>
      <c r="O295" s="1">
        <f t="shared" si="24"/>
        <v>147</v>
      </c>
      <c r="P295" s="1" t="str">
        <f>MID(aoc_03_input[[#This Row],[Forest]],MOD(aoc_03_input[[#This Row],[Pos2_5]]-1,LEN(aoc_03_input[[#This Row],[Forest]]))+1,1)</f>
        <v>.</v>
      </c>
      <c r="Q295" s="1">
        <f>IF(AND(aoc_03_input[[#This Row],[CountRow2_5]]=1,aoc_03_input[[#This Row],[CharAtPos2_5]]="#"),1,0)</f>
        <v>0</v>
      </c>
    </row>
    <row r="296" spans="1:17" x14ac:dyDescent="0.45">
      <c r="A296" s="1" t="s">
        <v>1680</v>
      </c>
      <c r="B296" s="1">
        <f t="shared" si="20"/>
        <v>883</v>
      </c>
      <c r="C296" s="1" t="str">
        <f>MID(aoc_03_input[[#This Row],[Forest]],MOD(aoc_03_input[[#This Row],[Pos1]]-1,LEN(aoc_03_input[[#This Row],[Forest]]))+1,1)</f>
        <v>.</v>
      </c>
      <c r="D296" s="1">
        <f>IF(aoc_03_input[[#This Row],[CharAtPos1]]="#",1,0)</f>
        <v>0</v>
      </c>
      <c r="E296" s="1">
        <f t="shared" si="21"/>
        <v>295</v>
      </c>
      <c r="F296" s="1" t="str">
        <f>MID(aoc_03_input[[#This Row],[Forest]],MOD(aoc_03_input[[#This Row],[Pos2_1]]-1,LEN(aoc_03_input[[#This Row],[Forest]]))+1,1)</f>
        <v>.</v>
      </c>
      <c r="G296" s="1">
        <f>IF(aoc_03_input[[#This Row],[CharAtPos2_1]]="#",1,0)</f>
        <v>0</v>
      </c>
      <c r="H296" s="1">
        <f t="shared" si="22"/>
        <v>1471</v>
      </c>
      <c r="I296" s="1" t="str">
        <f>MID(aoc_03_input[[#This Row],[Forest]],MOD(aoc_03_input[[#This Row],[Pos2_3]]-1,LEN(aoc_03_input[[#This Row],[Forest]]))+1,1)</f>
        <v>.</v>
      </c>
      <c r="J296" s="1">
        <f>IF(aoc_03_input[[#This Row],[CharAtPos2_3]]="#",1,0)</f>
        <v>0</v>
      </c>
      <c r="K296" s="1">
        <f t="shared" si="23"/>
        <v>2059</v>
      </c>
      <c r="L296" s="1" t="str">
        <f>MID(aoc_03_input[[#This Row],[Forest]],MOD(aoc_03_input[[#This Row],[Pos2_4]]-1,LEN(aoc_03_input[[#This Row],[Forest]]))+1,1)</f>
        <v>#</v>
      </c>
      <c r="M296" s="1">
        <f>IF(aoc_03_input[[#This Row],[CharAtPos2_4]]="#",1,0)</f>
        <v>1</v>
      </c>
      <c r="N296" s="1">
        <f>MOD(ROW(aoc_03_input[[#This Row],[CountRow2_5]])+1,2)</f>
        <v>1</v>
      </c>
      <c r="O296" s="1">
        <f t="shared" si="24"/>
        <v>148</v>
      </c>
      <c r="P296" s="1" t="str">
        <f>MID(aoc_03_input[[#This Row],[Forest]],MOD(aoc_03_input[[#This Row],[Pos2_5]]-1,LEN(aoc_03_input[[#This Row],[Forest]]))+1,1)</f>
        <v>.</v>
      </c>
      <c r="Q296" s="1">
        <f>IF(AND(aoc_03_input[[#This Row],[CountRow2_5]]=1,aoc_03_input[[#This Row],[CharAtPos2_5]]="#"),1,0)</f>
        <v>0</v>
      </c>
    </row>
    <row r="297" spans="1:17" x14ac:dyDescent="0.45">
      <c r="A297" s="1" t="s">
        <v>1681</v>
      </c>
      <c r="B297" s="1">
        <f t="shared" si="20"/>
        <v>886</v>
      </c>
      <c r="C297" s="1" t="str">
        <f>MID(aoc_03_input[[#This Row],[Forest]],MOD(aoc_03_input[[#This Row],[Pos1]]-1,LEN(aoc_03_input[[#This Row],[Forest]]))+1,1)</f>
        <v>.</v>
      </c>
      <c r="D297" s="1">
        <f>IF(aoc_03_input[[#This Row],[CharAtPos1]]="#",1,0)</f>
        <v>0</v>
      </c>
      <c r="E297" s="1">
        <f t="shared" si="21"/>
        <v>296</v>
      </c>
      <c r="F297" s="1" t="str">
        <f>MID(aoc_03_input[[#This Row],[Forest]],MOD(aoc_03_input[[#This Row],[Pos2_1]]-1,LEN(aoc_03_input[[#This Row],[Forest]]))+1,1)</f>
        <v>.</v>
      </c>
      <c r="G297" s="1">
        <f>IF(aoc_03_input[[#This Row],[CharAtPos2_1]]="#",1,0)</f>
        <v>0</v>
      </c>
      <c r="H297" s="1">
        <f t="shared" si="22"/>
        <v>1476</v>
      </c>
      <c r="I297" s="1" t="str">
        <f>MID(aoc_03_input[[#This Row],[Forest]],MOD(aoc_03_input[[#This Row],[Pos2_3]]-1,LEN(aoc_03_input[[#This Row],[Forest]]))+1,1)</f>
        <v>#</v>
      </c>
      <c r="J297" s="1">
        <f>IF(aoc_03_input[[#This Row],[CharAtPos2_3]]="#",1,0)</f>
        <v>1</v>
      </c>
      <c r="K297" s="1">
        <f t="shared" si="23"/>
        <v>2066</v>
      </c>
      <c r="L297" s="1" t="str">
        <f>MID(aoc_03_input[[#This Row],[Forest]],MOD(aoc_03_input[[#This Row],[Pos2_4]]-1,LEN(aoc_03_input[[#This Row],[Forest]]))+1,1)</f>
        <v>#</v>
      </c>
      <c r="M297" s="1">
        <f>IF(aoc_03_input[[#This Row],[CharAtPos2_4]]="#",1,0)</f>
        <v>1</v>
      </c>
      <c r="N297" s="1">
        <f>MOD(ROW(aoc_03_input[[#This Row],[CountRow2_5]])+1,2)</f>
        <v>0</v>
      </c>
      <c r="O297" s="1">
        <f t="shared" si="24"/>
        <v>148</v>
      </c>
      <c r="P297" s="1" t="str">
        <f>MID(aoc_03_input[[#This Row],[Forest]],MOD(aoc_03_input[[#This Row],[Pos2_5]]-1,LEN(aoc_03_input[[#This Row],[Forest]]))+1,1)</f>
        <v>.</v>
      </c>
      <c r="Q297" s="1">
        <f>IF(AND(aoc_03_input[[#This Row],[CountRow2_5]]=1,aoc_03_input[[#This Row],[CharAtPos2_5]]="#"),1,0)</f>
        <v>0</v>
      </c>
    </row>
    <row r="298" spans="1:17" x14ac:dyDescent="0.45">
      <c r="A298" s="1" t="s">
        <v>1682</v>
      </c>
      <c r="B298" s="1">
        <f t="shared" si="20"/>
        <v>889</v>
      </c>
      <c r="C298" s="1" t="str">
        <f>MID(aoc_03_input[[#This Row],[Forest]],MOD(aoc_03_input[[#This Row],[Pos1]]-1,LEN(aoc_03_input[[#This Row],[Forest]]))+1,1)</f>
        <v>.</v>
      </c>
      <c r="D298" s="1">
        <f>IF(aoc_03_input[[#This Row],[CharAtPos1]]="#",1,0)</f>
        <v>0</v>
      </c>
      <c r="E298" s="1">
        <f t="shared" si="21"/>
        <v>297</v>
      </c>
      <c r="F298" s="1" t="str">
        <f>MID(aoc_03_input[[#This Row],[Forest]],MOD(aoc_03_input[[#This Row],[Pos2_1]]-1,LEN(aoc_03_input[[#This Row],[Forest]]))+1,1)</f>
        <v>#</v>
      </c>
      <c r="G298" s="1">
        <f>IF(aoc_03_input[[#This Row],[CharAtPos2_1]]="#",1,0)</f>
        <v>1</v>
      </c>
      <c r="H298" s="1">
        <f t="shared" si="22"/>
        <v>1481</v>
      </c>
      <c r="I298" s="1" t="str">
        <f>MID(aoc_03_input[[#This Row],[Forest]],MOD(aoc_03_input[[#This Row],[Pos2_3]]-1,LEN(aoc_03_input[[#This Row],[Forest]]))+1,1)</f>
        <v>.</v>
      </c>
      <c r="J298" s="1">
        <f>IF(aoc_03_input[[#This Row],[CharAtPos2_3]]="#",1,0)</f>
        <v>0</v>
      </c>
      <c r="K298" s="1">
        <f t="shared" si="23"/>
        <v>2073</v>
      </c>
      <c r="L298" s="1" t="str">
        <f>MID(aoc_03_input[[#This Row],[Forest]],MOD(aoc_03_input[[#This Row],[Pos2_4]]-1,LEN(aoc_03_input[[#This Row],[Forest]]))+1,1)</f>
        <v>.</v>
      </c>
      <c r="M298" s="1">
        <f>IF(aoc_03_input[[#This Row],[CharAtPos2_4]]="#",1,0)</f>
        <v>0</v>
      </c>
      <c r="N298" s="1">
        <f>MOD(ROW(aoc_03_input[[#This Row],[CountRow2_5]])+1,2)</f>
        <v>1</v>
      </c>
      <c r="O298" s="1">
        <f t="shared" si="24"/>
        <v>149</v>
      </c>
      <c r="P298" s="1" t="str">
        <f>MID(aoc_03_input[[#This Row],[Forest]],MOD(aoc_03_input[[#This Row],[Pos2_5]]-1,LEN(aoc_03_input[[#This Row],[Forest]]))+1,1)</f>
        <v>.</v>
      </c>
      <c r="Q298" s="1">
        <f>IF(AND(aoc_03_input[[#This Row],[CountRow2_5]]=1,aoc_03_input[[#This Row],[CharAtPos2_5]]="#"),1,0)</f>
        <v>0</v>
      </c>
    </row>
    <row r="299" spans="1:17" x14ac:dyDescent="0.45">
      <c r="A299" s="1" t="s">
        <v>1683</v>
      </c>
      <c r="B299" s="1">
        <f t="shared" si="20"/>
        <v>892</v>
      </c>
      <c r="C299" s="1" t="str">
        <f>MID(aoc_03_input[[#This Row],[Forest]],MOD(aoc_03_input[[#This Row],[Pos1]]-1,LEN(aoc_03_input[[#This Row],[Forest]]))+1,1)</f>
        <v>.</v>
      </c>
      <c r="D299" s="1">
        <f>IF(aoc_03_input[[#This Row],[CharAtPos1]]="#",1,0)</f>
        <v>0</v>
      </c>
      <c r="E299" s="1">
        <f t="shared" si="21"/>
        <v>298</v>
      </c>
      <c r="F299" s="1" t="str">
        <f>MID(aoc_03_input[[#This Row],[Forest]],MOD(aoc_03_input[[#This Row],[Pos2_1]]-1,LEN(aoc_03_input[[#This Row],[Forest]]))+1,1)</f>
        <v>.</v>
      </c>
      <c r="G299" s="1">
        <f>IF(aoc_03_input[[#This Row],[CharAtPos2_1]]="#",1,0)</f>
        <v>0</v>
      </c>
      <c r="H299" s="1">
        <f t="shared" si="22"/>
        <v>1486</v>
      </c>
      <c r="I299" s="1" t="str">
        <f>MID(aoc_03_input[[#This Row],[Forest]],MOD(aoc_03_input[[#This Row],[Pos2_3]]-1,LEN(aoc_03_input[[#This Row],[Forest]]))+1,1)</f>
        <v>.</v>
      </c>
      <c r="J299" s="1">
        <f>IF(aoc_03_input[[#This Row],[CharAtPos2_3]]="#",1,0)</f>
        <v>0</v>
      </c>
      <c r="K299" s="1">
        <f t="shared" si="23"/>
        <v>2080</v>
      </c>
      <c r="L299" s="1" t="str">
        <f>MID(aoc_03_input[[#This Row],[Forest]],MOD(aoc_03_input[[#This Row],[Pos2_4]]-1,LEN(aoc_03_input[[#This Row],[Forest]]))+1,1)</f>
        <v>#</v>
      </c>
      <c r="M299" s="1">
        <f>IF(aoc_03_input[[#This Row],[CharAtPos2_4]]="#",1,0)</f>
        <v>1</v>
      </c>
      <c r="N299" s="1">
        <f>MOD(ROW(aoc_03_input[[#This Row],[CountRow2_5]])+1,2)</f>
        <v>0</v>
      </c>
      <c r="O299" s="1">
        <f t="shared" si="24"/>
        <v>149</v>
      </c>
      <c r="P299" s="1" t="str">
        <f>MID(aoc_03_input[[#This Row],[Forest]],MOD(aoc_03_input[[#This Row],[Pos2_5]]-1,LEN(aoc_03_input[[#This Row],[Forest]]))+1,1)</f>
        <v>#</v>
      </c>
      <c r="Q299" s="1">
        <f>IF(AND(aoc_03_input[[#This Row],[CountRow2_5]]=1,aoc_03_input[[#This Row],[CharAtPos2_5]]="#"),1,0)</f>
        <v>0</v>
      </c>
    </row>
    <row r="300" spans="1:17" x14ac:dyDescent="0.45">
      <c r="A300" s="1" t="s">
        <v>1684</v>
      </c>
      <c r="B300" s="1">
        <f t="shared" si="20"/>
        <v>895</v>
      </c>
      <c r="C300" s="1" t="str">
        <f>MID(aoc_03_input[[#This Row],[Forest]],MOD(aoc_03_input[[#This Row],[Pos1]]-1,LEN(aoc_03_input[[#This Row],[Forest]]))+1,1)</f>
        <v>.</v>
      </c>
      <c r="D300" s="1">
        <f>IF(aoc_03_input[[#This Row],[CharAtPos1]]="#",1,0)</f>
        <v>0</v>
      </c>
      <c r="E300" s="1">
        <f t="shared" si="21"/>
        <v>299</v>
      </c>
      <c r="F300" s="1" t="str">
        <f>MID(aoc_03_input[[#This Row],[Forest]],MOD(aoc_03_input[[#This Row],[Pos2_1]]-1,LEN(aoc_03_input[[#This Row],[Forest]]))+1,1)</f>
        <v>.</v>
      </c>
      <c r="G300" s="1">
        <f>IF(aoc_03_input[[#This Row],[CharAtPos2_1]]="#",1,0)</f>
        <v>0</v>
      </c>
      <c r="H300" s="1">
        <f t="shared" si="22"/>
        <v>1491</v>
      </c>
      <c r="I300" s="1" t="str">
        <f>MID(aoc_03_input[[#This Row],[Forest]],MOD(aoc_03_input[[#This Row],[Pos2_3]]-1,LEN(aoc_03_input[[#This Row],[Forest]]))+1,1)</f>
        <v>.</v>
      </c>
      <c r="J300" s="1">
        <f>IF(aoc_03_input[[#This Row],[CharAtPos2_3]]="#",1,0)</f>
        <v>0</v>
      </c>
      <c r="K300" s="1">
        <f t="shared" si="23"/>
        <v>2087</v>
      </c>
      <c r="L300" s="1" t="str">
        <f>MID(aoc_03_input[[#This Row],[Forest]],MOD(aoc_03_input[[#This Row],[Pos2_4]]-1,LEN(aoc_03_input[[#This Row],[Forest]]))+1,1)</f>
        <v>#</v>
      </c>
      <c r="M300" s="1">
        <f>IF(aoc_03_input[[#This Row],[CharAtPos2_4]]="#",1,0)</f>
        <v>1</v>
      </c>
      <c r="N300" s="1">
        <f>MOD(ROW(aoc_03_input[[#This Row],[CountRow2_5]])+1,2)</f>
        <v>1</v>
      </c>
      <c r="O300" s="1">
        <f t="shared" si="24"/>
        <v>150</v>
      </c>
      <c r="P300" s="1" t="str">
        <f>MID(aoc_03_input[[#This Row],[Forest]],MOD(aoc_03_input[[#This Row],[Pos2_5]]-1,LEN(aoc_03_input[[#This Row],[Forest]]))+1,1)</f>
        <v>.</v>
      </c>
      <c r="Q300" s="1">
        <f>IF(AND(aoc_03_input[[#This Row],[CountRow2_5]]=1,aoc_03_input[[#This Row],[CharAtPos2_5]]="#"),1,0)</f>
        <v>0</v>
      </c>
    </row>
    <row r="301" spans="1:17" x14ac:dyDescent="0.45">
      <c r="A301" s="1" t="s">
        <v>1685</v>
      </c>
      <c r="B301" s="1">
        <f t="shared" si="20"/>
        <v>898</v>
      </c>
      <c r="C301" s="1" t="str">
        <f>MID(aoc_03_input[[#This Row],[Forest]],MOD(aoc_03_input[[#This Row],[Pos1]]-1,LEN(aoc_03_input[[#This Row],[Forest]]))+1,1)</f>
        <v>#</v>
      </c>
      <c r="D301" s="1">
        <f>IF(aoc_03_input[[#This Row],[CharAtPos1]]="#",1,0)</f>
        <v>1</v>
      </c>
      <c r="E301" s="1">
        <f t="shared" si="21"/>
        <v>300</v>
      </c>
      <c r="F301" s="1" t="str">
        <f>MID(aoc_03_input[[#This Row],[Forest]],MOD(aoc_03_input[[#This Row],[Pos2_1]]-1,LEN(aoc_03_input[[#This Row],[Forest]]))+1,1)</f>
        <v>.</v>
      </c>
      <c r="G301" s="1">
        <f>IF(aoc_03_input[[#This Row],[CharAtPos2_1]]="#",1,0)</f>
        <v>0</v>
      </c>
      <c r="H301" s="1">
        <f t="shared" si="22"/>
        <v>1496</v>
      </c>
      <c r="I301" s="1" t="str">
        <f>MID(aoc_03_input[[#This Row],[Forest]],MOD(aoc_03_input[[#This Row],[Pos2_3]]-1,LEN(aoc_03_input[[#This Row],[Forest]]))+1,1)</f>
        <v>.</v>
      </c>
      <c r="J301" s="1">
        <f>IF(aoc_03_input[[#This Row],[CharAtPos2_3]]="#",1,0)</f>
        <v>0</v>
      </c>
      <c r="K301" s="1">
        <f t="shared" si="23"/>
        <v>2094</v>
      </c>
      <c r="L301" s="1" t="str">
        <f>MID(aoc_03_input[[#This Row],[Forest]],MOD(aoc_03_input[[#This Row],[Pos2_4]]-1,LEN(aoc_03_input[[#This Row],[Forest]]))+1,1)</f>
        <v>#</v>
      </c>
      <c r="M301" s="1">
        <f>IF(aoc_03_input[[#This Row],[CharAtPos2_4]]="#",1,0)</f>
        <v>1</v>
      </c>
      <c r="N301" s="1">
        <f>MOD(ROW(aoc_03_input[[#This Row],[CountRow2_5]])+1,2)</f>
        <v>0</v>
      </c>
      <c r="O301" s="1">
        <f t="shared" si="24"/>
        <v>150</v>
      </c>
      <c r="P301" s="1" t="str">
        <f>MID(aoc_03_input[[#This Row],[Forest]],MOD(aoc_03_input[[#This Row],[Pos2_5]]-1,LEN(aoc_03_input[[#This Row],[Forest]]))+1,1)</f>
        <v>.</v>
      </c>
      <c r="Q301" s="1">
        <f>IF(AND(aoc_03_input[[#This Row],[CountRow2_5]]=1,aoc_03_input[[#This Row],[CharAtPos2_5]]="#"),1,0)</f>
        <v>0</v>
      </c>
    </row>
    <row r="302" spans="1:17" x14ac:dyDescent="0.45">
      <c r="A302" s="1" t="s">
        <v>1686</v>
      </c>
      <c r="B302" s="1">
        <f t="shared" si="20"/>
        <v>901</v>
      </c>
      <c r="C302" s="1" t="str">
        <f>MID(aoc_03_input[[#This Row],[Forest]],MOD(aoc_03_input[[#This Row],[Pos1]]-1,LEN(aoc_03_input[[#This Row],[Forest]]))+1,1)</f>
        <v>.</v>
      </c>
      <c r="D302" s="1">
        <f>IF(aoc_03_input[[#This Row],[CharAtPos1]]="#",1,0)</f>
        <v>0</v>
      </c>
      <c r="E302" s="1">
        <f t="shared" si="21"/>
        <v>301</v>
      </c>
      <c r="F302" s="1" t="str">
        <f>MID(aoc_03_input[[#This Row],[Forest]],MOD(aoc_03_input[[#This Row],[Pos2_1]]-1,LEN(aoc_03_input[[#This Row],[Forest]]))+1,1)</f>
        <v>.</v>
      </c>
      <c r="G302" s="1">
        <f>IF(aoc_03_input[[#This Row],[CharAtPos2_1]]="#",1,0)</f>
        <v>0</v>
      </c>
      <c r="H302" s="1">
        <f t="shared" si="22"/>
        <v>1501</v>
      </c>
      <c r="I302" s="1" t="str">
        <f>MID(aoc_03_input[[#This Row],[Forest]],MOD(aoc_03_input[[#This Row],[Pos2_3]]-1,LEN(aoc_03_input[[#This Row],[Forest]]))+1,1)</f>
        <v>.</v>
      </c>
      <c r="J302" s="1">
        <f>IF(aoc_03_input[[#This Row],[CharAtPos2_3]]="#",1,0)</f>
        <v>0</v>
      </c>
      <c r="K302" s="1">
        <f t="shared" si="23"/>
        <v>2101</v>
      </c>
      <c r="L302" s="1" t="str">
        <f>MID(aoc_03_input[[#This Row],[Forest]],MOD(aoc_03_input[[#This Row],[Pos2_4]]-1,LEN(aoc_03_input[[#This Row],[Forest]]))+1,1)</f>
        <v>.</v>
      </c>
      <c r="M302" s="1">
        <f>IF(aoc_03_input[[#This Row],[CharAtPos2_4]]="#",1,0)</f>
        <v>0</v>
      </c>
      <c r="N302" s="1">
        <f>MOD(ROW(aoc_03_input[[#This Row],[CountRow2_5]])+1,2)</f>
        <v>1</v>
      </c>
      <c r="O302" s="1">
        <f t="shared" si="24"/>
        <v>151</v>
      </c>
      <c r="P302" s="1" t="str">
        <f>MID(aoc_03_input[[#This Row],[Forest]],MOD(aoc_03_input[[#This Row],[Pos2_5]]-1,LEN(aoc_03_input[[#This Row],[Forest]]))+1,1)</f>
        <v>.</v>
      </c>
      <c r="Q302" s="1">
        <f>IF(AND(aoc_03_input[[#This Row],[CountRow2_5]]=1,aoc_03_input[[#This Row],[CharAtPos2_5]]="#"),1,0)</f>
        <v>0</v>
      </c>
    </row>
    <row r="303" spans="1:17" x14ac:dyDescent="0.45">
      <c r="A303" s="1" t="s">
        <v>1687</v>
      </c>
      <c r="B303" s="1">
        <f t="shared" si="20"/>
        <v>904</v>
      </c>
      <c r="C303" s="1" t="str">
        <f>MID(aoc_03_input[[#This Row],[Forest]],MOD(aoc_03_input[[#This Row],[Pos1]]-1,LEN(aoc_03_input[[#This Row],[Forest]]))+1,1)</f>
        <v>.</v>
      </c>
      <c r="D303" s="1">
        <f>IF(aoc_03_input[[#This Row],[CharAtPos1]]="#",1,0)</f>
        <v>0</v>
      </c>
      <c r="E303" s="1">
        <f t="shared" si="21"/>
        <v>302</v>
      </c>
      <c r="F303" s="1" t="str">
        <f>MID(aoc_03_input[[#This Row],[Forest]],MOD(aoc_03_input[[#This Row],[Pos2_1]]-1,LEN(aoc_03_input[[#This Row],[Forest]]))+1,1)</f>
        <v>#</v>
      </c>
      <c r="G303" s="1">
        <f>IF(aoc_03_input[[#This Row],[CharAtPos2_1]]="#",1,0)</f>
        <v>1</v>
      </c>
      <c r="H303" s="1">
        <f t="shared" si="22"/>
        <v>1506</v>
      </c>
      <c r="I303" s="1" t="str">
        <f>MID(aoc_03_input[[#This Row],[Forest]],MOD(aoc_03_input[[#This Row],[Pos2_3]]-1,LEN(aoc_03_input[[#This Row],[Forest]]))+1,1)</f>
        <v>.</v>
      </c>
      <c r="J303" s="1">
        <f>IF(aoc_03_input[[#This Row],[CharAtPos2_3]]="#",1,0)</f>
        <v>0</v>
      </c>
      <c r="K303" s="1">
        <f t="shared" si="23"/>
        <v>2108</v>
      </c>
      <c r="L303" s="1" t="str">
        <f>MID(aoc_03_input[[#This Row],[Forest]],MOD(aoc_03_input[[#This Row],[Pos2_4]]-1,LEN(aoc_03_input[[#This Row],[Forest]]))+1,1)</f>
        <v>.</v>
      </c>
      <c r="M303" s="1">
        <f>IF(aoc_03_input[[#This Row],[CharAtPos2_4]]="#",1,0)</f>
        <v>0</v>
      </c>
      <c r="N303" s="1">
        <f>MOD(ROW(aoc_03_input[[#This Row],[CountRow2_5]])+1,2)</f>
        <v>0</v>
      </c>
      <c r="O303" s="1">
        <f t="shared" si="24"/>
        <v>151</v>
      </c>
      <c r="P303" s="1" t="str">
        <f>MID(aoc_03_input[[#This Row],[Forest]],MOD(aoc_03_input[[#This Row],[Pos2_5]]-1,LEN(aoc_03_input[[#This Row],[Forest]]))+1,1)</f>
        <v>.</v>
      </c>
      <c r="Q303" s="1">
        <f>IF(AND(aoc_03_input[[#This Row],[CountRow2_5]]=1,aoc_03_input[[#This Row],[CharAtPos2_5]]="#"),1,0)</f>
        <v>0</v>
      </c>
    </row>
    <row r="304" spans="1:17" x14ac:dyDescent="0.45">
      <c r="A304" s="1" t="s">
        <v>1688</v>
      </c>
      <c r="B304" s="1">
        <f t="shared" si="20"/>
        <v>907</v>
      </c>
      <c r="C304" s="1" t="str">
        <f>MID(aoc_03_input[[#This Row],[Forest]],MOD(aoc_03_input[[#This Row],[Pos1]]-1,LEN(aoc_03_input[[#This Row],[Forest]]))+1,1)</f>
        <v>.</v>
      </c>
      <c r="D304" s="1">
        <f>IF(aoc_03_input[[#This Row],[CharAtPos1]]="#",1,0)</f>
        <v>0</v>
      </c>
      <c r="E304" s="1">
        <f t="shared" si="21"/>
        <v>303</v>
      </c>
      <c r="F304" s="1" t="str">
        <f>MID(aoc_03_input[[#This Row],[Forest]],MOD(aoc_03_input[[#This Row],[Pos2_1]]-1,LEN(aoc_03_input[[#This Row],[Forest]]))+1,1)</f>
        <v>.</v>
      </c>
      <c r="G304" s="1">
        <f>IF(aoc_03_input[[#This Row],[CharAtPos2_1]]="#",1,0)</f>
        <v>0</v>
      </c>
      <c r="H304" s="1">
        <f t="shared" si="22"/>
        <v>1511</v>
      </c>
      <c r="I304" s="1" t="str">
        <f>MID(aoc_03_input[[#This Row],[Forest]],MOD(aoc_03_input[[#This Row],[Pos2_3]]-1,LEN(aoc_03_input[[#This Row],[Forest]]))+1,1)</f>
        <v>.</v>
      </c>
      <c r="J304" s="1">
        <f>IF(aoc_03_input[[#This Row],[CharAtPos2_3]]="#",1,0)</f>
        <v>0</v>
      </c>
      <c r="K304" s="1">
        <f t="shared" si="23"/>
        <v>2115</v>
      </c>
      <c r="L304" s="1" t="str">
        <f>MID(aoc_03_input[[#This Row],[Forest]],MOD(aoc_03_input[[#This Row],[Pos2_4]]-1,LEN(aoc_03_input[[#This Row],[Forest]]))+1,1)</f>
        <v>#</v>
      </c>
      <c r="M304" s="1">
        <f>IF(aoc_03_input[[#This Row],[CharAtPos2_4]]="#",1,0)</f>
        <v>1</v>
      </c>
      <c r="N304" s="1">
        <f>MOD(ROW(aoc_03_input[[#This Row],[CountRow2_5]])+1,2)</f>
        <v>1</v>
      </c>
      <c r="O304" s="1">
        <f t="shared" si="24"/>
        <v>152</v>
      </c>
      <c r="P304" s="1" t="str">
        <f>MID(aoc_03_input[[#This Row],[Forest]],MOD(aoc_03_input[[#This Row],[Pos2_5]]-1,LEN(aoc_03_input[[#This Row],[Forest]]))+1,1)</f>
        <v>.</v>
      </c>
      <c r="Q304" s="1">
        <f>IF(AND(aoc_03_input[[#This Row],[CountRow2_5]]=1,aoc_03_input[[#This Row],[CharAtPos2_5]]="#"),1,0)</f>
        <v>0</v>
      </c>
    </row>
    <row r="305" spans="1:17" x14ac:dyDescent="0.45">
      <c r="A305" s="1" t="s">
        <v>1689</v>
      </c>
      <c r="B305" s="1">
        <f t="shared" si="20"/>
        <v>910</v>
      </c>
      <c r="C305" s="1" t="str">
        <f>MID(aoc_03_input[[#This Row],[Forest]],MOD(aoc_03_input[[#This Row],[Pos1]]-1,LEN(aoc_03_input[[#This Row],[Forest]]))+1,1)</f>
        <v>.</v>
      </c>
      <c r="D305" s="1">
        <f>IF(aoc_03_input[[#This Row],[CharAtPos1]]="#",1,0)</f>
        <v>0</v>
      </c>
      <c r="E305" s="1">
        <f t="shared" si="21"/>
        <v>304</v>
      </c>
      <c r="F305" s="1" t="str">
        <f>MID(aoc_03_input[[#This Row],[Forest]],MOD(aoc_03_input[[#This Row],[Pos2_1]]-1,LEN(aoc_03_input[[#This Row],[Forest]]))+1,1)</f>
        <v>.</v>
      </c>
      <c r="G305" s="1">
        <f>IF(aoc_03_input[[#This Row],[CharAtPos2_1]]="#",1,0)</f>
        <v>0</v>
      </c>
      <c r="H305" s="1">
        <f t="shared" si="22"/>
        <v>1516</v>
      </c>
      <c r="I305" s="1" t="str">
        <f>MID(aoc_03_input[[#This Row],[Forest]],MOD(aoc_03_input[[#This Row],[Pos2_3]]-1,LEN(aoc_03_input[[#This Row],[Forest]]))+1,1)</f>
        <v>.</v>
      </c>
      <c r="J305" s="1">
        <f>IF(aoc_03_input[[#This Row],[CharAtPos2_3]]="#",1,0)</f>
        <v>0</v>
      </c>
      <c r="K305" s="1">
        <f t="shared" si="23"/>
        <v>2122</v>
      </c>
      <c r="L305" s="1" t="str">
        <f>MID(aoc_03_input[[#This Row],[Forest]],MOD(aoc_03_input[[#This Row],[Pos2_4]]-1,LEN(aoc_03_input[[#This Row],[Forest]]))+1,1)</f>
        <v>#</v>
      </c>
      <c r="M305" s="1">
        <f>IF(aoc_03_input[[#This Row],[CharAtPos2_4]]="#",1,0)</f>
        <v>1</v>
      </c>
      <c r="N305" s="1">
        <f>MOD(ROW(aoc_03_input[[#This Row],[CountRow2_5]])+1,2)</f>
        <v>0</v>
      </c>
      <c r="O305" s="1">
        <f t="shared" si="24"/>
        <v>152</v>
      </c>
      <c r="P305" s="1" t="str">
        <f>MID(aoc_03_input[[#This Row],[Forest]],MOD(aoc_03_input[[#This Row],[Pos2_5]]-1,LEN(aoc_03_input[[#This Row],[Forest]]))+1,1)</f>
        <v>.</v>
      </c>
      <c r="Q305" s="1">
        <f>IF(AND(aoc_03_input[[#This Row],[CountRow2_5]]=1,aoc_03_input[[#This Row],[CharAtPos2_5]]="#"),1,0)</f>
        <v>0</v>
      </c>
    </row>
    <row r="306" spans="1:17" x14ac:dyDescent="0.45">
      <c r="A306" s="1" t="s">
        <v>1690</v>
      </c>
      <c r="B306" s="1">
        <f t="shared" si="20"/>
        <v>913</v>
      </c>
      <c r="C306" s="1" t="str">
        <f>MID(aoc_03_input[[#This Row],[Forest]],MOD(aoc_03_input[[#This Row],[Pos1]]-1,LEN(aoc_03_input[[#This Row],[Forest]]))+1,1)</f>
        <v>.</v>
      </c>
      <c r="D306" s="1">
        <f>IF(aoc_03_input[[#This Row],[CharAtPos1]]="#",1,0)</f>
        <v>0</v>
      </c>
      <c r="E306" s="1">
        <f t="shared" si="21"/>
        <v>305</v>
      </c>
      <c r="F306" s="1" t="str">
        <f>MID(aoc_03_input[[#This Row],[Forest]],MOD(aoc_03_input[[#This Row],[Pos2_1]]-1,LEN(aoc_03_input[[#This Row],[Forest]]))+1,1)</f>
        <v>.</v>
      </c>
      <c r="G306" s="1">
        <f>IF(aoc_03_input[[#This Row],[CharAtPos2_1]]="#",1,0)</f>
        <v>0</v>
      </c>
      <c r="H306" s="1">
        <f t="shared" si="22"/>
        <v>1521</v>
      </c>
      <c r="I306" s="1" t="str">
        <f>MID(aoc_03_input[[#This Row],[Forest]],MOD(aoc_03_input[[#This Row],[Pos2_3]]-1,LEN(aoc_03_input[[#This Row],[Forest]]))+1,1)</f>
        <v>.</v>
      </c>
      <c r="J306" s="1">
        <f>IF(aoc_03_input[[#This Row],[CharAtPos2_3]]="#",1,0)</f>
        <v>0</v>
      </c>
      <c r="K306" s="1">
        <f t="shared" si="23"/>
        <v>2129</v>
      </c>
      <c r="L306" s="1" t="str">
        <f>MID(aoc_03_input[[#This Row],[Forest]],MOD(aoc_03_input[[#This Row],[Pos2_4]]-1,LEN(aoc_03_input[[#This Row],[Forest]]))+1,1)</f>
        <v>#</v>
      </c>
      <c r="M306" s="1">
        <f>IF(aoc_03_input[[#This Row],[CharAtPos2_4]]="#",1,0)</f>
        <v>1</v>
      </c>
      <c r="N306" s="1">
        <f>MOD(ROW(aoc_03_input[[#This Row],[CountRow2_5]])+1,2)</f>
        <v>1</v>
      </c>
      <c r="O306" s="1">
        <f t="shared" si="24"/>
        <v>153</v>
      </c>
      <c r="P306" s="1" t="str">
        <f>MID(aoc_03_input[[#This Row],[Forest]],MOD(aoc_03_input[[#This Row],[Pos2_5]]-1,LEN(aoc_03_input[[#This Row],[Forest]]))+1,1)</f>
        <v>.</v>
      </c>
      <c r="Q306" s="1">
        <f>IF(AND(aoc_03_input[[#This Row],[CountRow2_5]]=1,aoc_03_input[[#This Row],[CharAtPos2_5]]="#"),1,0)</f>
        <v>0</v>
      </c>
    </row>
    <row r="307" spans="1:17" x14ac:dyDescent="0.45">
      <c r="A307" s="1" t="s">
        <v>1691</v>
      </c>
      <c r="B307" s="1">
        <f t="shared" si="20"/>
        <v>916</v>
      </c>
      <c r="C307" s="1" t="str">
        <f>MID(aoc_03_input[[#This Row],[Forest]],MOD(aoc_03_input[[#This Row],[Pos1]]-1,LEN(aoc_03_input[[#This Row],[Forest]]))+1,1)</f>
        <v>.</v>
      </c>
      <c r="D307" s="1">
        <f>IF(aoc_03_input[[#This Row],[CharAtPos1]]="#",1,0)</f>
        <v>0</v>
      </c>
      <c r="E307" s="1">
        <f t="shared" si="21"/>
        <v>306</v>
      </c>
      <c r="F307" s="1" t="str">
        <f>MID(aoc_03_input[[#This Row],[Forest]],MOD(aoc_03_input[[#This Row],[Pos2_1]]-1,LEN(aoc_03_input[[#This Row],[Forest]]))+1,1)</f>
        <v>.</v>
      </c>
      <c r="G307" s="1">
        <f>IF(aoc_03_input[[#This Row],[CharAtPos2_1]]="#",1,0)</f>
        <v>0</v>
      </c>
      <c r="H307" s="1">
        <f t="shared" si="22"/>
        <v>1526</v>
      </c>
      <c r="I307" s="1" t="str">
        <f>MID(aoc_03_input[[#This Row],[Forest]],MOD(aoc_03_input[[#This Row],[Pos2_3]]-1,LEN(aoc_03_input[[#This Row],[Forest]]))+1,1)</f>
        <v>.</v>
      </c>
      <c r="J307" s="1">
        <f>IF(aoc_03_input[[#This Row],[CharAtPos2_3]]="#",1,0)</f>
        <v>0</v>
      </c>
      <c r="K307" s="1">
        <f t="shared" si="23"/>
        <v>2136</v>
      </c>
      <c r="L307" s="1" t="str">
        <f>MID(aoc_03_input[[#This Row],[Forest]],MOD(aoc_03_input[[#This Row],[Pos2_4]]-1,LEN(aoc_03_input[[#This Row],[Forest]]))+1,1)</f>
        <v>.</v>
      </c>
      <c r="M307" s="1">
        <f>IF(aoc_03_input[[#This Row],[CharAtPos2_4]]="#",1,0)</f>
        <v>0</v>
      </c>
      <c r="N307" s="1">
        <f>MOD(ROW(aoc_03_input[[#This Row],[CountRow2_5]])+1,2)</f>
        <v>0</v>
      </c>
      <c r="O307" s="1">
        <f t="shared" si="24"/>
        <v>153</v>
      </c>
      <c r="P307" s="1" t="str">
        <f>MID(aoc_03_input[[#This Row],[Forest]],MOD(aoc_03_input[[#This Row],[Pos2_5]]-1,LEN(aoc_03_input[[#This Row],[Forest]]))+1,1)</f>
        <v>.</v>
      </c>
      <c r="Q307" s="1">
        <f>IF(AND(aoc_03_input[[#This Row],[CountRow2_5]]=1,aoc_03_input[[#This Row],[CharAtPos2_5]]="#"),1,0)</f>
        <v>0</v>
      </c>
    </row>
    <row r="308" spans="1:17" x14ac:dyDescent="0.45">
      <c r="A308" s="1" t="s">
        <v>1692</v>
      </c>
      <c r="B308" s="1">
        <f t="shared" si="20"/>
        <v>919</v>
      </c>
      <c r="C308" s="1" t="str">
        <f>MID(aoc_03_input[[#This Row],[Forest]],MOD(aoc_03_input[[#This Row],[Pos1]]-1,LEN(aoc_03_input[[#This Row],[Forest]]))+1,1)</f>
        <v>.</v>
      </c>
      <c r="D308" s="1">
        <f>IF(aoc_03_input[[#This Row],[CharAtPos1]]="#",1,0)</f>
        <v>0</v>
      </c>
      <c r="E308" s="1">
        <f t="shared" si="21"/>
        <v>307</v>
      </c>
      <c r="F308" s="1" t="str">
        <f>MID(aoc_03_input[[#This Row],[Forest]],MOD(aoc_03_input[[#This Row],[Pos2_1]]-1,LEN(aoc_03_input[[#This Row],[Forest]]))+1,1)</f>
        <v>.</v>
      </c>
      <c r="G308" s="1">
        <f>IF(aoc_03_input[[#This Row],[CharAtPos2_1]]="#",1,0)</f>
        <v>0</v>
      </c>
      <c r="H308" s="1">
        <f t="shared" si="22"/>
        <v>1531</v>
      </c>
      <c r="I308" s="1" t="str">
        <f>MID(aoc_03_input[[#This Row],[Forest]],MOD(aoc_03_input[[#This Row],[Pos2_3]]-1,LEN(aoc_03_input[[#This Row],[Forest]]))+1,1)</f>
        <v>#</v>
      </c>
      <c r="J308" s="1">
        <f>IF(aoc_03_input[[#This Row],[CharAtPos2_3]]="#",1,0)</f>
        <v>1</v>
      </c>
      <c r="K308" s="1">
        <f t="shared" si="23"/>
        <v>2143</v>
      </c>
      <c r="L308" s="1" t="str">
        <f>MID(aoc_03_input[[#This Row],[Forest]],MOD(aoc_03_input[[#This Row],[Pos2_4]]-1,LEN(aoc_03_input[[#This Row],[Forest]]))+1,1)</f>
        <v>.</v>
      </c>
      <c r="M308" s="1">
        <f>IF(aoc_03_input[[#This Row],[CharAtPos2_4]]="#",1,0)</f>
        <v>0</v>
      </c>
      <c r="N308" s="1">
        <f>MOD(ROW(aoc_03_input[[#This Row],[CountRow2_5]])+1,2)</f>
        <v>1</v>
      </c>
      <c r="O308" s="1">
        <f t="shared" si="24"/>
        <v>154</v>
      </c>
      <c r="P308" s="1" t="str">
        <f>MID(aoc_03_input[[#This Row],[Forest]],MOD(aoc_03_input[[#This Row],[Pos2_5]]-1,LEN(aoc_03_input[[#This Row],[Forest]]))+1,1)</f>
        <v>#</v>
      </c>
      <c r="Q308" s="1">
        <f>IF(AND(aoc_03_input[[#This Row],[CountRow2_5]]=1,aoc_03_input[[#This Row],[CharAtPos2_5]]="#"),1,0)</f>
        <v>1</v>
      </c>
    </row>
    <row r="309" spans="1:17" x14ac:dyDescent="0.45">
      <c r="A309" s="1" t="s">
        <v>1693</v>
      </c>
      <c r="B309" s="1">
        <f t="shared" si="20"/>
        <v>922</v>
      </c>
      <c r="C309" s="1" t="str">
        <f>MID(aoc_03_input[[#This Row],[Forest]],MOD(aoc_03_input[[#This Row],[Pos1]]-1,LEN(aoc_03_input[[#This Row],[Forest]]))+1,1)</f>
        <v>#</v>
      </c>
      <c r="D309" s="1">
        <f>IF(aoc_03_input[[#This Row],[CharAtPos1]]="#",1,0)</f>
        <v>1</v>
      </c>
      <c r="E309" s="1">
        <f t="shared" si="21"/>
        <v>308</v>
      </c>
      <c r="F309" s="1" t="str">
        <f>MID(aoc_03_input[[#This Row],[Forest]],MOD(aoc_03_input[[#This Row],[Pos2_1]]-1,LEN(aoc_03_input[[#This Row],[Forest]]))+1,1)</f>
        <v>.</v>
      </c>
      <c r="G309" s="1">
        <f>IF(aoc_03_input[[#This Row],[CharAtPos2_1]]="#",1,0)</f>
        <v>0</v>
      </c>
      <c r="H309" s="1">
        <f t="shared" si="22"/>
        <v>1536</v>
      </c>
      <c r="I309" s="1" t="str">
        <f>MID(aoc_03_input[[#This Row],[Forest]],MOD(aoc_03_input[[#This Row],[Pos2_3]]-1,LEN(aoc_03_input[[#This Row],[Forest]]))+1,1)</f>
        <v>.</v>
      </c>
      <c r="J309" s="1">
        <f>IF(aoc_03_input[[#This Row],[CharAtPos2_3]]="#",1,0)</f>
        <v>0</v>
      </c>
      <c r="K309" s="1">
        <f t="shared" si="23"/>
        <v>2150</v>
      </c>
      <c r="L309" s="1" t="str">
        <f>MID(aoc_03_input[[#This Row],[Forest]],MOD(aoc_03_input[[#This Row],[Pos2_4]]-1,LEN(aoc_03_input[[#This Row],[Forest]]))+1,1)</f>
        <v>#</v>
      </c>
      <c r="M309" s="1">
        <f>IF(aoc_03_input[[#This Row],[CharAtPos2_4]]="#",1,0)</f>
        <v>1</v>
      </c>
      <c r="N309" s="1">
        <f>MOD(ROW(aoc_03_input[[#This Row],[CountRow2_5]])+1,2)</f>
        <v>0</v>
      </c>
      <c r="O309" s="1">
        <f t="shared" si="24"/>
        <v>154</v>
      </c>
      <c r="P309" s="1" t="str">
        <f>MID(aoc_03_input[[#This Row],[Forest]],MOD(aoc_03_input[[#This Row],[Pos2_5]]-1,LEN(aoc_03_input[[#This Row],[Forest]]))+1,1)</f>
        <v>.</v>
      </c>
      <c r="Q309" s="1">
        <f>IF(AND(aoc_03_input[[#This Row],[CountRow2_5]]=1,aoc_03_input[[#This Row],[CharAtPos2_5]]="#"),1,0)</f>
        <v>0</v>
      </c>
    </row>
    <row r="310" spans="1:17" x14ac:dyDescent="0.45">
      <c r="A310" s="1" t="s">
        <v>1694</v>
      </c>
      <c r="B310" s="1">
        <f t="shared" si="20"/>
        <v>925</v>
      </c>
      <c r="C310" s="1" t="str">
        <f>MID(aoc_03_input[[#This Row],[Forest]],MOD(aoc_03_input[[#This Row],[Pos1]]-1,LEN(aoc_03_input[[#This Row],[Forest]]))+1,1)</f>
        <v>#</v>
      </c>
      <c r="D310" s="1">
        <f>IF(aoc_03_input[[#This Row],[CharAtPos1]]="#",1,0)</f>
        <v>1</v>
      </c>
      <c r="E310" s="1">
        <f t="shared" si="21"/>
        <v>309</v>
      </c>
      <c r="F310" s="1" t="str">
        <f>MID(aoc_03_input[[#This Row],[Forest]],MOD(aoc_03_input[[#This Row],[Pos2_1]]-1,LEN(aoc_03_input[[#This Row],[Forest]]))+1,1)</f>
        <v>.</v>
      </c>
      <c r="G310" s="1">
        <f>IF(aoc_03_input[[#This Row],[CharAtPos2_1]]="#",1,0)</f>
        <v>0</v>
      </c>
      <c r="H310" s="1">
        <f t="shared" si="22"/>
        <v>1541</v>
      </c>
      <c r="I310" s="1" t="str">
        <f>MID(aoc_03_input[[#This Row],[Forest]],MOD(aoc_03_input[[#This Row],[Pos2_3]]-1,LEN(aoc_03_input[[#This Row],[Forest]]))+1,1)</f>
        <v>.</v>
      </c>
      <c r="J310" s="1">
        <f>IF(aoc_03_input[[#This Row],[CharAtPos2_3]]="#",1,0)</f>
        <v>0</v>
      </c>
      <c r="K310" s="1">
        <f t="shared" si="23"/>
        <v>2157</v>
      </c>
      <c r="L310" s="1" t="str">
        <f>MID(aoc_03_input[[#This Row],[Forest]],MOD(aoc_03_input[[#This Row],[Pos2_4]]-1,LEN(aoc_03_input[[#This Row],[Forest]]))+1,1)</f>
        <v>.</v>
      </c>
      <c r="M310" s="1">
        <f>IF(aoc_03_input[[#This Row],[CharAtPos2_4]]="#",1,0)</f>
        <v>0</v>
      </c>
      <c r="N310" s="1">
        <f>MOD(ROW(aoc_03_input[[#This Row],[CountRow2_5]])+1,2)</f>
        <v>1</v>
      </c>
      <c r="O310" s="1">
        <f t="shared" si="24"/>
        <v>155</v>
      </c>
      <c r="P310" s="1" t="str">
        <f>MID(aoc_03_input[[#This Row],[Forest]],MOD(aoc_03_input[[#This Row],[Pos2_5]]-1,LEN(aoc_03_input[[#This Row],[Forest]]))+1,1)</f>
        <v>.</v>
      </c>
      <c r="Q310" s="1">
        <f>IF(AND(aoc_03_input[[#This Row],[CountRow2_5]]=1,aoc_03_input[[#This Row],[CharAtPos2_5]]="#"),1,0)</f>
        <v>0</v>
      </c>
    </row>
    <row r="311" spans="1:17" x14ac:dyDescent="0.45">
      <c r="A311" s="1" t="s">
        <v>1695</v>
      </c>
      <c r="B311" s="1">
        <f t="shared" si="20"/>
        <v>928</v>
      </c>
      <c r="C311" s="1" t="str">
        <f>MID(aoc_03_input[[#This Row],[Forest]],MOD(aoc_03_input[[#This Row],[Pos1]]-1,LEN(aoc_03_input[[#This Row],[Forest]]))+1,1)</f>
        <v>#</v>
      </c>
      <c r="D311" s="1">
        <f>IF(aoc_03_input[[#This Row],[CharAtPos1]]="#",1,0)</f>
        <v>1</v>
      </c>
      <c r="E311" s="1">
        <f t="shared" si="21"/>
        <v>310</v>
      </c>
      <c r="F311" s="1" t="str">
        <f>MID(aoc_03_input[[#This Row],[Forest]],MOD(aoc_03_input[[#This Row],[Pos2_1]]-1,LEN(aoc_03_input[[#This Row],[Forest]]))+1,1)</f>
        <v>.</v>
      </c>
      <c r="G311" s="1">
        <f>IF(aoc_03_input[[#This Row],[CharAtPos2_1]]="#",1,0)</f>
        <v>0</v>
      </c>
      <c r="H311" s="1">
        <f t="shared" si="22"/>
        <v>1546</v>
      </c>
      <c r="I311" s="1" t="str">
        <f>MID(aoc_03_input[[#This Row],[Forest]],MOD(aoc_03_input[[#This Row],[Pos2_3]]-1,LEN(aoc_03_input[[#This Row],[Forest]]))+1,1)</f>
        <v>.</v>
      </c>
      <c r="J311" s="1">
        <f>IF(aoc_03_input[[#This Row],[CharAtPos2_3]]="#",1,0)</f>
        <v>0</v>
      </c>
      <c r="K311" s="1">
        <f t="shared" si="23"/>
        <v>2164</v>
      </c>
      <c r="L311" s="1" t="str">
        <f>MID(aoc_03_input[[#This Row],[Forest]],MOD(aoc_03_input[[#This Row],[Pos2_4]]-1,LEN(aoc_03_input[[#This Row],[Forest]]))+1,1)</f>
        <v>.</v>
      </c>
      <c r="M311" s="1">
        <f>IF(aoc_03_input[[#This Row],[CharAtPos2_4]]="#",1,0)</f>
        <v>0</v>
      </c>
      <c r="N311" s="1">
        <f>MOD(ROW(aoc_03_input[[#This Row],[CountRow2_5]])+1,2)</f>
        <v>0</v>
      </c>
      <c r="O311" s="1">
        <f t="shared" si="24"/>
        <v>155</v>
      </c>
      <c r="P311" s="1" t="str">
        <f>MID(aoc_03_input[[#This Row],[Forest]],MOD(aoc_03_input[[#This Row],[Pos2_5]]-1,LEN(aoc_03_input[[#This Row],[Forest]]))+1,1)</f>
        <v>.</v>
      </c>
      <c r="Q311" s="1">
        <f>IF(AND(aoc_03_input[[#This Row],[CountRow2_5]]=1,aoc_03_input[[#This Row],[CharAtPos2_5]]="#"),1,0)</f>
        <v>0</v>
      </c>
    </row>
    <row r="312" spans="1:17" x14ac:dyDescent="0.45">
      <c r="A312" s="1" t="s">
        <v>1696</v>
      </c>
      <c r="B312" s="1">
        <f t="shared" si="20"/>
        <v>931</v>
      </c>
      <c r="C312" s="1" t="str">
        <f>MID(aoc_03_input[[#This Row],[Forest]],MOD(aoc_03_input[[#This Row],[Pos1]]-1,LEN(aoc_03_input[[#This Row],[Forest]]))+1,1)</f>
        <v>#</v>
      </c>
      <c r="D312" s="1">
        <f>IF(aoc_03_input[[#This Row],[CharAtPos1]]="#",1,0)</f>
        <v>1</v>
      </c>
      <c r="E312" s="1">
        <f t="shared" si="21"/>
        <v>311</v>
      </c>
      <c r="F312" s="1" t="str">
        <f>MID(aoc_03_input[[#This Row],[Forest]],MOD(aoc_03_input[[#This Row],[Pos2_1]]-1,LEN(aoc_03_input[[#This Row],[Forest]]))+1,1)</f>
        <v>#</v>
      </c>
      <c r="G312" s="1">
        <f>IF(aoc_03_input[[#This Row],[CharAtPos2_1]]="#",1,0)</f>
        <v>1</v>
      </c>
      <c r="H312" s="1">
        <f t="shared" si="22"/>
        <v>1551</v>
      </c>
      <c r="I312" s="1" t="str">
        <f>MID(aoc_03_input[[#This Row],[Forest]],MOD(aoc_03_input[[#This Row],[Pos2_3]]-1,LEN(aoc_03_input[[#This Row],[Forest]]))+1,1)</f>
        <v>#</v>
      </c>
      <c r="J312" s="1">
        <f>IF(aoc_03_input[[#This Row],[CharAtPos2_3]]="#",1,0)</f>
        <v>1</v>
      </c>
      <c r="K312" s="1">
        <f t="shared" si="23"/>
        <v>2171</v>
      </c>
      <c r="L312" s="1" t="str">
        <f>MID(aoc_03_input[[#This Row],[Forest]],MOD(aoc_03_input[[#This Row],[Pos2_4]]-1,LEN(aoc_03_input[[#This Row],[Forest]]))+1,1)</f>
        <v>#</v>
      </c>
      <c r="M312" s="1">
        <f>IF(aoc_03_input[[#This Row],[CharAtPos2_4]]="#",1,0)</f>
        <v>1</v>
      </c>
      <c r="N312" s="1">
        <f>MOD(ROW(aoc_03_input[[#This Row],[CountRow2_5]])+1,2)</f>
        <v>1</v>
      </c>
      <c r="O312" s="1">
        <f t="shared" si="24"/>
        <v>156</v>
      </c>
      <c r="P312" s="1" t="str">
        <f>MID(aoc_03_input[[#This Row],[Forest]],MOD(aoc_03_input[[#This Row],[Pos2_5]]-1,LEN(aoc_03_input[[#This Row],[Forest]]))+1,1)</f>
        <v>#</v>
      </c>
      <c r="Q312" s="1">
        <f>IF(AND(aoc_03_input[[#This Row],[CountRow2_5]]=1,aoc_03_input[[#This Row],[CharAtPos2_5]]="#"),1,0)</f>
        <v>1</v>
      </c>
    </row>
    <row r="313" spans="1:17" x14ac:dyDescent="0.45">
      <c r="A313" s="1" t="s">
        <v>1697</v>
      </c>
      <c r="B313" s="1">
        <f t="shared" si="20"/>
        <v>934</v>
      </c>
      <c r="C313" s="1" t="str">
        <f>MID(aoc_03_input[[#This Row],[Forest]],MOD(aoc_03_input[[#This Row],[Pos1]]-1,LEN(aoc_03_input[[#This Row],[Forest]]))+1,1)</f>
        <v>#</v>
      </c>
      <c r="D313" s="1">
        <f>IF(aoc_03_input[[#This Row],[CharAtPos1]]="#",1,0)</f>
        <v>1</v>
      </c>
      <c r="E313" s="1">
        <f t="shared" si="21"/>
        <v>312</v>
      </c>
      <c r="F313" s="1" t="str">
        <f>MID(aoc_03_input[[#This Row],[Forest]],MOD(aoc_03_input[[#This Row],[Pos2_1]]-1,LEN(aoc_03_input[[#This Row],[Forest]]))+1,1)</f>
        <v>.</v>
      </c>
      <c r="G313" s="1">
        <f>IF(aoc_03_input[[#This Row],[CharAtPos2_1]]="#",1,0)</f>
        <v>0</v>
      </c>
      <c r="H313" s="1">
        <f t="shared" si="22"/>
        <v>1556</v>
      </c>
      <c r="I313" s="1" t="str">
        <f>MID(aoc_03_input[[#This Row],[Forest]],MOD(aoc_03_input[[#This Row],[Pos2_3]]-1,LEN(aoc_03_input[[#This Row],[Forest]]))+1,1)</f>
        <v>.</v>
      </c>
      <c r="J313" s="1">
        <f>IF(aoc_03_input[[#This Row],[CharAtPos2_3]]="#",1,0)</f>
        <v>0</v>
      </c>
      <c r="K313" s="1">
        <f t="shared" si="23"/>
        <v>2178</v>
      </c>
      <c r="L313" s="1" t="str">
        <f>MID(aoc_03_input[[#This Row],[Forest]],MOD(aoc_03_input[[#This Row],[Pos2_4]]-1,LEN(aoc_03_input[[#This Row],[Forest]]))+1,1)</f>
        <v>#</v>
      </c>
      <c r="M313" s="1">
        <f>IF(aoc_03_input[[#This Row],[CharAtPos2_4]]="#",1,0)</f>
        <v>1</v>
      </c>
      <c r="N313" s="1">
        <f>MOD(ROW(aoc_03_input[[#This Row],[CountRow2_5]])+1,2)</f>
        <v>0</v>
      </c>
      <c r="O313" s="1">
        <f t="shared" si="24"/>
        <v>156</v>
      </c>
      <c r="P313" s="1" t="str">
        <f>MID(aoc_03_input[[#This Row],[Forest]],MOD(aoc_03_input[[#This Row],[Pos2_5]]-1,LEN(aoc_03_input[[#This Row],[Forest]]))+1,1)</f>
        <v>.</v>
      </c>
      <c r="Q313" s="1">
        <f>IF(AND(aoc_03_input[[#This Row],[CountRow2_5]]=1,aoc_03_input[[#This Row],[CharAtPos2_5]]="#"),1,0)</f>
        <v>0</v>
      </c>
    </row>
    <row r="314" spans="1:17" x14ac:dyDescent="0.45">
      <c r="A314" s="1" t="s">
        <v>1698</v>
      </c>
      <c r="B314" s="1">
        <f t="shared" si="20"/>
        <v>937</v>
      </c>
      <c r="C314" s="1" t="str">
        <f>MID(aoc_03_input[[#This Row],[Forest]],MOD(aoc_03_input[[#This Row],[Pos1]]-1,LEN(aoc_03_input[[#This Row],[Forest]]))+1,1)</f>
        <v>.</v>
      </c>
      <c r="D314" s="1">
        <f>IF(aoc_03_input[[#This Row],[CharAtPos1]]="#",1,0)</f>
        <v>0</v>
      </c>
      <c r="E314" s="1">
        <f t="shared" si="21"/>
        <v>313</v>
      </c>
      <c r="F314" s="1" t="str">
        <f>MID(aoc_03_input[[#This Row],[Forest]],MOD(aoc_03_input[[#This Row],[Pos2_1]]-1,LEN(aoc_03_input[[#This Row],[Forest]]))+1,1)</f>
        <v>.</v>
      </c>
      <c r="G314" s="1">
        <f>IF(aoc_03_input[[#This Row],[CharAtPos2_1]]="#",1,0)</f>
        <v>0</v>
      </c>
      <c r="H314" s="1">
        <f t="shared" si="22"/>
        <v>1561</v>
      </c>
      <c r="I314" s="1" t="str">
        <f>MID(aoc_03_input[[#This Row],[Forest]],MOD(aoc_03_input[[#This Row],[Pos2_3]]-1,LEN(aoc_03_input[[#This Row],[Forest]]))+1,1)</f>
        <v>.</v>
      </c>
      <c r="J314" s="1">
        <f>IF(aoc_03_input[[#This Row],[CharAtPos2_3]]="#",1,0)</f>
        <v>0</v>
      </c>
      <c r="K314" s="1">
        <f t="shared" si="23"/>
        <v>2185</v>
      </c>
      <c r="L314" s="1" t="str">
        <f>MID(aoc_03_input[[#This Row],[Forest]],MOD(aoc_03_input[[#This Row],[Pos2_4]]-1,LEN(aoc_03_input[[#This Row],[Forest]]))+1,1)</f>
        <v>.</v>
      </c>
      <c r="M314" s="1">
        <f>IF(aoc_03_input[[#This Row],[CharAtPos2_4]]="#",1,0)</f>
        <v>0</v>
      </c>
      <c r="N314" s="1">
        <f>MOD(ROW(aoc_03_input[[#This Row],[CountRow2_5]])+1,2)</f>
        <v>1</v>
      </c>
      <c r="O314" s="1">
        <f t="shared" si="24"/>
        <v>157</v>
      </c>
      <c r="P314" s="1" t="str">
        <f>MID(aoc_03_input[[#This Row],[Forest]],MOD(aoc_03_input[[#This Row],[Pos2_5]]-1,LEN(aoc_03_input[[#This Row],[Forest]]))+1,1)</f>
        <v>.</v>
      </c>
      <c r="Q314" s="1">
        <f>IF(AND(aoc_03_input[[#This Row],[CountRow2_5]]=1,aoc_03_input[[#This Row],[CharAtPos2_5]]="#"),1,0)</f>
        <v>0</v>
      </c>
    </row>
    <row r="315" spans="1:17" x14ac:dyDescent="0.45">
      <c r="A315" s="1" t="s">
        <v>1699</v>
      </c>
      <c r="B315" s="1">
        <f t="shared" si="20"/>
        <v>940</v>
      </c>
      <c r="C315" s="1" t="str">
        <f>MID(aoc_03_input[[#This Row],[Forest]],MOD(aoc_03_input[[#This Row],[Pos1]]-1,LEN(aoc_03_input[[#This Row],[Forest]]))+1,1)</f>
        <v>#</v>
      </c>
      <c r="D315" s="1">
        <f>IF(aoc_03_input[[#This Row],[CharAtPos1]]="#",1,0)</f>
        <v>1</v>
      </c>
      <c r="E315" s="1">
        <f t="shared" si="21"/>
        <v>314</v>
      </c>
      <c r="F315" s="1" t="str">
        <f>MID(aoc_03_input[[#This Row],[Forest]],MOD(aoc_03_input[[#This Row],[Pos2_1]]-1,LEN(aoc_03_input[[#This Row],[Forest]]))+1,1)</f>
        <v>.</v>
      </c>
      <c r="G315" s="1">
        <f>IF(aoc_03_input[[#This Row],[CharAtPos2_1]]="#",1,0)</f>
        <v>0</v>
      </c>
      <c r="H315" s="1">
        <f t="shared" si="22"/>
        <v>1566</v>
      </c>
      <c r="I315" s="1" t="str">
        <f>MID(aoc_03_input[[#This Row],[Forest]],MOD(aoc_03_input[[#This Row],[Pos2_3]]-1,LEN(aoc_03_input[[#This Row],[Forest]]))+1,1)</f>
        <v>.</v>
      </c>
      <c r="J315" s="1">
        <f>IF(aoc_03_input[[#This Row],[CharAtPos2_3]]="#",1,0)</f>
        <v>0</v>
      </c>
      <c r="K315" s="1">
        <f t="shared" si="23"/>
        <v>2192</v>
      </c>
      <c r="L315" s="1" t="str">
        <f>MID(aoc_03_input[[#This Row],[Forest]],MOD(aoc_03_input[[#This Row],[Pos2_4]]-1,LEN(aoc_03_input[[#This Row],[Forest]]))+1,1)</f>
        <v>.</v>
      </c>
      <c r="M315" s="1">
        <f>IF(aoc_03_input[[#This Row],[CharAtPos2_4]]="#",1,0)</f>
        <v>0</v>
      </c>
      <c r="N315" s="1">
        <f>MOD(ROW(aoc_03_input[[#This Row],[CountRow2_5]])+1,2)</f>
        <v>0</v>
      </c>
      <c r="O315" s="1">
        <f t="shared" si="24"/>
        <v>157</v>
      </c>
      <c r="P315" s="1" t="str">
        <f>MID(aoc_03_input[[#This Row],[Forest]],MOD(aoc_03_input[[#This Row],[Pos2_5]]-1,LEN(aoc_03_input[[#This Row],[Forest]]))+1,1)</f>
        <v>.</v>
      </c>
      <c r="Q315" s="1">
        <f>IF(AND(aoc_03_input[[#This Row],[CountRow2_5]]=1,aoc_03_input[[#This Row],[CharAtPos2_5]]="#"),1,0)</f>
        <v>0</v>
      </c>
    </row>
    <row r="316" spans="1:17" x14ac:dyDescent="0.45">
      <c r="A316" s="1" t="s">
        <v>1700</v>
      </c>
      <c r="B316" s="1">
        <f t="shared" si="20"/>
        <v>943</v>
      </c>
      <c r="C316" s="1" t="str">
        <f>MID(aoc_03_input[[#This Row],[Forest]],MOD(aoc_03_input[[#This Row],[Pos1]]-1,LEN(aoc_03_input[[#This Row],[Forest]]))+1,1)</f>
        <v>.</v>
      </c>
      <c r="D316" s="1">
        <f>IF(aoc_03_input[[#This Row],[CharAtPos1]]="#",1,0)</f>
        <v>0</v>
      </c>
      <c r="E316" s="1">
        <f t="shared" si="21"/>
        <v>315</v>
      </c>
      <c r="F316" s="1" t="str">
        <f>MID(aoc_03_input[[#This Row],[Forest]],MOD(aoc_03_input[[#This Row],[Pos2_1]]-1,LEN(aoc_03_input[[#This Row],[Forest]]))+1,1)</f>
        <v>.</v>
      </c>
      <c r="G316" s="1">
        <f>IF(aoc_03_input[[#This Row],[CharAtPos2_1]]="#",1,0)</f>
        <v>0</v>
      </c>
      <c r="H316" s="1">
        <f t="shared" si="22"/>
        <v>1571</v>
      </c>
      <c r="I316" s="1" t="str">
        <f>MID(aoc_03_input[[#This Row],[Forest]],MOD(aoc_03_input[[#This Row],[Pos2_3]]-1,LEN(aoc_03_input[[#This Row],[Forest]]))+1,1)</f>
        <v>.</v>
      </c>
      <c r="J316" s="1">
        <f>IF(aoc_03_input[[#This Row],[CharAtPos2_3]]="#",1,0)</f>
        <v>0</v>
      </c>
      <c r="K316" s="1">
        <f t="shared" si="23"/>
        <v>2199</v>
      </c>
      <c r="L316" s="1" t="str">
        <f>MID(aoc_03_input[[#This Row],[Forest]],MOD(aoc_03_input[[#This Row],[Pos2_4]]-1,LEN(aoc_03_input[[#This Row],[Forest]]))+1,1)</f>
        <v>#</v>
      </c>
      <c r="M316" s="1">
        <f>IF(aoc_03_input[[#This Row],[CharAtPos2_4]]="#",1,0)</f>
        <v>1</v>
      </c>
      <c r="N316" s="1">
        <f>MOD(ROW(aoc_03_input[[#This Row],[CountRow2_5]])+1,2)</f>
        <v>1</v>
      </c>
      <c r="O316" s="1">
        <f t="shared" si="24"/>
        <v>158</v>
      </c>
      <c r="P316" s="1" t="str">
        <f>MID(aoc_03_input[[#This Row],[Forest]],MOD(aoc_03_input[[#This Row],[Pos2_5]]-1,LEN(aoc_03_input[[#This Row],[Forest]]))+1,1)</f>
        <v>#</v>
      </c>
      <c r="Q316" s="1">
        <f>IF(AND(aoc_03_input[[#This Row],[CountRow2_5]]=1,aoc_03_input[[#This Row],[CharAtPos2_5]]="#"),1,0)</f>
        <v>1</v>
      </c>
    </row>
    <row r="317" spans="1:17" x14ac:dyDescent="0.45">
      <c r="A317" s="1" t="s">
        <v>1701</v>
      </c>
      <c r="B317" s="1">
        <f t="shared" si="20"/>
        <v>946</v>
      </c>
      <c r="C317" s="1" t="str">
        <f>MID(aoc_03_input[[#This Row],[Forest]],MOD(aoc_03_input[[#This Row],[Pos1]]-1,LEN(aoc_03_input[[#This Row],[Forest]]))+1,1)</f>
        <v>.</v>
      </c>
      <c r="D317" s="1">
        <f>IF(aoc_03_input[[#This Row],[CharAtPos1]]="#",1,0)</f>
        <v>0</v>
      </c>
      <c r="E317" s="1">
        <f t="shared" si="21"/>
        <v>316</v>
      </c>
      <c r="F317" s="1" t="str">
        <f>MID(aoc_03_input[[#This Row],[Forest]],MOD(aoc_03_input[[#This Row],[Pos2_1]]-1,LEN(aoc_03_input[[#This Row],[Forest]]))+1,1)</f>
        <v>.</v>
      </c>
      <c r="G317" s="1">
        <f>IF(aoc_03_input[[#This Row],[CharAtPos2_1]]="#",1,0)</f>
        <v>0</v>
      </c>
      <c r="H317" s="1">
        <f t="shared" si="22"/>
        <v>1576</v>
      </c>
      <c r="I317" s="1" t="str">
        <f>MID(aoc_03_input[[#This Row],[Forest]],MOD(aoc_03_input[[#This Row],[Pos2_3]]-1,LEN(aoc_03_input[[#This Row],[Forest]]))+1,1)</f>
        <v>.</v>
      </c>
      <c r="J317" s="1">
        <f>IF(aoc_03_input[[#This Row],[CharAtPos2_3]]="#",1,0)</f>
        <v>0</v>
      </c>
      <c r="K317" s="1">
        <f t="shared" si="23"/>
        <v>2206</v>
      </c>
      <c r="L317" s="1" t="str">
        <f>MID(aoc_03_input[[#This Row],[Forest]],MOD(aoc_03_input[[#This Row],[Pos2_4]]-1,LEN(aoc_03_input[[#This Row],[Forest]]))+1,1)</f>
        <v>.</v>
      </c>
      <c r="M317" s="1">
        <f>IF(aoc_03_input[[#This Row],[CharAtPos2_4]]="#",1,0)</f>
        <v>0</v>
      </c>
      <c r="N317" s="1">
        <f>MOD(ROW(aoc_03_input[[#This Row],[CountRow2_5]])+1,2)</f>
        <v>0</v>
      </c>
      <c r="O317" s="1">
        <f t="shared" si="24"/>
        <v>158</v>
      </c>
      <c r="P317" s="1" t="str">
        <f>MID(aoc_03_input[[#This Row],[Forest]],MOD(aoc_03_input[[#This Row],[Pos2_5]]-1,LEN(aoc_03_input[[#This Row],[Forest]]))+1,1)</f>
        <v>.</v>
      </c>
      <c r="Q317" s="1">
        <f>IF(AND(aoc_03_input[[#This Row],[CountRow2_5]]=1,aoc_03_input[[#This Row],[CharAtPos2_5]]="#"),1,0)</f>
        <v>0</v>
      </c>
    </row>
    <row r="318" spans="1:17" x14ac:dyDescent="0.45">
      <c r="A318" s="1" t="s">
        <v>1702</v>
      </c>
      <c r="B318" s="1">
        <f t="shared" si="20"/>
        <v>949</v>
      </c>
      <c r="C318" s="1" t="str">
        <f>MID(aoc_03_input[[#This Row],[Forest]],MOD(aoc_03_input[[#This Row],[Pos1]]-1,LEN(aoc_03_input[[#This Row],[Forest]]))+1,1)</f>
        <v>.</v>
      </c>
      <c r="D318" s="1">
        <f>IF(aoc_03_input[[#This Row],[CharAtPos1]]="#",1,0)</f>
        <v>0</v>
      </c>
      <c r="E318" s="1">
        <f t="shared" si="21"/>
        <v>317</v>
      </c>
      <c r="F318" s="1" t="str">
        <f>MID(aoc_03_input[[#This Row],[Forest]],MOD(aoc_03_input[[#This Row],[Pos2_1]]-1,LEN(aoc_03_input[[#This Row],[Forest]]))+1,1)</f>
        <v>.</v>
      </c>
      <c r="G318" s="1">
        <f>IF(aoc_03_input[[#This Row],[CharAtPos2_1]]="#",1,0)</f>
        <v>0</v>
      </c>
      <c r="H318" s="1">
        <f t="shared" si="22"/>
        <v>1581</v>
      </c>
      <c r="I318" s="1" t="str">
        <f>MID(aoc_03_input[[#This Row],[Forest]],MOD(aoc_03_input[[#This Row],[Pos2_3]]-1,LEN(aoc_03_input[[#This Row],[Forest]]))+1,1)</f>
        <v>.</v>
      </c>
      <c r="J318" s="1">
        <f>IF(aoc_03_input[[#This Row],[CharAtPos2_3]]="#",1,0)</f>
        <v>0</v>
      </c>
      <c r="K318" s="1">
        <f t="shared" si="23"/>
        <v>2213</v>
      </c>
      <c r="L318" s="1" t="str">
        <f>MID(aoc_03_input[[#This Row],[Forest]],MOD(aoc_03_input[[#This Row],[Pos2_4]]-1,LEN(aoc_03_input[[#This Row],[Forest]]))+1,1)</f>
        <v>.</v>
      </c>
      <c r="M318" s="1">
        <f>IF(aoc_03_input[[#This Row],[CharAtPos2_4]]="#",1,0)</f>
        <v>0</v>
      </c>
      <c r="N318" s="1">
        <f>MOD(ROW(aoc_03_input[[#This Row],[CountRow2_5]])+1,2)</f>
        <v>1</v>
      </c>
      <c r="O318" s="1">
        <f t="shared" si="24"/>
        <v>159</v>
      </c>
      <c r="P318" s="1" t="str">
        <f>MID(aoc_03_input[[#This Row],[Forest]],MOD(aoc_03_input[[#This Row],[Pos2_5]]-1,LEN(aoc_03_input[[#This Row],[Forest]]))+1,1)</f>
        <v>.</v>
      </c>
      <c r="Q318" s="1">
        <f>IF(AND(aoc_03_input[[#This Row],[CountRow2_5]]=1,aoc_03_input[[#This Row],[CharAtPos2_5]]="#"),1,0)</f>
        <v>0</v>
      </c>
    </row>
    <row r="319" spans="1:17" x14ac:dyDescent="0.45">
      <c r="A319" s="1" t="s">
        <v>1703</v>
      </c>
      <c r="B319" s="1">
        <f t="shared" si="20"/>
        <v>952</v>
      </c>
      <c r="C319" s="1" t="str">
        <f>MID(aoc_03_input[[#This Row],[Forest]],MOD(aoc_03_input[[#This Row],[Pos1]]-1,LEN(aoc_03_input[[#This Row],[Forest]]))+1,1)</f>
        <v>#</v>
      </c>
      <c r="D319" s="1">
        <f>IF(aoc_03_input[[#This Row],[CharAtPos1]]="#",1,0)</f>
        <v>1</v>
      </c>
      <c r="E319" s="1">
        <f t="shared" si="21"/>
        <v>318</v>
      </c>
      <c r="F319" s="1" t="str">
        <f>MID(aoc_03_input[[#This Row],[Forest]],MOD(aoc_03_input[[#This Row],[Pos2_1]]-1,LEN(aoc_03_input[[#This Row],[Forest]]))+1,1)</f>
        <v>.</v>
      </c>
      <c r="G319" s="1">
        <f>IF(aoc_03_input[[#This Row],[CharAtPos2_1]]="#",1,0)</f>
        <v>0</v>
      </c>
      <c r="H319" s="1">
        <f t="shared" si="22"/>
        <v>1586</v>
      </c>
      <c r="I319" s="1" t="str">
        <f>MID(aoc_03_input[[#This Row],[Forest]],MOD(aoc_03_input[[#This Row],[Pos2_3]]-1,LEN(aoc_03_input[[#This Row],[Forest]]))+1,1)</f>
        <v>.</v>
      </c>
      <c r="J319" s="1">
        <f>IF(aoc_03_input[[#This Row],[CharAtPos2_3]]="#",1,0)</f>
        <v>0</v>
      </c>
      <c r="K319" s="1">
        <f t="shared" si="23"/>
        <v>2220</v>
      </c>
      <c r="L319" s="1" t="str">
        <f>MID(aoc_03_input[[#This Row],[Forest]],MOD(aoc_03_input[[#This Row],[Pos2_4]]-1,LEN(aoc_03_input[[#This Row],[Forest]]))+1,1)</f>
        <v>.</v>
      </c>
      <c r="M319" s="1">
        <f>IF(aoc_03_input[[#This Row],[CharAtPos2_4]]="#",1,0)</f>
        <v>0</v>
      </c>
      <c r="N319" s="1">
        <f>MOD(ROW(aoc_03_input[[#This Row],[CountRow2_5]])+1,2)</f>
        <v>0</v>
      </c>
      <c r="O319" s="1">
        <f t="shared" si="24"/>
        <v>159</v>
      </c>
      <c r="P319" s="1" t="str">
        <f>MID(aoc_03_input[[#This Row],[Forest]],MOD(aoc_03_input[[#This Row],[Pos2_5]]-1,LEN(aoc_03_input[[#This Row],[Forest]]))+1,1)</f>
        <v>.</v>
      </c>
      <c r="Q319" s="1">
        <f>IF(AND(aoc_03_input[[#This Row],[CountRow2_5]]=1,aoc_03_input[[#This Row],[CharAtPos2_5]]="#"),1,0)</f>
        <v>0</v>
      </c>
    </row>
    <row r="320" spans="1:17" x14ac:dyDescent="0.45">
      <c r="A320" s="1" t="s">
        <v>1704</v>
      </c>
      <c r="B320" s="1">
        <f t="shared" si="20"/>
        <v>955</v>
      </c>
      <c r="C320" s="1" t="str">
        <f>MID(aoc_03_input[[#This Row],[Forest]],MOD(aoc_03_input[[#This Row],[Pos1]]-1,LEN(aoc_03_input[[#This Row],[Forest]]))+1,1)</f>
        <v>#</v>
      </c>
      <c r="D320" s="1">
        <f>IF(aoc_03_input[[#This Row],[CharAtPos1]]="#",1,0)</f>
        <v>1</v>
      </c>
      <c r="E320" s="1">
        <f t="shared" si="21"/>
        <v>319</v>
      </c>
      <c r="F320" s="1" t="str">
        <f>MID(aoc_03_input[[#This Row],[Forest]],MOD(aoc_03_input[[#This Row],[Pos2_1]]-1,LEN(aoc_03_input[[#This Row],[Forest]]))+1,1)</f>
        <v>.</v>
      </c>
      <c r="G320" s="1">
        <f>IF(aoc_03_input[[#This Row],[CharAtPos2_1]]="#",1,0)</f>
        <v>0</v>
      </c>
      <c r="H320" s="1">
        <f t="shared" si="22"/>
        <v>1591</v>
      </c>
      <c r="I320" s="1" t="str">
        <f>MID(aoc_03_input[[#This Row],[Forest]],MOD(aoc_03_input[[#This Row],[Pos2_3]]-1,LEN(aoc_03_input[[#This Row],[Forest]]))+1,1)</f>
        <v>.</v>
      </c>
      <c r="J320" s="1">
        <f>IF(aoc_03_input[[#This Row],[CharAtPos2_3]]="#",1,0)</f>
        <v>0</v>
      </c>
      <c r="K320" s="1">
        <f t="shared" si="23"/>
        <v>2227</v>
      </c>
      <c r="L320" s="1" t="str">
        <f>MID(aoc_03_input[[#This Row],[Forest]],MOD(aoc_03_input[[#This Row],[Pos2_4]]-1,LEN(aoc_03_input[[#This Row],[Forest]]))+1,1)</f>
        <v>.</v>
      </c>
      <c r="M320" s="1">
        <f>IF(aoc_03_input[[#This Row],[CharAtPos2_4]]="#",1,0)</f>
        <v>0</v>
      </c>
      <c r="N320" s="1">
        <f>MOD(ROW(aoc_03_input[[#This Row],[CountRow2_5]])+1,2)</f>
        <v>1</v>
      </c>
      <c r="O320" s="1">
        <f t="shared" si="24"/>
        <v>160</v>
      </c>
      <c r="P320" s="1" t="str">
        <f>MID(aoc_03_input[[#This Row],[Forest]],MOD(aoc_03_input[[#This Row],[Pos2_5]]-1,LEN(aoc_03_input[[#This Row],[Forest]]))+1,1)</f>
        <v>.</v>
      </c>
      <c r="Q320" s="1">
        <f>IF(AND(aoc_03_input[[#This Row],[CountRow2_5]]=1,aoc_03_input[[#This Row],[CharAtPos2_5]]="#"),1,0)</f>
        <v>0</v>
      </c>
    </row>
    <row r="321" spans="1:17" x14ac:dyDescent="0.45">
      <c r="A321" s="1" t="s">
        <v>1705</v>
      </c>
      <c r="B321" s="1">
        <f t="shared" si="20"/>
        <v>958</v>
      </c>
      <c r="C321" s="1" t="str">
        <f>MID(aoc_03_input[[#This Row],[Forest]],MOD(aoc_03_input[[#This Row],[Pos1]]-1,LEN(aoc_03_input[[#This Row],[Forest]]))+1,1)</f>
        <v>.</v>
      </c>
      <c r="D321" s="1">
        <f>IF(aoc_03_input[[#This Row],[CharAtPos1]]="#",1,0)</f>
        <v>0</v>
      </c>
      <c r="E321" s="1">
        <f t="shared" si="21"/>
        <v>320</v>
      </c>
      <c r="F321" s="1" t="str">
        <f>MID(aoc_03_input[[#This Row],[Forest]],MOD(aoc_03_input[[#This Row],[Pos2_1]]-1,LEN(aoc_03_input[[#This Row],[Forest]]))+1,1)</f>
        <v>.</v>
      </c>
      <c r="G321" s="1">
        <f>IF(aoc_03_input[[#This Row],[CharAtPos2_1]]="#",1,0)</f>
        <v>0</v>
      </c>
      <c r="H321" s="1">
        <f t="shared" si="22"/>
        <v>1596</v>
      </c>
      <c r="I321" s="1" t="str">
        <f>MID(aoc_03_input[[#This Row],[Forest]],MOD(aoc_03_input[[#This Row],[Pos2_3]]-1,LEN(aoc_03_input[[#This Row],[Forest]]))+1,1)</f>
        <v>.</v>
      </c>
      <c r="J321" s="1">
        <f>IF(aoc_03_input[[#This Row],[CharAtPos2_3]]="#",1,0)</f>
        <v>0</v>
      </c>
      <c r="K321" s="1">
        <f t="shared" si="23"/>
        <v>2234</v>
      </c>
      <c r="L321" s="1" t="str">
        <f>MID(aoc_03_input[[#This Row],[Forest]],MOD(aoc_03_input[[#This Row],[Pos2_4]]-1,LEN(aoc_03_input[[#This Row],[Forest]]))+1,1)</f>
        <v>.</v>
      </c>
      <c r="M321" s="1">
        <f>IF(aoc_03_input[[#This Row],[CharAtPos2_4]]="#",1,0)</f>
        <v>0</v>
      </c>
      <c r="N321" s="1">
        <f>MOD(ROW(aoc_03_input[[#This Row],[CountRow2_5]])+1,2)</f>
        <v>0</v>
      </c>
      <c r="O321" s="1">
        <f t="shared" si="24"/>
        <v>160</v>
      </c>
      <c r="P321" s="1" t="str">
        <f>MID(aoc_03_input[[#This Row],[Forest]],MOD(aoc_03_input[[#This Row],[Pos2_5]]-1,LEN(aoc_03_input[[#This Row],[Forest]]))+1,1)</f>
        <v>.</v>
      </c>
      <c r="Q321" s="1">
        <f>IF(AND(aoc_03_input[[#This Row],[CountRow2_5]]=1,aoc_03_input[[#This Row],[CharAtPos2_5]]="#"),1,0)</f>
        <v>0</v>
      </c>
    </row>
    <row r="322" spans="1:17" x14ac:dyDescent="0.45">
      <c r="A322" s="1" t="s">
        <v>1706</v>
      </c>
      <c r="B322" s="1">
        <f t="shared" si="20"/>
        <v>961</v>
      </c>
      <c r="C322" s="1" t="str">
        <f>MID(aoc_03_input[[#This Row],[Forest]],MOD(aoc_03_input[[#This Row],[Pos1]]-1,LEN(aoc_03_input[[#This Row],[Forest]]))+1,1)</f>
        <v>.</v>
      </c>
      <c r="D322" s="1">
        <f>IF(aoc_03_input[[#This Row],[CharAtPos1]]="#",1,0)</f>
        <v>0</v>
      </c>
      <c r="E322" s="1">
        <f t="shared" si="21"/>
        <v>321</v>
      </c>
      <c r="F322" s="1" t="str">
        <f>MID(aoc_03_input[[#This Row],[Forest]],MOD(aoc_03_input[[#This Row],[Pos2_1]]-1,LEN(aoc_03_input[[#This Row],[Forest]]))+1,1)</f>
        <v>.</v>
      </c>
      <c r="G322" s="1">
        <f>IF(aoc_03_input[[#This Row],[CharAtPos2_1]]="#",1,0)</f>
        <v>0</v>
      </c>
      <c r="H322" s="1">
        <f t="shared" si="22"/>
        <v>1601</v>
      </c>
      <c r="I322" s="1" t="str">
        <f>MID(aoc_03_input[[#This Row],[Forest]],MOD(aoc_03_input[[#This Row],[Pos2_3]]-1,LEN(aoc_03_input[[#This Row],[Forest]]))+1,1)</f>
        <v>.</v>
      </c>
      <c r="J322" s="1">
        <f>IF(aoc_03_input[[#This Row],[CharAtPos2_3]]="#",1,0)</f>
        <v>0</v>
      </c>
      <c r="K322" s="1">
        <f t="shared" si="23"/>
        <v>2241</v>
      </c>
      <c r="L322" s="1" t="str">
        <f>MID(aoc_03_input[[#This Row],[Forest]],MOD(aoc_03_input[[#This Row],[Pos2_4]]-1,LEN(aoc_03_input[[#This Row],[Forest]]))+1,1)</f>
        <v>.</v>
      </c>
      <c r="M322" s="1">
        <f>IF(aoc_03_input[[#This Row],[CharAtPos2_4]]="#",1,0)</f>
        <v>0</v>
      </c>
      <c r="N322" s="1">
        <f>MOD(ROW(aoc_03_input[[#This Row],[CountRow2_5]])+1,2)</f>
        <v>1</v>
      </c>
      <c r="O322" s="1">
        <f t="shared" si="24"/>
        <v>161</v>
      </c>
      <c r="P322" s="1" t="str">
        <f>MID(aoc_03_input[[#This Row],[Forest]],MOD(aoc_03_input[[#This Row],[Pos2_5]]-1,LEN(aoc_03_input[[#This Row],[Forest]]))+1,1)</f>
        <v>.</v>
      </c>
      <c r="Q322" s="1">
        <f>IF(AND(aoc_03_input[[#This Row],[CountRow2_5]]=1,aoc_03_input[[#This Row],[CharAtPos2_5]]="#"),1,0)</f>
        <v>0</v>
      </c>
    </row>
    <row r="323" spans="1:17" x14ac:dyDescent="0.45">
      <c r="A323" s="1" t="s">
        <v>1707</v>
      </c>
      <c r="B323" s="1">
        <f t="shared" si="20"/>
        <v>964</v>
      </c>
      <c r="C323" s="1" t="str">
        <f>MID(aoc_03_input[[#This Row],[Forest]],MOD(aoc_03_input[[#This Row],[Pos1]]-1,LEN(aoc_03_input[[#This Row],[Forest]]))+1,1)</f>
        <v>.</v>
      </c>
      <c r="D323" s="1">
        <f>IF(aoc_03_input[[#This Row],[CharAtPos1]]="#",1,0)</f>
        <v>0</v>
      </c>
      <c r="E323" s="1">
        <f t="shared" si="21"/>
        <v>322</v>
      </c>
      <c r="F323" s="1" t="str">
        <f>MID(aoc_03_input[[#This Row],[Forest]],MOD(aoc_03_input[[#This Row],[Pos2_1]]-1,LEN(aoc_03_input[[#This Row],[Forest]]))+1,1)</f>
        <v>.</v>
      </c>
      <c r="G323" s="1">
        <f>IF(aoc_03_input[[#This Row],[CharAtPos2_1]]="#",1,0)</f>
        <v>0</v>
      </c>
      <c r="H323" s="1">
        <f t="shared" si="22"/>
        <v>1606</v>
      </c>
      <c r="I323" s="1" t="str">
        <f>MID(aoc_03_input[[#This Row],[Forest]],MOD(aoc_03_input[[#This Row],[Pos2_3]]-1,LEN(aoc_03_input[[#This Row],[Forest]]))+1,1)</f>
        <v>#</v>
      </c>
      <c r="J323" s="1">
        <f>IF(aoc_03_input[[#This Row],[CharAtPos2_3]]="#",1,0)</f>
        <v>1</v>
      </c>
      <c r="K323" s="1">
        <f t="shared" si="23"/>
        <v>2248</v>
      </c>
      <c r="L323" s="1" t="str">
        <f>MID(aoc_03_input[[#This Row],[Forest]],MOD(aoc_03_input[[#This Row],[Pos2_4]]-1,LEN(aoc_03_input[[#This Row],[Forest]]))+1,1)</f>
        <v>.</v>
      </c>
      <c r="M323" s="1">
        <f>IF(aoc_03_input[[#This Row],[CharAtPos2_4]]="#",1,0)</f>
        <v>0</v>
      </c>
      <c r="N323" s="1">
        <f>MOD(ROW(aoc_03_input[[#This Row],[CountRow2_5]])+1,2)</f>
        <v>0</v>
      </c>
      <c r="O323" s="1">
        <f t="shared" si="24"/>
        <v>161</v>
      </c>
      <c r="P323" s="1" t="str">
        <f>MID(aoc_03_input[[#This Row],[Forest]],MOD(aoc_03_input[[#This Row],[Pos2_5]]-1,LEN(aoc_03_input[[#This Row],[Forest]]))+1,1)</f>
        <v>#</v>
      </c>
      <c r="Q323" s="1">
        <f>IF(AND(aoc_03_input[[#This Row],[CountRow2_5]]=1,aoc_03_input[[#This Row],[CharAtPos2_5]]="#"),1,0)</f>
        <v>0</v>
      </c>
    </row>
    <row r="324" spans="1:17" x14ac:dyDescent="0.45">
      <c r="A324" s="1" t="s">
        <v>1708</v>
      </c>
      <c r="B324" s="1">
        <f t="shared" ref="B324" si="25">B323+3</f>
        <v>967</v>
      </c>
      <c r="C324" s="1" t="str">
        <f>MID(aoc_03_input[[#This Row],[Forest]],MOD(aoc_03_input[[#This Row],[Pos1]]-1,LEN(aoc_03_input[[#This Row],[Forest]]))+1,1)</f>
        <v>.</v>
      </c>
      <c r="D324" s="1">
        <f>IF(aoc_03_input[[#This Row],[CharAtPos1]]="#",1,0)</f>
        <v>0</v>
      </c>
      <c r="E324" s="1">
        <f t="shared" ref="E324" si="26">E323+1</f>
        <v>323</v>
      </c>
      <c r="F324" s="1" t="str">
        <f>MID(aoc_03_input[[#This Row],[Forest]],MOD(aoc_03_input[[#This Row],[Pos2_1]]-1,LEN(aoc_03_input[[#This Row],[Forest]]))+1,1)</f>
        <v>.</v>
      </c>
      <c r="G324" s="1">
        <f>IF(aoc_03_input[[#This Row],[CharAtPos2_1]]="#",1,0)</f>
        <v>0</v>
      </c>
      <c r="H324" s="1">
        <f t="shared" ref="H324" si="27">H323+5</f>
        <v>1611</v>
      </c>
      <c r="I324" s="1" t="str">
        <f>MID(aoc_03_input[[#This Row],[Forest]],MOD(aoc_03_input[[#This Row],[Pos2_3]]-1,LEN(aoc_03_input[[#This Row],[Forest]]))+1,1)</f>
        <v>.</v>
      </c>
      <c r="J324" s="1">
        <f>IF(aoc_03_input[[#This Row],[CharAtPos2_3]]="#",1,0)</f>
        <v>0</v>
      </c>
      <c r="K324" s="1">
        <f t="shared" ref="K324" si="28">K323+7</f>
        <v>2255</v>
      </c>
      <c r="L324" s="1" t="str">
        <f>MID(aoc_03_input[[#This Row],[Forest]],MOD(aoc_03_input[[#This Row],[Pos2_4]]-1,LEN(aoc_03_input[[#This Row],[Forest]]))+1,1)</f>
        <v>.</v>
      </c>
      <c r="M324" s="1">
        <f>IF(aoc_03_input[[#This Row],[CharAtPos2_4]]="#",1,0)</f>
        <v>0</v>
      </c>
      <c r="N324" s="1">
        <f>MOD(ROW(aoc_03_input[[#This Row],[CountRow2_5]])+1,2)</f>
        <v>1</v>
      </c>
      <c r="O324" s="1">
        <f t="shared" si="24"/>
        <v>162</v>
      </c>
      <c r="P324" s="1" t="str">
        <f>MID(aoc_03_input[[#This Row],[Forest]],MOD(aoc_03_input[[#This Row],[Pos2_5]]-1,LEN(aoc_03_input[[#This Row],[Forest]]))+1,1)</f>
        <v>.</v>
      </c>
      <c r="Q324" s="1">
        <f>IF(AND(aoc_03_input[[#This Row],[CountRow2_5]]=1,aoc_03_input[[#This Row],[CharAtPos2_5]]="#"),1,0)</f>
        <v>0</v>
      </c>
    </row>
    <row r="325" spans="1:17" x14ac:dyDescent="0.45">
      <c r="A325" s="1"/>
      <c r="B325" s="1"/>
      <c r="C325" s="1"/>
      <c r="D325" s="1">
        <f>SUBTOTAL(109,aoc_03_input[IsTree1])</f>
        <v>153</v>
      </c>
      <c r="G325">
        <f>SUBTOTAL(109,aoc_03_input[IsTree2_1])</f>
        <v>66</v>
      </c>
      <c r="J325">
        <f>SUBTOTAL(109,aoc_03_input[IsTree2_3])</f>
        <v>79</v>
      </c>
      <c r="M325">
        <f>SUBTOTAL(109,aoc_03_input[IsTree2_4])</f>
        <v>92</v>
      </c>
      <c r="Q325">
        <f>SUBTOTAL(109,aoc_03_input[IsTree2_5])</f>
        <v>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3D04-0F57-4CDF-AA4D-77B65452FEB3}">
  <dimension ref="B2:C3"/>
  <sheetViews>
    <sheetView tabSelected="1" workbookViewId="0">
      <selection activeCell="C3" sqref="C3"/>
    </sheetView>
  </sheetViews>
  <sheetFormatPr defaultRowHeight="14.25" x14ac:dyDescent="0.45"/>
  <cols>
    <col min="3" max="3" width="10.73046875" bestFit="1" customWidth="1"/>
  </cols>
  <sheetData>
    <row r="2" spans="2:3" x14ac:dyDescent="0.45">
      <c r="B2" t="s">
        <v>200</v>
      </c>
      <c r="C2">
        <f>SUM(aoc_03_input[IsTree1])</f>
        <v>153</v>
      </c>
    </row>
    <row r="3" spans="2:3" x14ac:dyDescent="0.45">
      <c r="B3" t="s">
        <v>201</v>
      </c>
      <c r="C3">
        <f>aoc_03_input[[#Totals],[IsTree1]]*aoc_03_input[[#Totals],[IsTree2_1]]*aoc_03_input[[#Totals],[IsTree2_3]]*aoc_03_input[[#Totals],[IsTree2_4]]*aoc_03_input[[#Totals],[IsTree2_5]]</f>
        <v>2421944712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1D994-B58A-4E14-912B-ABEF00F592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Input-01</vt:lpstr>
      <vt:lpstr>AoC-01</vt:lpstr>
      <vt:lpstr>Input-02</vt:lpstr>
      <vt:lpstr>AoC-02</vt:lpstr>
      <vt:lpstr>Input-03</vt:lpstr>
      <vt:lpstr>AoC-03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 Kåre Lefdal</dc:creator>
  <cp:lastModifiedBy>Alf Kåre Lefdal</cp:lastModifiedBy>
  <dcterms:created xsi:type="dcterms:W3CDTF">2020-12-05T21:21:26Z</dcterms:created>
  <dcterms:modified xsi:type="dcterms:W3CDTF">2020-12-06T14:25:55Z</dcterms:modified>
</cp:coreProperties>
</file>